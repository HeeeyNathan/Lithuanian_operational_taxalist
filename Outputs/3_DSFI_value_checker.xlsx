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amtostyrimai-my.sharepoint.com/personal/nathan_baker_gamtc_lt/Documents/MOBILR Project (2024-2027)/Analyses/Operational taxalist/Calculating OTL indices/Outputs/"/>
    </mc:Choice>
  </mc:AlternateContent>
  <xr:revisionPtr revIDLastSave="6" documentId="8_{A4D23877-DF11-4FDF-8CDC-609C28C55F1C}" xr6:coauthVersionLast="47" xr6:coauthVersionMax="47" xr10:uidLastSave="{2B5E8E4C-DB55-4C4C-A83D-AA194D775390}"/>
  <bookViews>
    <workbookView xWindow="38290" yWindow="-110" windowWidth="38620" windowHeight="21100" xr2:uid="{F67964B0-4977-45D6-823C-78EBA3F89259}"/>
  </bookViews>
  <sheets>
    <sheet name="DSFI CHECK v8 2022" sheetId="1" r:id="rId1"/>
  </sheets>
  <definedNames>
    <definedName name="_xlnm._FilterDatabase" localSheetId="0" hidden="1">'DSFI CHECK v8 2022'!$A$1:$S$98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" i="1" l="1"/>
  <c r="R2" i="1" s="1"/>
  <c r="N4" i="1"/>
  <c r="N7" i="1"/>
  <c r="N12" i="1"/>
  <c r="N17" i="1"/>
  <c r="N20" i="1"/>
  <c r="N22" i="1"/>
  <c r="N30" i="1"/>
  <c r="N32" i="1"/>
  <c r="N40" i="1"/>
  <c r="N42" i="1"/>
  <c r="N43" i="1"/>
  <c r="N52" i="1"/>
  <c r="N53" i="1"/>
  <c r="N54" i="1"/>
  <c r="N55" i="1"/>
  <c r="N61" i="1"/>
  <c r="N62" i="1"/>
  <c r="N65" i="1"/>
  <c r="N67" i="1"/>
  <c r="N68" i="1"/>
  <c r="N72" i="1"/>
  <c r="N75" i="1"/>
  <c r="N77" i="1"/>
  <c r="N78" i="1"/>
  <c r="N80" i="1"/>
  <c r="N81" i="1"/>
  <c r="N82" i="1"/>
  <c r="N83" i="1"/>
  <c r="N85" i="1"/>
  <c r="N88" i="1"/>
  <c r="N90" i="1"/>
  <c r="N91" i="1"/>
  <c r="N92" i="1"/>
  <c r="N93" i="1"/>
  <c r="N94" i="1"/>
  <c r="N95" i="1"/>
  <c r="N96" i="1"/>
  <c r="N97" i="1"/>
  <c r="D14" i="1"/>
  <c r="D15" i="1"/>
  <c r="D16" i="1"/>
  <c r="D17" i="1"/>
  <c r="D18" i="1"/>
  <c r="D19" i="1"/>
  <c r="D22" i="1"/>
  <c r="D34" i="1"/>
  <c r="D35" i="1"/>
  <c r="D36" i="1"/>
  <c r="D37" i="1"/>
  <c r="D38" i="1"/>
  <c r="D42" i="1"/>
  <c r="D53" i="1"/>
  <c r="D54" i="1"/>
  <c r="D55" i="1"/>
  <c r="D56" i="1"/>
  <c r="D57" i="1"/>
  <c r="D58" i="1"/>
  <c r="D59" i="1"/>
  <c r="D62" i="1"/>
  <c r="D67" i="1"/>
  <c r="D72" i="1"/>
  <c r="D73" i="1"/>
  <c r="D74" i="1"/>
  <c r="D75" i="1"/>
  <c r="D76" i="1"/>
  <c r="D77" i="1"/>
  <c r="D78" i="1"/>
  <c r="D79" i="1"/>
  <c r="D81" i="1"/>
  <c r="D82" i="1"/>
  <c r="D86" i="1"/>
  <c r="D87" i="1"/>
  <c r="D92" i="1"/>
  <c r="D93" i="1"/>
  <c r="D94" i="1"/>
  <c r="D95" i="1"/>
  <c r="D96" i="1"/>
  <c r="D97" i="1"/>
  <c r="D98" i="1"/>
  <c r="D2" i="1"/>
  <c r="N98" i="1"/>
  <c r="D91" i="1"/>
  <c r="D90" i="1"/>
  <c r="N89" i="1"/>
  <c r="D89" i="1"/>
  <c r="D88" i="1"/>
  <c r="N87" i="1"/>
  <c r="N86" i="1"/>
  <c r="D85" i="1"/>
  <c r="N84" i="1"/>
  <c r="D84" i="1"/>
  <c r="D83" i="1"/>
  <c r="D80" i="1"/>
  <c r="N79" i="1"/>
  <c r="N76" i="1"/>
  <c r="N74" i="1"/>
  <c r="N73" i="1"/>
  <c r="N71" i="1"/>
  <c r="D71" i="1"/>
  <c r="N70" i="1"/>
  <c r="D70" i="1"/>
  <c r="N69" i="1"/>
  <c r="D69" i="1"/>
  <c r="D68" i="1"/>
  <c r="N66" i="1"/>
  <c r="D66" i="1"/>
  <c r="D65" i="1"/>
  <c r="N64" i="1"/>
  <c r="D64" i="1"/>
  <c r="N63" i="1"/>
  <c r="D63" i="1"/>
  <c r="D61" i="1"/>
  <c r="N60" i="1"/>
  <c r="D60" i="1"/>
  <c r="N59" i="1"/>
  <c r="N58" i="1"/>
  <c r="N57" i="1"/>
  <c r="N56" i="1"/>
  <c r="D52" i="1"/>
  <c r="N51" i="1"/>
  <c r="D51" i="1"/>
  <c r="N50" i="1"/>
  <c r="D50" i="1"/>
  <c r="N49" i="1"/>
  <c r="D49" i="1"/>
  <c r="N48" i="1"/>
  <c r="D48" i="1"/>
  <c r="N47" i="1"/>
  <c r="D47" i="1"/>
  <c r="N46" i="1"/>
  <c r="D46" i="1"/>
  <c r="N45" i="1"/>
  <c r="D45" i="1"/>
  <c r="N44" i="1"/>
  <c r="D44" i="1"/>
  <c r="D43" i="1"/>
  <c r="N41" i="1"/>
  <c r="D41" i="1"/>
  <c r="D40" i="1"/>
  <c r="N39" i="1"/>
  <c r="D39" i="1"/>
  <c r="N38" i="1"/>
  <c r="N37" i="1"/>
  <c r="N36" i="1"/>
  <c r="N35" i="1"/>
  <c r="N34" i="1"/>
  <c r="N33" i="1"/>
  <c r="D33" i="1"/>
  <c r="D32" i="1"/>
  <c r="N31" i="1"/>
  <c r="D31" i="1"/>
  <c r="D30" i="1"/>
  <c r="N29" i="1"/>
  <c r="D29" i="1"/>
  <c r="N28" i="1"/>
  <c r="D28" i="1"/>
  <c r="N27" i="1"/>
  <c r="D27" i="1"/>
  <c r="N26" i="1"/>
  <c r="D26" i="1"/>
  <c r="N25" i="1"/>
  <c r="D25" i="1"/>
  <c r="N24" i="1"/>
  <c r="D24" i="1"/>
  <c r="N23" i="1"/>
  <c r="D23" i="1"/>
  <c r="N21" i="1"/>
  <c r="D21" i="1"/>
  <c r="D20" i="1"/>
  <c r="N19" i="1"/>
  <c r="N18" i="1"/>
  <c r="N16" i="1"/>
  <c r="N15" i="1"/>
  <c r="N14" i="1"/>
  <c r="N13" i="1"/>
  <c r="D13" i="1"/>
  <c r="D12" i="1"/>
  <c r="N11" i="1"/>
  <c r="D11" i="1"/>
  <c r="N10" i="1"/>
  <c r="D10" i="1"/>
  <c r="N9" i="1"/>
  <c r="D9" i="1"/>
  <c r="N8" i="1"/>
  <c r="D8" i="1"/>
  <c r="D7" i="1"/>
  <c r="N6" i="1"/>
  <c r="D6" i="1"/>
  <c r="N5" i="1"/>
  <c r="D5" i="1"/>
  <c r="D4" i="1"/>
  <c r="N3" i="1"/>
  <c r="D3" i="1"/>
  <c r="S2" i="1" l="1"/>
  <c r="R3" i="1" l="1"/>
  <c r="S3" i="1"/>
</calcChain>
</file>

<file path=xl/sharedStrings.xml><?xml version="1.0" encoding="utf-8"?>
<sst xmlns="http://schemas.openxmlformats.org/spreadsheetml/2006/main" count="403" uniqueCount="208">
  <si>
    <t>site_id</t>
  </si>
  <si>
    <t>year</t>
  </si>
  <si>
    <t>site_code</t>
  </si>
  <si>
    <t>match</t>
  </si>
  <si>
    <t>indicator_group</t>
  </si>
  <si>
    <t>ig_n_taxa</t>
  </si>
  <si>
    <t>positive_div</t>
  </si>
  <si>
    <t>negative_div</t>
  </si>
  <si>
    <t>net_diversity</t>
  </si>
  <si>
    <t>dsfi_value</t>
  </si>
  <si>
    <t>original_dsfi_LEPA</t>
  </si>
  <si>
    <t>hand_calculated_dsfi</t>
  </si>
  <si>
    <t>modification_state</t>
  </si>
  <si>
    <t>LTR1013</t>
  </si>
  <si>
    <t>LTR1013_2022</t>
  </si>
  <si>
    <t>N</t>
  </si>
  <si>
    <t>LTR1027</t>
  </si>
  <si>
    <t>LTR1027_2022</t>
  </si>
  <si>
    <t>LTR1070</t>
  </si>
  <si>
    <t>LTR1070_2022</t>
  </si>
  <si>
    <t>LTR1076</t>
  </si>
  <si>
    <t>LTR1076_2022</t>
  </si>
  <si>
    <t>LTR1101</t>
  </si>
  <si>
    <t>LTR1101_2022</t>
  </si>
  <si>
    <t>LTR1105</t>
  </si>
  <si>
    <t>LTR1105_2022</t>
  </si>
  <si>
    <t>LTR1192</t>
  </si>
  <si>
    <t>LTR1192_2022</t>
  </si>
  <si>
    <t>LTR1299</t>
  </si>
  <si>
    <t>LTR1299_2022</t>
  </si>
  <si>
    <t>LTR1300</t>
  </si>
  <si>
    <t>LTR1300_2022</t>
  </si>
  <si>
    <t>LTR1304</t>
  </si>
  <si>
    <t>LTR1304_2022</t>
  </si>
  <si>
    <t>LTR1320</t>
  </si>
  <si>
    <t>LTR1320_2022</t>
  </si>
  <si>
    <t>LTR1339</t>
  </si>
  <si>
    <t>LTR1339_2022</t>
  </si>
  <si>
    <t>LTR1349</t>
  </si>
  <si>
    <t>LTR1349_2022</t>
  </si>
  <si>
    <t>LTR1378</t>
  </si>
  <si>
    <t>LTR1378_2022</t>
  </si>
  <si>
    <t>LTR1379</t>
  </si>
  <si>
    <t>LTR1379_2022</t>
  </si>
  <si>
    <t>LTR1385</t>
  </si>
  <si>
    <t>LTR1385_2022</t>
  </si>
  <si>
    <t>LTR1420</t>
  </si>
  <si>
    <t>LTR1420_2022</t>
  </si>
  <si>
    <t>LTR1447</t>
  </si>
  <si>
    <t>LTR1447_2022</t>
  </si>
  <si>
    <t>LTR1449</t>
  </si>
  <si>
    <t>LTR1449_2022</t>
  </si>
  <si>
    <t>LTR1459</t>
  </si>
  <si>
    <t>LTR1459_2022</t>
  </si>
  <si>
    <t>LTR1461</t>
  </si>
  <si>
    <t>LTR1461_2022</t>
  </si>
  <si>
    <t>LTR1466</t>
  </si>
  <si>
    <t>LTR1466_2022</t>
  </si>
  <si>
    <t>LTR1467</t>
  </si>
  <si>
    <t>LTR1467_2022</t>
  </si>
  <si>
    <t>LTR1472</t>
  </si>
  <si>
    <t>LTR1472_2022</t>
  </si>
  <si>
    <t>LTR1482</t>
  </si>
  <si>
    <t>LTR1482_2022</t>
  </si>
  <si>
    <t>LTR1486</t>
  </si>
  <si>
    <t>LTR1486_2022</t>
  </si>
  <si>
    <t>LTR1488</t>
  </si>
  <si>
    <t>LTR1488_2022</t>
  </si>
  <si>
    <t>LTR1492</t>
  </si>
  <si>
    <t>LTR1492_2022</t>
  </si>
  <si>
    <t>LTR1495</t>
  </si>
  <si>
    <t>LTR1495_2022</t>
  </si>
  <si>
    <t>LTR1501</t>
  </si>
  <si>
    <t>LTR1501_2022</t>
  </si>
  <si>
    <t>LTR1502</t>
  </si>
  <si>
    <t>LTR1502_2022</t>
  </si>
  <si>
    <t>LTR151</t>
  </si>
  <si>
    <t>LTR151_2022</t>
  </si>
  <si>
    <t>LTR1528</t>
  </si>
  <si>
    <t>LTR1528_2022</t>
  </si>
  <si>
    <t>LTR1578</t>
  </si>
  <si>
    <t>LTR1578_2022</t>
  </si>
  <si>
    <t>LTR1585</t>
  </si>
  <si>
    <t>LTR1585_2022</t>
  </si>
  <si>
    <t>LTR1586</t>
  </si>
  <si>
    <t>LTR1586_2022</t>
  </si>
  <si>
    <t>LTR1587</t>
  </si>
  <si>
    <t>LTR1587_2022</t>
  </si>
  <si>
    <t>LTR1589</t>
  </si>
  <si>
    <t>LTR1589_2022</t>
  </si>
  <si>
    <t>LTR1610</t>
  </si>
  <si>
    <t>LTR1610_2022</t>
  </si>
  <si>
    <t>LTR1619</t>
  </si>
  <si>
    <t>LTR1619_2022</t>
  </si>
  <si>
    <t>LTR162</t>
  </si>
  <si>
    <t>LTR162_2022</t>
  </si>
  <si>
    <t>LTR1620</t>
  </si>
  <si>
    <t>LTR1620_2022</t>
  </si>
  <si>
    <t>LTR1622</t>
  </si>
  <si>
    <t>LTR1622_2022</t>
  </si>
  <si>
    <t>LTR1629</t>
  </si>
  <si>
    <t>LTR1629_2022</t>
  </si>
  <si>
    <t>LTR163</t>
  </si>
  <si>
    <t>LTR163_2022</t>
  </si>
  <si>
    <t>LTR1630</t>
  </si>
  <si>
    <t>LTR1630_2022</t>
  </si>
  <si>
    <t>LTR1631</t>
  </si>
  <si>
    <t>LTR1631_2022</t>
  </si>
  <si>
    <t>LTR1637</t>
  </si>
  <si>
    <t>LTR1637_2022</t>
  </si>
  <si>
    <t>LTR1641</t>
  </si>
  <si>
    <t>LTR1641_2022</t>
  </si>
  <si>
    <t>LTR1642</t>
  </si>
  <si>
    <t>LTR1642_2022</t>
  </si>
  <si>
    <t>LTR1649</t>
  </si>
  <si>
    <t>LTR1649_2022</t>
  </si>
  <si>
    <t>LTR1654</t>
  </si>
  <si>
    <t>LTR1654_2022</t>
  </si>
  <si>
    <t>LTR1655</t>
  </si>
  <si>
    <t>LTR1655_2022</t>
  </si>
  <si>
    <t>LTR1657</t>
  </si>
  <si>
    <t>LTR1657_2022</t>
  </si>
  <si>
    <t>LTR1659</t>
  </si>
  <si>
    <t>LTR1659_2022</t>
  </si>
  <si>
    <t>LTR1660</t>
  </si>
  <si>
    <t>LTR1660_2022</t>
  </si>
  <si>
    <t>LTR1661</t>
  </si>
  <si>
    <t>LTR1661_2022</t>
  </si>
  <si>
    <t>LTR1667</t>
  </si>
  <si>
    <t>LTR1667_2022</t>
  </si>
  <si>
    <t>LTR1671</t>
  </si>
  <si>
    <t>LTR1671_2022</t>
  </si>
  <si>
    <t>LTR1674</t>
  </si>
  <si>
    <t>LTR1674_2022</t>
  </si>
  <si>
    <t>LTR1680</t>
  </si>
  <si>
    <t>LTR1680_2022</t>
  </si>
  <si>
    <t>LTR1683</t>
  </si>
  <si>
    <t>LTR1683_2022</t>
  </si>
  <si>
    <t>LTR1684</t>
  </si>
  <si>
    <t>LTR1684_2022</t>
  </si>
  <si>
    <t>LTR1687</t>
  </si>
  <si>
    <t>LTR1687_2022</t>
  </si>
  <si>
    <t>LTR1688</t>
  </si>
  <si>
    <t>LTR1688_2022</t>
  </si>
  <si>
    <t>LTR218</t>
  </si>
  <si>
    <t>LTR218_2022</t>
  </si>
  <si>
    <t>LTR219</t>
  </si>
  <si>
    <t>LTR219_2022</t>
  </si>
  <si>
    <t>LTR232</t>
  </si>
  <si>
    <t>LTR232_2022</t>
  </si>
  <si>
    <t>LTR236</t>
  </si>
  <si>
    <t>LTR236_2022</t>
  </si>
  <si>
    <t>LTR239</t>
  </si>
  <si>
    <t>LTR239_2022</t>
  </si>
  <si>
    <t>LTR282</t>
  </si>
  <si>
    <t>LTR282_2022</t>
  </si>
  <si>
    <t>LTR301</t>
  </si>
  <si>
    <t>LTR301_2022</t>
  </si>
  <si>
    <t>LTR331</t>
  </si>
  <si>
    <t>LTR331_2022</t>
  </si>
  <si>
    <t>LTR337</t>
  </si>
  <si>
    <t>LTR337_2022</t>
  </si>
  <si>
    <t>LTR351</t>
  </si>
  <si>
    <t>LTR351_2022</t>
  </si>
  <si>
    <t>LTR360</t>
  </si>
  <si>
    <t>LTR360_2022</t>
  </si>
  <si>
    <t>LTR369</t>
  </si>
  <si>
    <t>LTR369_2022</t>
  </si>
  <si>
    <t>LTR386</t>
  </si>
  <si>
    <t>LTR386_2022</t>
  </si>
  <si>
    <t>LTR393</t>
  </si>
  <si>
    <t>LTR393_2022</t>
  </si>
  <si>
    <t>LTR411</t>
  </si>
  <si>
    <t>LTR411_2022</t>
  </si>
  <si>
    <t>LTR428</t>
  </si>
  <si>
    <t>LTR428_2022</t>
  </si>
  <si>
    <t>LTR433</t>
  </si>
  <si>
    <t>LTR433_2022</t>
  </si>
  <si>
    <t>LTR463</t>
  </si>
  <si>
    <t>LTR463_2022</t>
  </si>
  <si>
    <t>LTR484</t>
  </si>
  <si>
    <t>LTR484_2022</t>
  </si>
  <si>
    <t>LTR491</t>
  </si>
  <si>
    <t>LTR491_2022</t>
  </si>
  <si>
    <t>LTR521</t>
  </si>
  <si>
    <t>LTR521_2022</t>
  </si>
  <si>
    <t>LTR577</t>
  </si>
  <si>
    <t>LTR577_2022</t>
  </si>
  <si>
    <t>LTR623</t>
  </si>
  <si>
    <t>LTR623_2022</t>
  </si>
  <si>
    <t>LTR625</t>
  </si>
  <si>
    <t>LTR625_2022</t>
  </si>
  <si>
    <t>LTR703</t>
  </si>
  <si>
    <t>LTR703_2022</t>
  </si>
  <si>
    <t>LTR709</t>
  </si>
  <si>
    <t>LTR709_2022</t>
  </si>
  <si>
    <t>LTR726</t>
  </si>
  <si>
    <t>LTR726_2022</t>
  </si>
  <si>
    <t>LTR750</t>
  </si>
  <si>
    <t>LTR750_2022</t>
  </si>
  <si>
    <t>LTR775</t>
  </si>
  <si>
    <t>LTR775_2022</t>
  </si>
  <si>
    <t>LTR776</t>
  </si>
  <si>
    <t>LTR776_2022</t>
  </si>
  <si>
    <t>LTR945</t>
  </si>
  <si>
    <t>LTR945_2022</t>
  </si>
  <si>
    <t>LTR963</t>
  </si>
  <si>
    <t>LTR963_2022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</si>
</sst>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0" fontId="1" fillId="0" borderId="0" xfId="0" applyNumberFormat="1" applyFont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2A0E1-FCA7-4C2A-8A1C-2B336E54F032}">
  <dimension ref="A1:S98"/>
  <sheetViews>
    <sheetView tabSelected="1" workbookViewId="0">
      <selection activeCell="L10" sqref="L10"/>
    </sheetView>
  </sheetViews>
  <sheetFormatPr defaultRowHeight="14.5" x14ac:dyDescent="0.35"/>
  <cols>
    <col min="1" max="1" width="8.54296875" bestFit="1" customWidth="1"/>
    <col min="2" max="2" width="6.7265625" bestFit="1" customWidth="1"/>
    <col min="3" max="3" width="12.7265625" bestFit="1" customWidth="1"/>
    <col min="4" max="5" width="12.7265625" customWidth="1"/>
    <col min="6" max="6" width="16.453125" customWidth="1"/>
    <col min="7" max="7" width="11.1796875" customWidth="1"/>
    <col min="8" max="8" width="13" customWidth="1"/>
    <col min="9" max="9" width="13.54296875" customWidth="1"/>
    <col min="10" max="10" width="13.81640625" customWidth="1"/>
    <col min="11" max="11" width="11.54296875" customWidth="1"/>
    <col min="12" max="12" width="18.453125" bestFit="1" customWidth="1"/>
    <col min="13" max="13" width="18.453125" customWidth="1"/>
    <col min="14" max="14" width="8.26953125" customWidth="1"/>
    <col min="15" max="15" width="18.7265625" customWidth="1"/>
    <col min="18" max="19" width="8.7265625" customWidth="1"/>
  </cols>
  <sheetData>
    <row r="1" spans="1:19" x14ac:dyDescent="0.35">
      <c r="A1" t="s">
        <v>0</v>
      </c>
      <c r="B1" t="s">
        <v>1</v>
      </c>
      <c r="C1" t="s">
        <v>2</v>
      </c>
      <c r="D1" t="s">
        <v>3</v>
      </c>
      <c r="E1" t="s">
        <v>2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3</v>
      </c>
      <c r="O1" t="s">
        <v>12</v>
      </c>
      <c r="R1" s="1" t="b">
        <v>1</v>
      </c>
      <c r="S1" s="1" t="b">
        <v>0</v>
      </c>
    </row>
    <row r="2" spans="1:19" x14ac:dyDescent="0.35">
      <c r="A2" t="s">
        <v>13</v>
      </c>
      <c r="B2">
        <v>2022</v>
      </c>
      <c r="C2" t="s">
        <v>14</v>
      </c>
      <c r="D2" t="b">
        <f t="shared" ref="D2:D33" si="0">EXACT(C2,E2)</f>
        <v>1</v>
      </c>
      <c r="E2" t="s">
        <v>14</v>
      </c>
      <c r="F2">
        <v>1</v>
      </c>
      <c r="G2">
        <v>1</v>
      </c>
      <c r="H2">
        <v>6</v>
      </c>
      <c r="I2">
        <v>3</v>
      </c>
      <c r="J2">
        <v>3</v>
      </c>
      <c r="K2">
        <v>4</v>
      </c>
      <c r="L2">
        <v>4</v>
      </c>
      <c r="N2" t="b">
        <f>IF(M2&gt;0, K2=M2, IF(L2&gt;0, K2=L2, "BLANK"))</f>
        <v>1</v>
      </c>
      <c r="O2" t="s">
        <v>15</v>
      </c>
      <c r="R2" s="1">
        <f>COUNTIF(N2:N98, TRUE)</f>
        <v>97</v>
      </c>
      <c r="S2" s="1">
        <f>COUNTIF(N2:N98, FALSE)</f>
        <v>0</v>
      </c>
    </row>
    <row r="3" spans="1:19" x14ac:dyDescent="0.35">
      <c r="A3" t="s">
        <v>16</v>
      </c>
      <c r="B3">
        <v>2022</v>
      </c>
      <c r="C3" t="s">
        <v>17</v>
      </c>
      <c r="D3" t="b">
        <f t="shared" si="0"/>
        <v>1</v>
      </c>
      <c r="E3" t="s">
        <v>17</v>
      </c>
      <c r="F3">
        <v>2</v>
      </c>
      <c r="G3">
        <v>1</v>
      </c>
      <c r="H3">
        <v>2</v>
      </c>
      <c r="I3">
        <v>1</v>
      </c>
      <c r="J3">
        <v>1</v>
      </c>
      <c r="K3">
        <v>4</v>
      </c>
      <c r="L3">
        <v>4</v>
      </c>
      <c r="N3" t="b">
        <f t="shared" ref="N3:N33" si="1">IF(M3&gt;0, K3=M3, IF(L3&gt;0, K3=L3, "BLANK"))</f>
        <v>1</v>
      </c>
      <c r="O3" t="s">
        <v>15</v>
      </c>
      <c r="R3" s="2">
        <f>R2/SUM($R$2:$S$2)</f>
        <v>1</v>
      </c>
      <c r="S3" s="2">
        <f>S2/SUM($R$2:$S$2)</f>
        <v>0</v>
      </c>
    </row>
    <row r="4" spans="1:19" x14ac:dyDescent="0.35">
      <c r="A4" t="s">
        <v>18</v>
      </c>
      <c r="B4">
        <v>2022</v>
      </c>
      <c r="C4" t="s">
        <v>19</v>
      </c>
      <c r="D4" t="b">
        <f t="shared" si="0"/>
        <v>1</v>
      </c>
      <c r="E4" t="s">
        <v>19</v>
      </c>
      <c r="F4">
        <v>4</v>
      </c>
      <c r="G4">
        <v>1</v>
      </c>
      <c r="H4">
        <v>3</v>
      </c>
      <c r="I4">
        <v>3</v>
      </c>
      <c r="J4">
        <v>0</v>
      </c>
      <c r="K4">
        <v>3</v>
      </c>
      <c r="L4">
        <v>3</v>
      </c>
      <c r="N4" t="b">
        <f t="shared" si="1"/>
        <v>1</v>
      </c>
      <c r="O4" t="s">
        <v>15</v>
      </c>
    </row>
    <row r="5" spans="1:19" x14ac:dyDescent="0.35">
      <c r="A5" t="s">
        <v>20</v>
      </c>
      <c r="B5">
        <v>2022</v>
      </c>
      <c r="C5" t="s">
        <v>21</v>
      </c>
      <c r="D5" t="b">
        <f t="shared" si="0"/>
        <v>1</v>
      </c>
      <c r="E5" t="s">
        <v>21</v>
      </c>
      <c r="F5">
        <v>4</v>
      </c>
      <c r="G5">
        <v>2</v>
      </c>
      <c r="H5">
        <v>2</v>
      </c>
      <c r="I5">
        <v>3</v>
      </c>
      <c r="J5">
        <v>-1</v>
      </c>
      <c r="K5">
        <v>3</v>
      </c>
      <c r="L5">
        <v>3</v>
      </c>
      <c r="N5" t="b">
        <f t="shared" si="1"/>
        <v>1</v>
      </c>
      <c r="O5" t="s">
        <v>15</v>
      </c>
    </row>
    <row r="6" spans="1:19" x14ac:dyDescent="0.35">
      <c r="A6" t="s">
        <v>22</v>
      </c>
      <c r="B6">
        <v>2022</v>
      </c>
      <c r="C6" t="s">
        <v>23</v>
      </c>
      <c r="D6" t="b">
        <f t="shared" si="0"/>
        <v>1</v>
      </c>
      <c r="E6" t="s">
        <v>23</v>
      </c>
      <c r="F6">
        <v>1</v>
      </c>
      <c r="G6">
        <v>2</v>
      </c>
      <c r="H6">
        <v>10</v>
      </c>
      <c r="I6">
        <v>2</v>
      </c>
      <c r="J6">
        <v>8</v>
      </c>
      <c r="K6">
        <v>6</v>
      </c>
      <c r="L6">
        <v>6</v>
      </c>
      <c r="N6" t="b">
        <f t="shared" si="1"/>
        <v>1</v>
      </c>
      <c r="O6" t="s">
        <v>15</v>
      </c>
    </row>
    <row r="7" spans="1:19" x14ac:dyDescent="0.35">
      <c r="A7" t="s">
        <v>24</v>
      </c>
      <c r="B7">
        <v>2022</v>
      </c>
      <c r="C7" t="s">
        <v>25</v>
      </c>
      <c r="D7" t="b">
        <f t="shared" si="0"/>
        <v>1</v>
      </c>
      <c r="E7" t="s">
        <v>25</v>
      </c>
      <c r="F7">
        <v>1</v>
      </c>
      <c r="G7">
        <v>1</v>
      </c>
      <c r="H7">
        <v>5</v>
      </c>
      <c r="I7">
        <v>2</v>
      </c>
      <c r="J7">
        <v>3</v>
      </c>
      <c r="K7">
        <v>4</v>
      </c>
      <c r="L7">
        <v>4</v>
      </c>
      <c r="N7" t="b">
        <f t="shared" si="1"/>
        <v>1</v>
      </c>
      <c r="O7" t="s">
        <v>15</v>
      </c>
    </row>
    <row r="8" spans="1:19" x14ac:dyDescent="0.35">
      <c r="A8" t="s">
        <v>26</v>
      </c>
      <c r="B8">
        <v>2022</v>
      </c>
      <c r="C8" t="s">
        <v>27</v>
      </c>
      <c r="D8" t="b">
        <f t="shared" si="0"/>
        <v>1</v>
      </c>
      <c r="E8" t="s">
        <v>27</v>
      </c>
      <c r="F8">
        <v>1</v>
      </c>
      <c r="G8">
        <v>1</v>
      </c>
      <c r="H8">
        <v>6</v>
      </c>
      <c r="I8">
        <v>2</v>
      </c>
      <c r="J8">
        <v>4</v>
      </c>
      <c r="K8">
        <v>5</v>
      </c>
      <c r="L8">
        <v>4</v>
      </c>
      <c r="M8">
        <v>5</v>
      </c>
      <c r="N8" t="b">
        <f t="shared" si="1"/>
        <v>1</v>
      </c>
      <c r="O8" t="s">
        <v>15</v>
      </c>
    </row>
    <row r="9" spans="1:19" x14ac:dyDescent="0.35">
      <c r="A9" t="s">
        <v>28</v>
      </c>
      <c r="B9">
        <v>2022</v>
      </c>
      <c r="C9" t="s">
        <v>29</v>
      </c>
      <c r="D9" t="b">
        <f t="shared" si="0"/>
        <v>1</v>
      </c>
      <c r="E9" t="s">
        <v>29</v>
      </c>
      <c r="F9">
        <v>1</v>
      </c>
      <c r="G9">
        <v>7</v>
      </c>
      <c r="H9">
        <v>18</v>
      </c>
      <c r="I9">
        <v>1</v>
      </c>
      <c r="J9">
        <v>17</v>
      </c>
      <c r="K9">
        <v>7</v>
      </c>
      <c r="L9">
        <v>7</v>
      </c>
      <c r="N9" t="b">
        <f t="shared" si="1"/>
        <v>1</v>
      </c>
      <c r="O9" t="s">
        <v>15</v>
      </c>
    </row>
    <row r="10" spans="1:19" x14ac:dyDescent="0.35">
      <c r="A10" t="s">
        <v>30</v>
      </c>
      <c r="B10">
        <v>2022</v>
      </c>
      <c r="C10" t="s">
        <v>31</v>
      </c>
      <c r="D10" t="b">
        <f t="shared" si="0"/>
        <v>1</v>
      </c>
      <c r="E10" t="s">
        <v>31</v>
      </c>
      <c r="F10">
        <v>1</v>
      </c>
      <c r="G10">
        <v>1</v>
      </c>
      <c r="H10">
        <v>7</v>
      </c>
      <c r="I10">
        <v>2</v>
      </c>
      <c r="J10">
        <v>5</v>
      </c>
      <c r="K10">
        <v>5</v>
      </c>
      <c r="L10">
        <v>5</v>
      </c>
      <c r="N10" t="b">
        <f t="shared" si="1"/>
        <v>1</v>
      </c>
      <c r="O10" t="s">
        <v>15</v>
      </c>
    </row>
    <row r="11" spans="1:19" x14ac:dyDescent="0.35">
      <c r="A11" t="s">
        <v>32</v>
      </c>
      <c r="B11">
        <v>2022</v>
      </c>
      <c r="C11" t="s">
        <v>33</v>
      </c>
      <c r="D11" t="b">
        <f t="shared" si="0"/>
        <v>1</v>
      </c>
      <c r="E11" t="s">
        <v>33</v>
      </c>
      <c r="F11">
        <v>4</v>
      </c>
      <c r="G11">
        <v>3</v>
      </c>
      <c r="H11">
        <v>3</v>
      </c>
      <c r="I11">
        <v>3</v>
      </c>
      <c r="J11">
        <v>0</v>
      </c>
      <c r="K11">
        <v>3</v>
      </c>
      <c r="L11">
        <v>3</v>
      </c>
      <c r="N11" t="b">
        <f t="shared" si="1"/>
        <v>1</v>
      </c>
      <c r="O11" t="s">
        <v>15</v>
      </c>
    </row>
    <row r="12" spans="1:19" x14ac:dyDescent="0.35">
      <c r="A12" t="s">
        <v>34</v>
      </c>
      <c r="B12">
        <v>2022</v>
      </c>
      <c r="C12" t="s">
        <v>35</v>
      </c>
      <c r="D12" t="b">
        <f t="shared" si="0"/>
        <v>1</v>
      </c>
      <c r="E12" t="s">
        <v>35</v>
      </c>
      <c r="F12">
        <v>1</v>
      </c>
      <c r="G12">
        <v>5</v>
      </c>
      <c r="H12">
        <v>15</v>
      </c>
      <c r="I12">
        <v>0</v>
      </c>
      <c r="J12">
        <v>15</v>
      </c>
      <c r="K12">
        <v>7</v>
      </c>
      <c r="L12">
        <v>7</v>
      </c>
      <c r="N12" t="b">
        <f t="shared" si="1"/>
        <v>1</v>
      </c>
      <c r="O12" t="s">
        <v>15</v>
      </c>
    </row>
    <row r="13" spans="1:19" x14ac:dyDescent="0.35">
      <c r="A13" t="s">
        <v>36</v>
      </c>
      <c r="B13">
        <v>2022</v>
      </c>
      <c r="C13" t="s">
        <v>37</v>
      </c>
      <c r="D13" t="b">
        <f t="shared" si="0"/>
        <v>1</v>
      </c>
      <c r="E13" t="s">
        <v>37</v>
      </c>
      <c r="F13">
        <v>1</v>
      </c>
      <c r="G13">
        <v>1</v>
      </c>
      <c r="H13">
        <v>3</v>
      </c>
      <c r="I13">
        <v>0</v>
      </c>
      <c r="J13">
        <v>3</v>
      </c>
      <c r="K13">
        <v>4</v>
      </c>
      <c r="L13">
        <v>4</v>
      </c>
      <c r="N13" t="b">
        <f t="shared" si="1"/>
        <v>1</v>
      </c>
      <c r="O13" t="s">
        <v>15</v>
      </c>
    </row>
    <row r="14" spans="1:19" x14ac:dyDescent="0.35">
      <c r="A14" t="s">
        <v>38</v>
      </c>
      <c r="B14">
        <v>2022</v>
      </c>
      <c r="C14" t="s">
        <v>39</v>
      </c>
      <c r="D14" t="b">
        <f t="shared" si="0"/>
        <v>1</v>
      </c>
      <c r="E14" t="s">
        <v>39</v>
      </c>
      <c r="F14">
        <v>1</v>
      </c>
      <c r="G14">
        <v>1</v>
      </c>
      <c r="H14">
        <v>4</v>
      </c>
      <c r="I14">
        <v>3</v>
      </c>
      <c r="J14">
        <v>1</v>
      </c>
      <c r="K14">
        <v>4</v>
      </c>
      <c r="L14">
        <v>4</v>
      </c>
      <c r="N14" t="b">
        <f t="shared" si="1"/>
        <v>1</v>
      </c>
      <c r="O14" t="s">
        <v>15</v>
      </c>
    </row>
    <row r="15" spans="1:19" x14ac:dyDescent="0.35">
      <c r="A15" t="s">
        <v>40</v>
      </c>
      <c r="B15">
        <v>2022</v>
      </c>
      <c r="C15" t="s">
        <v>41</v>
      </c>
      <c r="D15" t="b">
        <f t="shared" si="0"/>
        <v>1</v>
      </c>
      <c r="E15" t="s">
        <v>41</v>
      </c>
      <c r="F15">
        <v>1</v>
      </c>
      <c r="G15">
        <v>1</v>
      </c>
      <c r="H15">
        <v>5</v>
      </c>
      <c r="I15">
        <v>0</v>
      </c>
      <c r="J15">
        <v>5</v>
      </c>
      <c r="K15">
        <v>5</v>
      </c>
      <c r="L15">
        <v>5</v>
      </c>
      <c r="N15" t="b">
        <f t="shared" si="1"/>
        <v>1</v>
      </c>
      <c r="O15" t="s">
        <v>15</v>
      </c>
    </row>
    <row r="16" spans="1:19" x14ac:dyDescent="0.35">
      <c r="A16" t="s">
        <v>42</v>
      </c>
      <c r="B16">
        <v>2022</v>
      </c>
      <c r="C16" t="s">
        <v>43</v>
      </c>
      <c r="D16" t="b">
        <f t="shared" si="0"/>
        <v>1</v>
      </c>
      <c r="E16" t="s">
        <v>43</v>
      </c>
      <c r="F16">
        <v>1</v>
      </c>
      <c r="G16">
        <v>2</v>
      </c>
      <c r="H16">
        <v>13</v>
      </c>
      <c r="I16">
        <v>7</v>
      </c>
      <c r="J16">
        <v>6</v>
      </c>
      <c r="K16">
        <v>6</v>
      </c>
      <c r="L16">
        <v>6</v>
      </c>
      <c r="N16" t="b">
        <f t="shared" si="1"/>
        <v>1</v>
      </c>
      <c r="O16" t="s">
        <v>15</v>
      </c>
    </row>
    <row r="17" spans="1:15" x14ac:dyDescent="0.35">
      <c r="A17" t="s">
        <v>44</v>
      </c>
      <c r="B17">
        <v>2022</v>
      </c>
      <c r="C17" t="s">
        <v>45</v>
      </c>
      <c r="D17" t="b">
        <f t="shared" si="0"/>
        <v>1</v>
      </c>
      <c r="E17" t="s">
        <v>45</v>
      </c>
      <c r="F17">
        <v>1</v>
      </c>
      <c r="G17">
        <v>2</v>
      </c>
      <c r="H17">
        <v>4</v>
      </c>
      <c r="I17">
        <v>1</v>
      </c>
      <c r="J17">
        <v>3</v>
      </c>
      <c r="K17">
        <v>5</v>
      </c>
      <c r="L17">
        <v>5</v>
      </c>
      <c r="N17" t="b">
        <f t="shared" si="1"/>
        <v>1</v>
      </c>
      <c r="O17" t="s">
        <v>15</v>
      </c>
    </row>
    <row r="18" spans="1:15" x14ac:dyDescent="0.35">
      <c r="A18" t="s">
        <v>46</v>
      </c>
      <c r="B18">
        <v>2022</v>
      </c>
      <c r="C18" t="s">
        <v>47</v>
      </c>
      <c r="D18" t="b">
        <f t="shared" si="0"/>
        <v>1</v>
      </c>
      <c r="E18" t="s">
        <v>47</v>
      </c>
      <c r="F18">
        <v>1</v>
      </c>
      <c r="G18">
        <v>2</v>
      </c>
      <c r="H18">
        <v>8</v>
      </c>
      <c r="I18">
        <v>1</v>
      </c>
      <c r="J18">
        <v>7</v>
      </c>
      <c r="K18">
        <v>6</v>
      </c>
      <c r="L18">
        <v>6</v>
      </c>
      <c r="N18" t="b">
        <f t="shared" si="1"/>
        <v>1</v>
      </c>
      <c r="O18" t="s">
        <v>15</v>
      </c>
    </row>
    <row r="19" spans="1:15" x14ac:dyDescent="0.35">
      <c r="A19" t="s">
        <v>48</v>
      </c>
      <c r="B19">
        <v>2022</v>
      </c>
      <c r="C19" t="s">
        <v>49</v>
      </c>
      <c r="D19" t="b">
        <f t="shared" si="0"/>
        <v>1</v>
      </c>
      <c r="E19" t="s">
        <v>49</v>
      </c>
      <c r="F19">
        <v>1</v>
      </c>
      <c r="G19">
        <v>1</v>
      </c>
      <c r="H19">
        <v>8</v>
      </c>
      <c r="I19">
        <v>3</v>
      </c>
      <c r="J19">
        <v>5</v>
      </c>
      <c r="K19">
        <v>5</v>
      </c>
      <c r="L19">
        <v>5</v>
      </c>
      <c r="N19" t="b">
        <f t="shared" si="1"/>
        <v>1</v>
      </c>
      <c r="O19" t="s">
        <v>15</v>
      </c>
    </row>
    <row r="20" spans="1:15" x14ac:dyDescent="0.35">
      <c r="A20" t="s">
        <v>50</v>
      </c>
      <c r="B20">
        <v>2022</v>
      </c>
      <c r="C20" t="s">
        <v>51</v>
      </c>
      <c r="D20" t="b">
        <f t="shared" si="0"/>
        <v>1</v>
      </c>
      <c r="E20" t="s">
        <v>51</v>
      </c>
      <c r="F20">
        <v>1</v>
      </c>
      <c r="G20">
        <v>2</v>
      </c>
      <c r="H20">
        <v>14</v>
      </c>
      <c r="I20">
        <v>1</v>
      </c>
      <c r="J20">
        <v>13</v>
      </c>
      <c r="K20">
        <v>7</v>
      </c>
      <c r="L20">
        <v>7</v>
      </c>
      <c r="N20" t="b">
        <f t="shared" si="1"/>
        <v>1</v>
      </c>
      <c r="O20" t="s">
        <v>15</v>
      </c>
    </row>
    <row r="21" spans="1:15" x14ac:dyDescent="0.35">
      <c r="A21" t="s">
        <v>52</v>
      </c>
      <c r="B21">
        <v>2022</v>
      </c>
      <c r="C21" t="s">
        <v>53</v>
      </c>
      <c r="D21" t="b">
        <f t="shared" si="0"/>
        <v>1</v>
      </c>
      <c r="E21" t="s">
        <v>53</v>
      </c>
      <c r="F21">
        <v>1</v>
      </c>
      <c r="G21">
        <v>3</v>
      </c>
      <c r="H21">
        <v>8</v>
      </c>
      <c r="I21">
        <v>1</v>
      </c>
      <c r="J21">
        <v>7</v>
      </c>
      <c r="K21">
        <v>6</v>
      </c>
      <c r="L21">
        <v>6</v>
      </c>
      <c r="N21" t="b">
        <f t="shared" si="1"/>
        <v>1</v>
      </c>
      <c r="O21" t="s">
        <v>15</v>
      </c>
    </row>
    <row r="22" spans="1:15" x14ac:dyDescent="0.35">
      <c r="A22" t="s">
        <v>54</v>
      </c>
      <c r="B22">
        <v>2022</v>
      </c>
      <c r="C22" t="s">
        <v>55</v>
      </c>
      <c r="D22" t="b">
        <f t="shared" si="0"/>
        <v>1</v>
      </c>
      <c r="E22" t="s">
        <v>55</v>
      </c>
      <c r="F22">
        <v>1</v>
      </c>
      <c r="G22">
        <v>1</v>
      </c>
      <c r="H22">
        <v>3</v>
      </c>
      <c r="I22">
        <v>2</v>
      </c>
      <c r="J22">
        <v>1</v>
      </c>
      <c r="K22">
        <v>4</v>
      </c>
      <c r="L22">
        <v>4</v>
      </c>
      <c r="N22" t="b">
        <f t="shared" si="1"/>
        <v>1</v>
      </c>
      <c r="O22" t="s">
        <v>15</v>
      </c>
    </row>
    <row r="23" spans="1:15" x14ac:dyDescent="0.35">
      <c r="A23" t="s">
        <v>56</v>
      </c>
      <c r="B23">
        <v>2022</v>
      </c>
      <c r="C23" t="s">
        <v>57</v>
      </c>
      <c r="D23" t="b">
        <f t="shared" si="0"/>
        <v>1</v>
      </c>
      <c r="E23" t="s">
        <v>57</v>
      </c>
      <c r="F23">
        <v>3</v>
      </c>
      <c r="G23">
        <v>2</v>
      </c>
      <c r="H23">
        <v>5</v>
      </c>
      <c r="I23">
        <v>5</v>
      </c>
      <c r="J23">
        <v>0</v>
      </c>
      <c r="K23">
        <v>4</v>
      </c>
      <c r="L23">
        <v>4</v>
      </c>
      <c r="N23" t="b">
        <f t="shared" si="1"/>
        <v>1</v>
      </c>
      <c r="O23" t="s">
        <v>15</v>
      </c>
    </row>
    <row r="24" spans="1:15" x14ac:dyDescent="0.35">
      <c r="A24" t="s">
        <v>58</v>
      </c>
      <c r="B24">
        <v>2022</v>
      </c>
      <c r="C24" t="s">
        <v>59</v>
      </c>
      <c r="D24" t="b">
        <f t="shared" si="0"/>
        <v>1</v>
      </c>
      <c r="E24" t="s">
        <v>59</v>
      </c>
      <c r="F24">
        <v>1</v>
      </c>
      <c r="G24">
        <v>1</v>
      </c>
      <c r="H24">
        <v>5</v>
      </c>
      <c r="I24">
        <v>2</v>
      </c>
      <c r="J24">
        <v>3</v>
      </c>
      <c r="K24">
        <v>4</v>
      </c>
      <c r="L24">
        <v>4</v>
      </c>
      <c r="N24" t="b">
        <f t="shared" si="1"/>
        <v>1</v>
      </c>
      <c r="O24" t="s">
        <v>15</v>
      </c>
    </row>
    <row r="25" spans="1:15" x14ac:dyDescent="0.35">
      <c r="A25" t="s">
        <v>60</v>
      </c>
      <c r="B25">
        <v>2022</v>
      </c>
      <c r="C25" t="s">
        <v>61</v>
      </c>
      <c r="D25" t="b">
        <f t="shared" si="0"/>
        <v>1</v>
      </c>
      <c r="E25" t="s">
        <v>61</v>
      </c>
      <c r="F25">
        <v>1</v>
      </c>
      <c r="G25">
        <v>3</v>
      </c>
      <c r="H25">
        <v>10</v>
      </c>
      <c r="I25">
        <v>0</v>
      </c>
      <c r="J25">
        <v>10</v>
      </c>
      <c r="K25">
        <v>7</v>
      </c>
      <c r="L25">
        <v>7</v>
      </c>
      <c r="N25" t="b">
        <f t="shared" si="1"/>
        <v>1</v>
      </c>
      <c r="O25" t="s">
        <v>15</v>
      </c>
    </row>
    <row r="26" spans="1:15" x14ac:dyDescent="0.35">
      <c r="A26" t="s">
        <v>62</v>
      </c>
      <c r="B26">
        <v>2022</v>
      </c>
      <c r="C26" t="s">
        <v>63</v>
      </c>
      <c r="D26" t="b">
        <f t="shared" si="0"/>
        <v>1</v>
      </c>
      <c r="E26" t="s">
        <v>63</v>
      </c>
      <c r="F26">
        <v>1</v>
      </c>
      <c r="G26">
        <v>2</v>
      </c>
      <c r="H26">
        <v>10</v>
      </c>
      <c r="I26">
        <v>0</v>
      </c>
      <c r="J26">
        <v>10</v>
      </c>
      <c r="K26">
        <v>7</v>
      </c>
      <c r="L26">
        <v>7</v>
      </c>
      <c r="N26" t="b">
        <f t="shared" si="1"/>
        <v>1</v>
      </c>
      <c r="O26" t="s">
        <v>15</v>
      </c>
    </row>
    <row r="27" spans="1:15" x14ac:dyDescent="0.35">
      <c r="A27" t="s">
        <v>64</v>
      </c>
      <c r="B27">
        <v>2022</v>
      </c>
      <c r="C27" t="s">
        <v>65</v>
      </c>
      <c r="D27" t="b">
        <f t="shared" si="0"/>
        <v>1</v>
      </c>
      <c r="E27" t="s">
        <v>65</v>
      </c>
      <c r="F27">
        <v>3</v>
      </c>
      <c r="G27">
        <v>1</v>
      </c>
      <c r="H27">
        <v>1</v>
      </c>
      <c r="I27">
        <v>1</v>
      </c>
      <c r="J27">
        <v>0</v>
      </c>
      <c r="K27">
        <v>4</v>
      </c>
      <c r="L27">
        <v>4</v>
      </c>
      <c r="N27" t="b">
        <f t="shared" si="1"/>
        <v>1</v>
      </c>
      <c r="O27" t="s">
        <v>15</v>
      </c>
    </row>
    <row r="28" spans="1:15" x14ac:dyDescent="0.35">
      <c r="A28" t="s">
        <v>66</v>
      </c>
      <c r="B28">
        <v>2022</v>
      </c>
      <c r="C28" t="s">
        <v>67</v>
      </c>
      <c r="D28" t="b">
        <f t="shared" si="0"/>
        <v>1</v>
      </c>
      <c r="E28" t="s">
        <v>67</v>
      </c>
      <c r="F28">
        <v>4</v>
      </c>
      <c r="G28">
        <v>2</v>
      </c>
      <c r="H28">
        <v>3</v>
      </c>
      <c r="I28">
        <v>4</v>
      </c>
      <c r="J28">
        <v>-1</v>
      </c>
      <c r="K28">
        <v>3</v>
      </c>
      <c r="L28">
        <v>3</v>
      </c>
      <c r="N28" t="b">
        <f t="shared" si="1"/>
        <v>1</v>
      </c>
      <c r="O28" t="s">
        <v>15</v>
      </c>
    </row>
    <row r="29" spans="1:15" x14ac:dyDescent="0.35">
      <c r="A29" t="s">
        <v>68</v>
      </c>
      <c r="B29">
        <v>2022</v>
      </c>
      <c r="C29" t="s">
        <v>69</v>
      </c>
      <c r="D29" t="b">
        <f t="shared" si="0"/>
        <v>1</v>
      </c>
      <c r="E29" t="s">
        <v>69</v>
      </c>
      <c r="F29">
        <v>1</v>
      </c>
      <c r="G29">
        <v>1</v>
      </c>
      <c r="H29">
        <v>5</v>
      </c>
      <c r="I29">
        <v>3</v>
      </c>
      <c r="J29">
        <v>2</v>
      </c>
      <c r="K29">
        <v>4</v>
      </c>
      <c r="L29">
        <v>4</v>
      </c>
      <c r="N29" t="b">
        <f t="shared" si="1"/>
        <v>1</v>
      </c>
      <c r="O29" t="s">
        <v>15</v>
      </c>
    </row>
    <row r="30" spans="1:15" x14ac:dyDescent="0.35">
      <c r="A30" t="s">
        <v>70</v>
      </c>
      <c r="B30">
        <v>2022</v>
      </c>
      <c r="C30" t="s">
        <v>71</v>
      </c>
      <c r="D30" t="b">
        <f t="shared" si="0"/>
        <v>1</v>
      </c>
      <c r="E30" t="s">
        <v>71</v>
      </c>
      <c r="F30">
        <v>1</v>
      </c>
      <c r="G30">
        <v>1</v>
      </c>
      <c r="H30">
        <v>5</v>
      </c>
      <c r="I30">
        <v>0</v>
      </c>
      <c r="J30">
        <v>5</v>
      </c>
      <c r="K30">
        <v>5</v>
      </c>
      <c r="L30">
        <v>5</v>
      </c>
      <c r="N30" t="b">
        <f t="shared" si="1"/>
        <v>1</v>
      </c>
      <c r="O30" t="s">
        <v>15</v>
      </c>
    </row>
    <row r="31" spans="1:15" x14ac:dyDescent="0.35">
      <c r="A31" t="s">
        <v>72</v>
      </c>
      <c r="B31">
        <v>2022</v>
      </c>
      <c r="C31" t="s">
        <v>73</v>
      </c>
      <c r="D31" t="b">
        <f t="shared" si="0"/>
        <v>1</v>
      </c>
      <c r="E31" t="s">
        <v>73</v>
      </c>
      <c r="F31">
        <v>1</v>
      </c>
      <c r="G31">
        <v>1</v>
      </c>
      <c r="H31">
        <v>4</v>
      </c>
      <c r="I31">
        <v>3</v>
      </c>
      <c r="J31">
        <v>1</v>
      </c>
      <c r="K31">
        <v>4</v>
      </c>
      <c r="L31">
        <v>4</v>
      </c>
      <c r="N31" t="b">
        <f t="shared" si="1"/>
        <v>1</v>
      </c>
      <c r="O31" t="s">
        <v>15</v>
      </c>
    </row>
    <row r="32" spans="1:15" x14ac:dyDescent="0.35">
      <c r="A32" t="s">
        <v>74</v>
      </c>
      <c r="B32">
        <v>2022</v>
      </c>
      <c r="C32" t="s">
        <v>75</v>
      </c>
      <c r="D32" t="b">
        <f t="shared" si="0"/>
        <v>1</v>
      </c>
      <c r="E32" t="s">
        <v>75</v>
      </c>
      <c r="F32">
        <v>1</v>
      </c>
      <c r="G32">
        <v>1</v>
      </c>
      <c r="H32">
        <v>10</v>
      </c>
      <c r="I32">
        <v>3</v>
      </c>
      <c r="J32">
        <v>7</v>
      </c>
      <c r="K32">
        <v>5</v>
      </c>
      <c r="L32">
        <v>5</v>
      </c>
      <c r="N32" t="b">
        <f t="shared" si="1"/>
        <v>1</v>
      </c>
      <c r="O32" t="s">
        <v>15</v>
      </c>
    </row>
    <row r="33" spans="1:15" x14ac:dyDescent="0.35">
      <c r="A33" t="s">
        <v>76</v>
      </c>
      <c r="B33">
        <v>2022</v>
      </c>
      <c r="C33" t="s">
        <v>77</v>
      </c>
      <c r="D33" t="b">
        <f t="shared" si="0"/>
        <v>1</v>
      </c>
      <c r="E33" t="s">
        <v>77</v>
      </c>
      <c r="F33">
        <v>1</v>
      </c>
      <c r="G33">
        <v>1</v>
      </c>
      <c r="H33">
        <v>7</v>
      </c>
      <c r="I33">
        <v>3</v>
      </c>
      <c r="J33">
        <v>4</v>
      </c>
      <c r="K33">
        <v>5</v>
      </c>
      <c r="L33">
        <v>5</v>
      </c>
      <c r="M33">
        <v>5</v>
      </c>
      <c r="N33" t="b">
        <f t="shared" si="1"/>
        <v>1</v>
      </c>
      <c r="O33" t="s">
        <v>15</v>
      </c>
    </row>
    <row r="34" spans="1:15" x14ac:dyDescent="0.35">
      <c r="A34" t="s">
        <v>78</v>
      </c>
      <c r="B34">
        <v>2022</v>
      </c>
      <c r="C34" t="s">
        <v>79</v>
      </c>
      <c r="D34" t="b">
        <f t="shared" ref="D34:D65" si="2">EXACT(C34,E34)</f>
        <v>1</v>
      </c>
      <c r="E34" t="s">
        <v>79</v>
      </c>
      <c r="F34">
        <v>3</v>
      </c>
      <c r="G34">
        <v>2</v>
      </c>
      <c r="H34">
        <v>2</v>
      </c>
      <c r="I34">
        <v>2</v>
      </c>
      <c r="J34">
        <v>0</v>
      </c>
      <c r="K34">
        <v>4</v>
      </c>
      <c r="L34">
        <v>4</v>
      </c>
      <c r="M34">
        <v>4</v>
      </c>
      <c r="N34" t="b">
        <f t="shared" ref="N34:N65" si="3">IF(M34&gt;0, K34=M34, IF(L34&gt;0, K34=L34, "BLANK"))</f>
        <v>1</v>
      </c>
      <c r="O34" t="s">
        <v>15</v>
      </c>
    </row>
    <row r="35" spans="1:15" x14ac:dyDescent="0.35">
      <c r="A35" t="s">
        <v>80</v>
      </c>
      <c r="B35">
        <v>2022</v>
      </c>
      <c r="C35" t="s">
        <v>81</v>
      </c>
      <c r="D35" t="b">
        <f t="shared" si="2"/>
        <v>1</v>
      </c>
      <c r="E35" t="s">
        <v>81</v>
      </c>
      <c r="F35">
        <v>1</v>
      </c>
      <c r="G35">
        <v>1</v>
      </c>
      <c r="H35">
        <v>6</v>
      </c>
      <c r="I35">
        <v>1</v>
      </c>
      <c r="J35">
        <v>5</v>
      </c>
      <c r="K35">
        <v>5</v>
      </c>
      <c r="L35">
        <v>5</v>
      </c>
      <c r="N35" t="b">
        <f t="shared" si="3"/>
        <v>1</v>
      </c>
      <c r="O35" t="s">
        <v>15</v>
      </c>
    </row>
    <row r="36" spans="1:15" x14ac:dyDescent="0.35">
      <c r="A36" t="s">
        <v>82</v>
      </c>
      <c r="B36">
        <v>2022</v>
      </c>
      <c r="C36" t="s">
        <v>83</v>
      </c>
      <c r="D36" t="b">
        <f t="shared" si="2"/>
        <v>1</v>
      </c>
      <c r="E36" t="s">
        <v>83</v>
      </c>
      <c r="F36">
        <v>1</v>
      </c>
      <c r="G36">
        <v>2</v>
      </c>
      <c r="H36">
        <v>8</v>
      </c>
      <c r="I36">
        <v>3</v>
      </c>
      <c r="J36">
        <v>5</v>
      </c>
      <c r="K36">
        <v>6</v>
      </c>
      <c r="L36">
        <v>6</v>
      </c>
      <c r="N36" t="b">
        <f t="shared" si="3"/>
        <v>1</v>
      </c>
      <c r="O36" t="s">
        <v>15</v>
      </c>
    </row>
    <row r="37" spans="1:15" x14ac:dyDescent="0.35">
      <c r="A37" t="s">
        <v>84</v>
      </c>
      <c r="B37">
        <v>2022</v>
      </c>
      <c r="C37" t="s">
        <v>85</v>
      </c>
      <c r="D37" t="b">
        <f t="shared" si="2"/>
        <v>1</v>
      </c>
      <c r="E37" t="s">
        <v>85</v>
      </c>
      <c r="F37">
        <v>1</v>
      </c>
      <c r="G37">
        <v>1</v>
      </c>
      <c r="H37">
        <v>5</v>
      </c>
      <c r="I37">
        <v>4</v>
      </c>
      <c r="J37">
        <v>1</v>
      </c>
      <c r="K37">
        <v>4</v>
      </c>
      <c r="L37">
        <v>4</v>
      </c>
      <c r="N37" t="b">
        <f t="shared" si="3"/>
        <v>1</v>
      </c>
      <c r="O37" t="s">
        <v>15</v>
      </c>
    </row>
    <row r="38" spans="1:15" x14ac:dyDescent="0.35">
      <c r="A38" t="s">
        <v>86</v>
      </c>
      <c r="B38">
        <v>2022</v>
      </c>
      <c r="C38" t="s">
        <v>87</v>
      </c>
      <c r="D38" t="b">
        <f t="shared" si="2"/>
        <v>1</v>
      </c>
      <c r="E38" t="s">
        <v>87</v>
      </c>
      <c r="F38">
        <v>3</v>
      </c>
      <c r="G38">
        <v>2</v>
      </c>
      <c r="H38">
        <v>3</v>
      </c>
      <c r="I38">
        <v>3</v>
      </c>
      <c r="J38">
        <v>0</v>
      </c>
      <c r="K38">
        <v>4</v>
      </c>
      <c r="L38">
        <v>4</v>
      </c>
      <c r="M38">
        <v>4</v>
      </c>
      <c r="N38" t="b">
        <f t="shared" si="3"/>
        <v>1</v>
      </c>
      <c r="O38" t="s">
        <v>15</v>
      </c>
    </row>
    <row r="39" spans="1:15" x14ac:dyDescent="0.35">
      <c r="A39" t="s">
        <v>88</v>
      </c>
      <c r="B39">
        <v>2022</v>
      </c>
      <c r="C39" t="s">
        <v>89</v>
      </c>
      <c r="D39" t="b">
        <f t="shared" si="2"/>
        <v>1</v>
      </c>
      <c r="E39" t="s">
        <v>89</v>
      </c>
      <c r="F39">
        <v>1</v>
      </c>
      <c r="G39">
        <v>1</v>
      </c>
      <c r="H39">
        <v>2</v>
      </c>
      <c r="I39">
        <v>0</v>
      </c>
      <c r="J39">
        <v>2</v>
      </c>
      <c r="K39">
        <v>4</v>
      </c>
      <c r="L39">
        <v>4</v>
      </c>
      <c r="N39" t="b">
        <f t="shared" si="3"/>
        <v>1</v>
      </c>
      <c r="O39" t="s">
        <v>15</v>
      </c>
    </row>
    <row r="40" spans="1:15" x14ac:dyDescent="0.35">
      <c r="A40" t="s">
        <v>90</v>
      </c>
      <c r="B40">
        <v>2022</v>
      </c>
      <c r="C40" t="s">
        <v>91</v>
      </c>
      <c r="D40" t="b">
        <f t="shared" si="2"/>
        <v>1</v>
      </c>
      <c r="E40" t="s">
        <v>91</v>
      </c>
      <c r="F40">
        <v>1</v>
      </c>
      <c r="G40">
        <v>2</v>
      </c>
      <c r="H40">
        <v>9</v>
      </c>
      <c r="I40">
        <v>0</v>
      </c>
      <c r="J40">
        <v>9</v>
      </c>
      <c r="K40">
        <v>6</v>
      </c>
      <c r="L40">
        <v>6</v>
      </c>
      <c r="N40" t="b">
        <f t="shared" si="3"/>
        <v>1</v>
      </c>
      <c r="O40" t="s">
        <v>15</v>
      </c>
    </row>
    <row r="41" spans="1:15" x14ac:dyDescent="0.35">
      <c r="A41" t="s">
        <v>92</v>
      </c>
      <c r="B41">
        <v>2022</v>
      </c>
      <c r="C41" t="s">
        <v>93</v>
      </c>
      <c r="D41" t="b">
        <f t="shared" si="2"/>
        <v>1</v>
      </c>
      <c r="E41" t="s">
        <v>93</v>
      </c>
      <c r="F41">
        <v>3</v>
      </c>
      <c r="G41">
        <v>1</v>
      </c>
      <c r="H41">
        <v>3</v>
      </c>
      <c r="I41">
        <v>3</v>
      </c>
      <c r="J41">
        <v>0</v>
      </c>
      <c r="K41">
        <v>4</v>
      </c>
      <c r="L41">
        <v>4</v>
      </c>
      <c r="N41" t="b">
        <f t="shared" si="3"/>
        <v>1</v>
      </c>
      <c r="O41" t="s">
        <v>15</v>
      </c>
    </row>
    <row r="42" spans="1:15" x14ac:dyDescent="0.35">
      <c r="A42" t="s">
        <v>94</v>
      </c>
      <c r="B42">
        <v>2022</v>
      </c>
      <c r="C42" t="s">
        <v>95</v>
      </c>
      <c r="D42" t="b">
        <f t="shared" si="2"/>
        <v>1</v>
      </c>
      <c r="E42" t="s">
        <v>95</v>
      </c>
      <c r="F42">
        <v>1</v>
      </c>
      <c r="G42">
        <v>2</v>
      </c>
      <c r="H42">
        <v>8</v>
      </c>
      <c r="I42">
        <v>1</v>
      </c>
      <c r="J42">
        <v>7</v>
      </c>
      <c r="K42">
        <v>6</v>
      </c>
      <c r="L42">
        <v>6</v>
      </c>
      <c r="N42" t="b">
        <f t="shared" si="3"/>
        <v>1</v>
      </c>
      <c r="O42" t="s">
        <v>15</v>
      </c>
    </row>
    <row r="43" spans="1:15" x14ac:dyDescent="0.35">
      <c r="A43" t="s">
        <v>96</v>
      </c>
      <c r="B43">
        <v>2022</v>
      </c>
      <c r="C43" t="s">
        <v>97</v>
      </c>
      <c r="D43" t="b">
        <f t="shared" si="2"/>
        <v>1</v>
      </c>
      <c r="E43" t="s">
        <v>97</v>
      </c>
      <c r="F43">
        <v>3</v>
      </c>
      <c r="G43">
        <v>1</v>
      </c>
      <c r="H43">
        <v>1</v>
      </c>
      <c r="I43">
        <v>1</v>
      </c>
      <c r="J43">
        <v>0</v>
      </c>
      <c r="K43">
        <v>4</v>
      </c>
      <c r="L43">
        <v>4</v>
      </c>
      <c r="N43" t="b">
        <f t="shared" si="3"/>
        <v>1</v>
      </c>
      <c r="O43" t="s">
        <v>15</v>
      </c>
    </row>
    <row r="44" spans="1:15" x14ac:dyDescent="0.35">
      <c r="A44" t="s">
        <v>98</v>
      </c>
      <c r="B44">
        <v>2022</v>
      </c>
      <c r="C44" t="s">
        <v>99</v>
      </c>
      <c r="D44" t="b">
        <f t="shared" si="2"/>
        <v>1</v>
      </c>
      <c r="E44" t="s">
        <v>99</v>
      </c>
      <c r="F44">
        <v>1</v>
      </c>
      <c r="G44">
        <v>2</v>
      </c>
      <c r="H44">
        <v>8</v>
      </c>
      <c r="I44">
        <v>0</v>
      </c>
      <c r="J44">
        <v>8</v>
      </c>
      <c r="K44">
        <v>6</v>
      </c>
      <c r="L44">
        <v>6</v>
      </c>
      <c r="N44" t="b">
        <f t="shared" si="3"/>
        <v>1</v>
      </c>
      <c r="O44" t="s">
        <v>15</v>
      </c>
    </row>
    <row r="45" spans="1:15" x14ac:dyDescent="0.35">
      <c r="A45" t="s">
        <v>100</v>
      </c>
      <c r="B45">
        <v>2022</v>
      </c>
      <c r="C45" t="s">
        <v>101</v>
      </c>
      <c r="D45" t="b">
        <f t="shared" si="2"/>
        <v>1</v>
      </c>
      <c r="E45" t="s">
        <v>101</v>
      </c>
      <c r="F45">
        <v>3</v>
      </c>
      <c r="G45">
        <v>2</v>
      </c>
      <c r="H45">
        <v>6</v>
      </c>
      <c r="I45">
        <v>3</v>
      </c>
      <c r="J45">
        <v>3</v>
      </c>
      <c r="K45">
        <v>4</v>
      </c>
      <c r="L45">
        <v>4</v>
      </c>
      <c r="N45" t="b">
        <f t="shared" si="3"/>
        <v>1</v>
      </c>
      <c r="O45" t="s">
        <v>15</v>
      </c>
    </row>
    <row r="46" spans="1:15" x14ac:dyDescent="0.35">
      <c r="A46" t="s">
        <v>102</v>
      </c>
      <c r="B46">
        <v>2022</v>
      </c>
      <c r="C46" t="s">
        <v>103</v>
      </c>
      <c r="D46" t="b">
        <f t="shared" si="2"/>
        <v>1</v>
      </c>
      <c r="E46" t="s">
        <v>103</v>
      </c>
      <c r="F46">
        <v>1</v>
      </c>
      <c r="G46">
        <v>3</v>
      </c>
      <c r="H46">
        <v>9</v>
      </c>
      <c r="I46">
        <v>3</v>
      </c>
      <c r="J46">
        <v>6</v>
      </c>
      <c r="K46">
        <v>6</v>
      </c>
      <c r="L46">
        <v>6</v>
      </c>
      <c r="N46" t="b">
        <f t="shared" si="3"/>
        <v>1</v>
      </c>
      <c r="O46" t="s">
        <v>15</v>
      </c>
    </row>
    <row r="47" spans="1:15" x14ac:dyDescent="0.35">
      <c r="A47" t="s">
        <v>104</v>
      </c>
      <c r="B47">
        <v>2022</v>
      </c>
      <c r="C47" t="s">
        <v>105</v>
      </c>
      <c r="D47" t="b">
        <f t="shared" si="2"/>
        <v>1</v>
      </c>
      <c r="E47" t="s">
        <v>105</v>
      </c>
      <c r="F47">
        <v>3</v>
      </c>
      <c r="G47">
        <v>2</v>
      </c>
      <c r="H47">
        <v>4</v>
      </c>
      <c r="I47">
        <v>4</v>
      </c>
      <c r="J47">
        <v>0</v>
      </c>
      <c r="K47">
        <v>4</v>
      </c>
      <c r="L47">
        <v>4</v>
      </c>
      <c r="M47">
        <v>4</v>
      </c>
      <c r="N47" t="b">
        <f t="shared" si="3"/>
        <v>1</v>
      </c>
      <c r="O47" t="s">
        <v>15</v>
      </c>
    </row>
    <row r="48" spans="1:15" x14ac:dyDescent="0.35">
      <c r="A48" t="s">
        <v>106</v>
      </c>
      <c r="B48">
        <v>2022</v>
      </c>
      <c r="C48" t="s">
        <v>107</v>
      </c>
      <c r="D48" t="b">
        <f t="shared" si="2"/>
        <v>1</v>
      </c>
      <c r="E48" t="s">
        <v>107</v>
      </c>
      <c r="F48">
        <v>1</v>
      </c>
      <c r="G48">
        <v>1</v>
      </c>
      <c r="H48">
        <v>4</v>
      </c>
      <c r="I48">
        <v>3</v>
      </c>
      <c r="J48">
        <v>1</v>
      </c>
      <c r="K48">
        <v>4</v>
      </c>
      <c r="L48">
        <v>4</v>
      </c>
      <c r="N48" t="b">
        <f t="shared" si="3"/>
        <v>1</v>
      </c>
      <c r="O48" t="s">
        <v>15</v>
      </c>
    </row>
    <row r="49" spans="1:15" x14ac:dyDescent="0.35">
      <c r="A49" t="s">
        <v>108</v>
      </c>
      <c r="B49">
        <v>2022</v>
      </c>
      <c r="C49" t="s">
        <v>109</v>
      </c>
      <c r="D49" t="b">
        <f t="shared" si="2"/>
        <v>1</v>
      </c>
      <c r="E49" t="s">
        <v>109</v>
      </c>
      <c r="F49">
        <v>1</v>
      </c>
      <c r="G49">
        <v>3</v>
      </c>
      <c r="H49">
        <v>12</v>
      </c>
      <c r="I49">
        <v>2</v>
      </c>
      <c r="J49">
        <v>10</v>
      </c>
      <c r="K49">
        <v>7</v>
      </c>
      <c r="L49">
        <v>7</v>
      </c>
      <c r="N49" t="b">
        <f t="shared" si="3"/>
        <v>1</v>
      </c>
      <c r="O49" t="s">
        <v>15</v>
      </c>
    </row>
    <row r="50" spans="1:15" x14ac:dyDescent="0.35">
      <c r="A50" t="s">
        <v>110</v>
      </c>
      <c r="B50">
        <v>2022</v>
      </c>
      <c r="C50" t="s">
        <v>111</v>
      </c>
      <c r="D50" t="b">
        <f t="shared" si="2"/>
        <v>1</v>
      </c>
      <c r="E50" t="s">
        <v>111</v>
      </c>
      <c r="F50">
        <v>1</v>
      </c>
      <c r="G50">
        <v>1</v>
      </c>
      <c r="H50">
        <v>3</v>
      </c>
      <c r="I50">
        <v>1</v>
      </c>
      <c r="J50">
        <v>2</v>
      </c>
      <c r="K50">
        <v>4</v>
      </c>
      <c r="L50">
        <v>4</v>
      </c>
      <c r="N50" t="b">
        <f t="shared" si="3"/>
        <v>1</v>
      </c>
      <c r="O50" t="s">
        <v>15</v>
      </c>
    </row>
    <row r="51" spans="1:15" x14ac:dyDescent="0.35">
      <c r="A51" t="s">
        <v>112</v>
      </c>
      <c r="B51">
        <v>2022</v>
      </c>
      <c r="C51" t="s">
        <v>113</v>
      </c>
      <c r="D51" t="b">
        <f t="shared" si="2"/>
        <v>1</v>
      </c>
      <c r="E51" t="s">
        <v>113</v>
      </c>
      <c r="F51">
        <v>1</v>
      </c>
      <c r="G51">
        <v>1</v>
      </c>
      <c r="H51">
        <v>5</v>
      </c>
      <c r="I51">
        <v>0</v>
      </c>
      <c r="J51">
        <v>5</v>
      </c>
      <c r="K51">
        <v>5</v>
      </c>
      <c r="L51">
        <v>5</v>
      </c>
      <c r="N51" t="b">
        <f t="shared" si="3"/>
        <v>1</v>
      </c>
      <c r="O51" t="s">
        <v>15</v>
      </c>
    </row>
    <row r="52" spans="1:15" x14ac:dyDescent="0.35">
      <c r="A52" t="s">
        <v>114</v>
      </c>
      <c r="B52">
        <v>2022</v>
      </c>
      <c r="C52" t="s">
        <v>115</v>
      </c>
      <c r="D52" t="b">
        <f t="shared" si="2"/>
        <v>1</v>
      </c>
      <c r="E52" t="s">
        <v>115</v>
      </c>
      <c r="F52">
        <v>4</v>
      </c>
      <c r="G52">
        <v>2</v>
      </c>
      <c r="H52">
        <v>2</v>
      </c>
      <c r="I52">
        <v>3</v>
      </c>
      <c r="J52">
        <v>-1</v>
      </c>
      <c r="K52">
        <v>3</v>
      </c>
      <c r="L52">
        <v>3</v>
      </c>
      <c r="N52" t="b">
        <f t="shared" si="3"/>
        <v>1</v>
      </c>
      <c r="O52" t="s">
        <v>15</v>
      </c>
    </row>
    <row r="53" spans="1:15" x14ac:dyDescent="0.35">
      <c r="A53" t="s">
        <v>116</v>
      </c>
      <c r="B53">
        <v>2022</v>
      </c>
      <c r="C53" t="s">
        <v>117</v>
      </c>
      <c r="D53" t="b">
        <f t="shared" si="2"/>
        <v>1</v>
      </c>
      <c r="E53" t="s">
        <v>117</v>
      </c>
      <c r="F53">
        <v>1</v>
      </c>
      <c r="G53">
        <v>2</v>
      </c>
      <c r="H53">
        <v>11</v>
      </c>
      <c r="I53">
        <v>3</v>
      </c>
      <c r="J53">
        <v>8</v>
      </c>
      <c r="K53">
        <v>6</v>
      </c>
      <c r="L53">
        <v>6</v>
      </c>
      <c r="N53" t="b">
        <f t="shared" si="3"/>
        <v>1</v>
      </c>
      <c r="O53" t="s">
        <v>15</v>
      </c>
    </row>
    <row r="54" spans="1:15" x14ac:dyDescent="0.35">
      <c r="A54" t="s">
        <v>118</v>
      </c>
      <c r="B54">
        <v>2022</v>
      </c>
      <c r="C54" t="s">
        <v>119</v>
      </c>
      <c r="D54" t="b">
        <f t="shared" si="2"/>
        <v>1</v>
      </c>
      <c r="E54" t="s">
        <v>119</v>
      </c>
      <c r="F54">
        <v>1</v>
      </c>
      <c r="G54">
        <v>2</v>
      </c>
      <c r="H54">
        <v>8</v>
      </c>
      <c r="I54">
        <v>4</v>
      </c>
      <c r="J54">
        <v>4</v>
      </c>
      <c r="K54">
        <v>6</v>
      </c>
      <c r="L54">
        <v>6</v>
      </c>
      <c r="N54" t="b">
        <f t="shared" si="3"/>
        <v>1</v>
      </c>
      <c r="O54" t="s">
        <v>15</v>
      </c>
    </row>
    <row r="55" spans="1:15" x14ac:dyDescent="0.35">
      <c r="A55" t="s">
        <v>120</v>
      </c>
      <c r="B55">
        <v>2022</v>
      </c>
      <c r="C55" t="s">
        <v>121</v>
      </c>
      <c r="D55" t="b">
        <f t="shared" si="2"/>
        <v>1</v>
      </c>
      <c r="E55" t="s">
        <v>121</v>
      </c>
      <c r="F55">
        <v>1</v>
      </c>
      <c r="G55">
        <v>3</v>
      </c>
      <c r="H55">
        <v>9</v>
      </c>
      <c r="I55">
        <v>0</v>
      </c>
      <c r="J55">
        <v>9</v>
      </c>
      <c r="K55">
        <v>6</v>
      </c>
      <c r="L55">
        <v>6</v>
      </c>
      <c r="N55" t="b">
        <f t="shared" si="3"/>
        <v>1</v>
      </c>
      <c r="O55" t="s">
        <v>15</v>
      </c>
    </row>
    <row r="56" spans="1:15" x14ac:dyDescent="0.35">
      <c r="A56" t="s">
        <v>122</v>
      </c>
      <c r="B56">
        <v>2022</v>
      </c>
      <c r="C56" t="s">
        <v>123</v>
      </c>
      <c r="D56" t="b">
        <f t="shared" si="2"/>
        <v>1</v>
      </c>
      <c r="E56" t="s">
        <v>123</v>
      </c>
      <c r="F56">
        <v>1</v>
      </c>
      <c r="G56">
        <v>2</v>
      </c>
      <c r="H56">
        <v>7</v>
      </c>
      <c r="I56">
        <v>5</v>
      </c>
      <c r="J56">
        <v>2</v>
      </c>
      <c r="K56">
        <v>5</v>
      </c>
      <c r="L56">
        <v>5</v>
      </c>
      <c r="N56" t="b">
        <f t="shared" si="3"/>
        <v>1</v>
      </c>
      <c r="O56" t="s">
        <v>15</v>
      </c>
    </row>
    <row r="57" spans="1:15" x14ac:dyDescent="0.35">
      <c r="A57" t="s">
        <v>124</v>
      </c>
      <c r="B57">
        <v>2022</v>
      </c>
      <c r="C57" t="s">
        <v>125</v>
      </c>
      <c r="D57" t="b">
        <f t="shared" si="2"/>
        <v>1</v>
      </c>
      <c r="E57" t="s">
        <v>125</v>
      </c>
      <c r="F57">
        <v>1</v>
      </c>
      <c r="G57">
        <v>1</v>
      </c>
      <c r="H57">
        <v>6</v>
      </c>
      <c r="I57">
        <v>5</v>
      </c>
      <c r="J57">
        <v>1</v>
      </c>
      <c r="K57">
        <v>4</v>
      </c>
      <c r="L57">
        <v>4</v>
      </c>
      <c r="N57" t="b">
        <f t="shared" si="3"/>
        <v>1</v>
      </c>
      <c r="O57" t="s">
        <v>15</v>
      </c>
    </row>
    <row r="58" spans="1:15" x14ac:dyDescent="0.35">
      <c r="A58" t="s">
        <v>126</v>
      </c>
      <c r="B58">
        <v>2022</v>
      </c>
      <c r="C58" t="s">
        <v>127</v>
      </c>
      <c r="D58" t="b">
        <f t="shared" si="2"/>
        <v>1</v>
      </c>
      <c r="E58" t="s">
        <v>127</v>
      </c>
      <c r="F58">
        <v>1</v>
      </c>
      <c r="G58">
        <v>1</v>
      </c>
      <c r="H58">
        <v>4</v>
      </c>
      <c r="I58">
        <v>4</v>
      </c>
      <c r="J58">
        <v>0</v>
      </c>
      <c r="K58">
        <v>4</v>
      </c>
      <c r="L58">
        <v>4</v>
      </c>
      <c r="N58" t="b">
        <f t="shared" si="3"/>
        <v>1</v>
      </c>
      <c r="O58" t="s">
        <v>15</v>
      </c>
    </row>
    <row r="59" spans="1:15" x14ac:dyDescent="0.35">
      <c r="A59" t="s">
        <v>128</v>
      </c>
      <c r="B59">
        <v>2022</v>
      </c>
      <c r="C59" t="s">
        <v>129</v>
      </c>
      <c r="D59" t="b">
        <f t="shared" si="2"/>
        <v>1</v>
      </c>
      <c r="E59" t="s">
        <v>129</v>
      </c>
      <c r="F59">
        <v>3</v>
      </c>
      <c r="G59">
        <v>1</v>
      </c>
      <c r="H59">
        <v>1</v>
      </c>
      <c r="I59">
        <v>1</v>
      </c>
      <c r="J59">
        <v>0</v>
      </c>
      <c r="K59">
        <v>4</v>
      </c>
      <c r="L59">
        <v>4</v>
      </c>
      <c r="N59" t="b">
        <f t="shared" si="3"/>
        <v>1</v>
      </c>
      <c r="O59" t="s">
        <v>15</v>
      </c>
    </row>
    <row r="60" spans="1:15" x14ac:dyDescent="0.35">
      <c r="A60" t="s">
        <v>130</v>
      </c>
      <c r="B60">
        <v>2022</v>
      </c>
      <c r="C60" t="s">
        <v>131</v>
      </c>
      <c r="D60" t="b">
        <f t="shared" si="2"/>
        <v>1</v>
      </c>
      <c r="E60" t="s">
        <v>131</v>
      </c>
      <c r="F60">
        <v>1</v>
      </c>
      <c r="G60">
        <v>1</v>
      </c>
      <c r="H60">
        <v>7</v>
      </c>
      <c r="I60">
        <v>2</v>
      </c>
      <c r="J60">
        <v>5</v>
      </c>
      <c r="K60">
        <v>5</v>
      </c>
      <c r="L60">
        <v>5</v>
      </c>
      <c r="N60" t="b">
        <f t="shared" si="3"/>
        <v>1</v>
      </c>
      <c r="O60" t="s">
        <v>15</v>
      </c>
    </row>
    <row r="61" spans="1:15" x14ac:dyDescent="0.35">
      <c r="A61" t="s">
        <v>132</v>
      </c>
      <c r="B61">
        <v>2022</v>
      </c>
      <c r="C61" t="s">
        <v>133</v>
      </c>
      <c r="D61" t="b">
        <f t="shared" si="2"/>
        <v>1</v>
      </c>
      <c r="E61" t="s">
        <v>133</v>
      </c>
      <c r="F61">
        <v>1</v>
      </c>
      <c r="G61">
        <v>2</v>
      </c>
      <c r="H61">
        <v>6</v>
      </c>
      <c r="I61">
        <v>4</v>
      </c>
      <c r="J61">
        <v>2</v>
      </c>
      <c r="K61">
        <v>5</v>
      </c>
      <c r="L61">
        <v>5</v>
      </c>
      <c r="N61" t="b">
        <f t="shared" si="3"/>
        <v>1</v>
      </c>
      <c r="O61" t="s">
        <v>15</v>
      </c>
    </row>
    <row r="62" spans="1:15" x14ac:dyDescent="0.35">
      <c r="A62" t="s">
        <v>134</v>
      </c>
      <c r="B62">
        <v>2022</v>
      </c>
      <c r="C62" t="s">
        <v>135</v>
      </c>
      <c r="D62" t="b">
        <f t="shared" si="2"/>
        <v>1</v>
      </c>
      <c r="E62" t="s">
        <v>135</v>
      </c>
      <c r="F62">
        <v>1</v>
      </c>
      <c r="G62">
        <v>1</v>
      </c>
      <c r="H62">
        <v>5</v>
      </c>
      <c r="I62">
        <v>2</v>
      </c>
      <c r="J62">
        <v>3</v>
      </c>
      <c r="K62">
        <v>4</v>
      </c>
      <c r="L62">
        <v>4</v>
      </c>
      <c r="N62" t="b">
        <f t="shared" si="3"/>
        <v>1</v>
      </c>
      <c r="O62" t="s">
        <v>15</v>
      </c>
    </row>
    <row r="63" spans="1:15" x14ac:dyDescent="0.35">
      <c r="A63" t="s">
        <v>136</v>
      </c>
      <c r="B63">
        <v>2022</v>
      </c>
      <c r="C63" t="s">
        <v>137</v>
      </c>
      <c r="D63" t="b">
        <f t="shared" si="2"/>
        <v>1</v>
      </c>
      <c r="E63" t="s">
        <v>137</v>
      </c>
      <c r="F63">
        <v>3</v>
      </c>
      <c r="G63">
        <v>1</v>
      </c>
      <c r="H63">
        <v>2</v>
      </c>
      <c r="I63">
        <v>3</v>
      </c>
      <c r="J63">
        <v>-1</v>
      </c>
      <c r="K63">
        <v>4</v>
      </c>
      <c r="L63">
        <v>4</v>
      </c>
      <c r="M63">
        <v>4</v>
      </c>
      <c r="N63" t="b">
        <f t="shared" si="3"/>
        <v>1</v>
      </c>
      <c r="O63" t="s">
        <v>15</v>
      </c>
    </row>
    <row r="64" spans="1:15" x14ac:dyDescent="0.35">
      <c r="A64" t="s">
        <v>138</v>
      </c>
      <c r="B64">
        <v>2022</v>
      </c>
      <c r="C64" t="s">
        <v>139</v>
      </c>
      <c r="D64" t="b">
        <f t="shared" si="2"/>
        <v>1</v>
      </c>
      <c r="E64" t="s">
        <v>139</v>
      </c>
      <c r="F64">
        <v>3</v>
      </c>
      <c r="G64">
        <v>2</v>
      </c>
      <c r="H64">
        <v>5</v>
      </c>
      <c r="I64">
        <v>5</v>
      </c>
      <c r="J64">
        <v>0</v>
      </c>
      <c r="K64">
        <v>4</v>
      </c>
      <c r="L64">
        <v>4</v>
      </c>
      <c r="M64">
        <v>4</v>
      </c>
      <c r="N64" t="b">
        <f t="shared" si="3"/>
        <v>1</v>
      </c>
      <c r="O64" t="s">
        <v>15</v>
      </c>
    </row>
    <row r="65" spans="1:15" x14ac:dyDescent="0.35">
      <c r="A65" t="s">
        <v>140</v>
      </c>
      <c r="B65">
        <v>2022</v>
      </c>
      <c r="C65" t="s">
        <v>141</v>
      </c>
      <c r="D65" t="b">
        <f t="shared" si="2"/>
        <v>1</v>
      </c>
      <c r="E65" t="s">
        <v>141</v>
      </c>
      <c r="F65">
        <v>1</v>
      </c>
      <c r="G65">
        <v>1</v>
      </c>
      <c r="H65">
        <v>5</v>
      </c>
      <c r="I65">
        <v>0</v>
      </c>
      <c r="J65">
        <v>5</v>
      </c>
      <c r="K65">
        <v>5</v>
      </c>
      <c r="L65">
        <v>5</v>
      </c>
      <c r="N65" t="b">
        <f t="shared" si="3"/>
        <v>1</v>
      </c>
      <c r="O65" t="s">
        <v>15</v>
      </c>
    </row>
    <row r="66" spans="1:15" x14ac:dyDescent="0.35">
      <c r="A66" t="s">
        <v>142</v>
      </c>
      <c r="B66">
        <v>2022</v>
      </c>
      <c r="C66" t="s">
        <v>143</v>
      </c>
      <c r="D66" t="b">
        <f t="shared" ref="D66:D97" si="4">EXACT(C66,E66)</f>
        <v>1</v>
      </c>
      <c r="E66" t="s">
        <v>143</v>
      </c>
      <c r="F66">
        <v>4</v>
      </c>
      <c r="G66">
        <v>2</v>
      </c>
      <c r="H66">
        <v>3</v>
      </c>
      <c r="I66">
        <v>5</v>
      </c>
      <c r="J66">
        <v>-2</v>
      </c>
      <c r="K66">
        <v>3</v>
      </c>
      <c r="L66">
        <v>3</v>
      </c>
      <c r="N66" t="b">
        <f t="shared" ref="N66:N97" si="5">IF(M66&gt;0, K66=M66, IF(L66&gt;0, K66=L66, "BLANK"))</f>
        <v>1</v>
      </c>
      <c r="O66" t="s">
        <v>15</v>
      </c>
    </row>
    <row r="67" spans="1:15" x14ac:dyDescent="0.35">
      <c r="A67" t="s">
        <v>144</v>
      </c>
      <c r="B67">
        <v>2022</v>
      </c>
      <c r="C67" t="s">
        <v>145</v>
      </c>
      <c r="D67" t="b">
        <f t="shared" si="4"/>
        <v>1</v>
      </c>
      <c r="E67" t="s">
        <v>145</v>
      </c>
      <c r="F67">
        <v>2</v>
      </c>
      <c r="G67">
        <v>3</v>
      </c>
      <c r="H67">
        <v>6</v>
      </c>
      <c r="I67">
        <v>3</v>
      </c>
      <c r="J67">
        <v>3</v>
      </c>
      <c r="K67">
        <v>4</v>
      </c>
      <c r="L67">
        <v>4</v>
      </c>
      <c r="N67" t="b">
        <f t="shared" si="5"/>
        <v>1</v>
      </c>
      <c r="O67" t="s">
        <v>15</v>
      </c>
    </row>
    <row r="68" spans="1:15" x14ac:dyDescent="0.35">
      <c r="A68" t="s">
        <v>146</v>
      </c>
      <c r="B68">
        <v>2022</v>
      </c>
      <c r="C68" t="s">
        <v>147</v>
      </c>
      <c r="D68" t="b">
        <f t="shared" si="4"/>
        <v>1</v>
      </c>
      <c r="E68" t="s">
        <v>147</v>
      </c>
      <c r="F68">
        <v>1</v>
      </c>
      <c r="G68">
        <v>1</v>
      </c>
      <c r="H68">
        <v>6</v>
      </c>
      <c r="I68">
        <v>0</v>
      </c>
      <c r="J68">
        <v>6</v>
      </c>
      <c r="K68">
        <v>5</v>
      </c>
      <c r="L68">
        <v>5</v>
      </c>
      <c r="N68" t="b">
        <f t="shared" si="5"/>
        <v>1</v>
      </c>
      <c r="O68" t="s">
        <v>15</v>
      </c>
    </row>
    <row r="69" spans="1:15" x14ac:dyDescent="0.35">
      <c r="A69" t="s">
        <v>148</v>
      </c>
      <c r="B69">
        <v>2022</v>
      </c>
      <c r="C69" t="s">
        <v>149</v>
      </c>
      <c r="D69" t="b">
        <f t="shared" si="4"/>
        <v>1</v>
      </c>
      <c r="E69" t="s">
        <v>149</v>
      </c>
      <c r="F69">
        <v>3</v>
      </c>
      <c r="G69">
        <v>2</v>
      </c>
      <c r="H69">
        <v>4</v>
      </c>
      <c r="I69">
        <v>1</v>
      </c>
      <c r="J69">
        <v>3</v>
      </c>
      <c r="K69">
        <v>4</v>
      </c>
      <c r="L69">
        <v>4</v>
      </c>
      <c r="N69" t="b">
        <f t="shared" si="5"/>
        <v>1</v>
      </c>
      <c r="O69" t="s">
        <v>15</v>
      </c>
    </row>
    <row r="70" spans="1:15" x14ac:dyDescent="0.35">
      <c r="A70" t="s">
        <v>150</v>
      </c>
      <c r="B70">
        <v>2022</v>
      </c>
      <c r="C70" t="s">
        <v>151</v>
      </c>
      <c r="D70" t="b">
        <f t="shared" si="4"/>
        <v>1</v>
      </c>
      <c r="E70" t="s">
        <v>151</v>
      </c>
      <c r="F70">
        <v>1</v>
      </c>
      <c r="G70">
        <v>1</v>
      </c>
      <c r="H70">
        <v>9</v>
      </c>
      <c r="I70">
        <v>3</v>
      </c>
      <c r="J70">
        <v>6</v>
      </c>
      <c r="K70">
        <v>5</v>
      </c>
      <c r="L70">
        <v>5</v>
      </c>
      <c r="M70">
        <v>5</v>
      </c>
      <c r="N70" t="b">
        <f t="shared" si="5"/>
        <v>1</v>
      </c>
      <c r="O70" t="s">
        <v>15</v>
      </c>
    </row>
    <row r="71" spans="1:15" x14ac:dyDescent="0.35">
      <c r="A71" t="s">
        <v>152</v>
      </c>
      <c r="B71">
        <v>2022</v>
      </c>
      <c r="C71" t="s">
        <v>153</v>
      </c>
      <c r="D71" t="b">
        <f t="shared" si="4"/>
        <v>1</v>
      </c>
      <c r="E71" t="s">
        <v>153</v>
      </c>
      <c r="F71">
        <v>2</v>
      </c>
      <c r="G71">
        <v>1</v>
      </c>
      <c r="H71">
        <v>5</v>
      </c>
      <c r="I71">
        <v>1</v>
      </c>
      <c r="J71">
        <v>4</v>
      </c>
      <c r="K71">
        <v>5</v>
      </c>
      <c r="L71">
        <v>5</v>
      </c>
      <c r="N71" t="b">
        <f t="shared" si="5"/>
        <v>1</v>
      </c>
      <c r="O71" t="s">
        <v>15</v>
      </c>
    </row>
    <row r="72" spans="1:15" x14ac:dyDescent="0.35">
      <c r="A72" t="s">
        <v>154</v>
      </c>
      <c r="B72">
        <v>2022</v>
      </c>
      <c r="C72" t="s">
        <v>155</v>
      </c>
      <c r="D72" t="b">
        <f t="shared" si="4"/>
        <v>1</v>
      </c>
      <c r="E72" t="s">
        <v>155</v>
      </c>
      <c r="F72">
        <v>1</v>
      </c>
      <c r="G72">
        <v>2</v>
      </c>
      <c r="H72">
        <v>7</v>
      </c>
      <c r="I72">
        <v>4</v>
      </c>
      <c r="J72">
        <v>3</v>
      </c>
      <c r="K72">
        <v>5</v>
      </c>
      <c r="L72">
        <v>5</v>
      </c>
      <c r="N72" t="b">
        <f t="shared" si="5"/>
        <v>1</v>
      </c>
      <c r="O72" t="s">
        <v>15</v>
      </c>
    </row>
    <row r="73" spans="1:15" x14ac:dyDescent="0.35">
      <c r="A73" t="s">
        <v>156</v>
      </c>
      <c r="B73">
        <v>2022</v>
      </c>
      <c r="C73" t="s">
        <v>157</v>
      </c>
      <c r="D73" t="b">
        <f t="shared" si="4"/>
        <v>1</v>
      </c>
      <c r="E73" t="s">
        <v>157</v>
      </c>
      <c r="F73">
        <v>4</v>
      </c>
      <c r="G73">
        <v>2</v>
      </c>
      <c r="H73">
        <v>1</v>
      </c>
      <c r="I73">
        <v>3</v>
      </c>
      <c r="J73">
        <v>-2</v>
      </c>
      <c r="K73">
        <v>3</v>
      </c>
      <c r="L73">
        <v>3</v>
      </c>
      <c r="N73" t="b">
        <f t="shared" si="5"/>
        <v>1</v>
      </c>
      <c r="O73" t="s">
        <v>15</v>
      </c>
    </row>
    <row r="74" spans="1:15" x14ac:dyDescent="0.35">
      <c r="A74" t="s">
        <v>158</v>
      </c>
      <c r="B74">
        <v>2022</v>
      </c>
      <c r="C74" t="s">
        <v>159</v>
      </c>
      <c r="D74" t="b">
        <f t="shared" si="4"/>
        <v>1</v>
      </c>
      <c r="E74" t="s">
        <v>159</v>
      </c>
      <c r="F74">
        <v>1</v>
      </c>
      <c r="G74">
        <v>1</v>
      </c>
      <c r="H74">
        <v>9</v>
      </c>
      <c r="I74">
        <v>1</v>
      </c>
      <c r="J74">
        <v>8</v>
      </c>
      <c r="K74">
        <v>5</v>
      </c>
      <c r="L74">
        <v>5</v>
      </c>
      <c r="N74" t="b">
        <f t="shared" si="5"/>
        <v>1</v>
      </c>
      <c r="O74" t="s">
        <v>15</v>
      </c>
    </row>
    <row r="75" spans="1:15" x14ac:dyDescent="0.35">
      <c r="A75" t="s">
        <v>160</v>
      </c>
      <c r="B75">
        <v>2022</v>
      </c>
      <c r="C75" t="s">
        <v>161</v>
      </c>
      <c r="D75" t="b">
        <f t="shared" si="4"/>
        <v>1</v>
      </c>
      <c r="E75" t="s">
        <v>161</v>
      </c>
      <c r="F75">
        <v>1</v>
      </c>
      <c r="G75">
        <v>2</v>
      </c>
      <c r="H75">
        <v>9</v>
      </c>
      <c r="I75">
        <v>5</v>
      </c>
      <c r="J75">
        <v>4</v>
      </c>
      <c r="K75">
        <v>6</v>
      </c>
      <c r="L75">
        <v>5</v>
      </c>
      <c r="M75">
        <v>6</v>
      </c>
      <c r="N75" t="b">
        <f t="shared" si="5"/>
        <v>1</v>
      </c>
      <c r="O75" t="s">
        <v>15</v>
      </c>
    </row>
    <row r="76" spans="1:15" x14ac:dyDescent="0.35">
      <c r="A76" t="s">
        <v>162</v>
      </c>
      <c r="B76">
        <v>2022</v>
      </c>
      <c r="C76" t="s">
        <v>163</v>
      </c>
      <c r="D76" t="b">
        <f t="shared" si="4"/>
        <v>1</v>
      </c>
      <c r="E76" t="s">
        <v>163</v>
      </c>
      <c r="F76">
        <v>1</v>
      </c>
      <c r="G76">
        <v>1</v>
      </c>
      <c r="H76">
        <v>7</v>
      </c>
      <c r="I76">
        <v>2</v>
      </c>
      <c r="J76">
        <v>5</v>
      </c>
      <c r="K76">
        <v>5</v>
      </c>
      <c r="L76">
        <v>5</v>
      </c>
      <c r="N76" t="b">
        <f t="shared" si="5"/>
        <v>1</v>
      </c>
      <c r="O76" t="s">
        <v>15</v>
      </c>
    </row>
    <row r="77" spans="1:15" x14ac:dyDescent="0.35">
      <c r="A77" t="s">
        <v>164</v>
      </c>
      <c r="B77">
        <v>2022</v>
      </c>
      <c r="C77" t="s">
        <v>165</v>
      </c>
      <c r="D77" t="b">
        <f t="shared" si="4"/>
        <v>1</v>
      </c>
      <c r="E77" t="s">
        <v>165</v>
      </c>
      <c r="F77">
        <v>1</v>
      </c>
      <c r="G77">
        <v>1</v>
      </c>
      <c r="H77">
        <v>8</v>
      </c>
      <c r="I77">
        <v>2</v>
      </c>
      <c r="J77">
        <v>6</v>
      </c>
      <c r="K77">
        <v>5</v>
      </c>
      <c r="L77">
        <v>5</v>
      </c>
      <c r="N77" t="b">
        <f t="shared" si="5"/>
        <v>1</v>
      </c>
      <c r="O77" t="s">
        <v>15</v>
      </c>
    </row>
    <row r="78" spans="1:15" x14ac:dyDescent="0.35">
      <c r="A78" t="s">
        <v>166</v>
      </c>
      <c r="B78">
        <v>2022</v>
      </c>
      <c r="C78" t="s">
        <v>167</v>
      </c>
      <c r="D78" t="b">
        <f t="shared" si="4"/>
        <v>1</v>
      </c>
      <c r="E78" t="s">
        <v>167</v>
      </c>
      <c r="F78">
        <v>1</v>
      </c>
      <c r="G78">
        <v>1</v>
      </c>
      <c r="H78">
        <v>7</v>
      </c>
      <c r="I78">
        <v>4</v>
      </c>
      <c r="J78">
        <v>3</v>
      </c>
      <c r="K78">
        <v>4</v>
      </c>
      <c r="L78">
        <v>4</v>
      </c>
      <c r="N78" t="b">
        <f t="shared" si="5"/>
        <v>1</v>
      </c>
      <c r="O78" t="s">
        <v>15</v>
      </c>
    </row>
    <row r="79" spans="1:15" x14ac:dyDescent="0.35">
      <c r="A79" t="s">
        <v>168</v>
      </c>
      <c r="B79">
        <v>2022</v>
      </c>
      <c r="C79" t="s">
        <v>169</v>
      </c>
      <c r="D79" t="b">
        <f t="shared" si="4"/>
        <v>1</v>
      </c>
      <c r="E79" t="s">
        <v>169</v>
      </c>
      <c r="F79">
        <v>1</v>
      </c>
      <c r="G79">
        <v>2</v>
      </c>
      <c r="H79">
        <v>12</v>
      </c>
      <c r="I79">
        <v>3</v>
      </c>
      <c r="J79">
        <v>9</v>
      </c>
      <c r="K79">
        <v>6</v>
      </c>
      <c r="L79">
        <v>6</v>
      </c>
      <c r="N79" t="b">
        <f t="shared" si="5"/>
        <v>1</v>
      </c>
      <c r="O79" t="s">
        <v>15</v>
      </c>
    </row>
    <row r="80" spans="1:15" x14ac:dyDescent="0.35">
      <c r="A80" t="s">
        <v>170</v>
      </c>
      <c r="B80">
        <v>2022</v>
      </c>
      <c r="C80" t="s">
        <v>171</v>
      </c>
      <c r="D80" t="b">
        <f t="shared" si="4"/>
        <v>1</v>
      </c>
      <c r="E80" t="s">
        <v>171</v>
      </c>
      <c r="F80">
        <v>3</v>
      </c>
      <c r="G80">
        <v>1</v>
      </c>
      <c r="H80">
        <v>5</v>
      </c>
      <c r="I80">
        <v>2</v>
      </c>
      <c r="J80">
        <v>3</v>
      </c>
      <c r="K80">
        <v>4</v>
      </c>
      <c r="L80">
        <v>4</v>
      </c>
      <c r="N80" t="b">
        <f t="shared" si="5"/>
        <v>1</v>
      </c>
      <c r="O80" t="s">
        <v>15</v>
      </c>
    </row>
    <row r="81" spans="1:15" x14ac:dyDescent="0.35">
      <c r="A81" t="s">
        <v>172</v>
      </c>
      <c r="B81">
        <v>2022</v>
      </c>
      <c r="C81" t="s">
        <v>173</v>
      </c>
      <c r="D81" t="b">
        <f t="shared" si="4"/>
        <v>1</v>
      </c>
      <c r="E81" t="s">
        <v>173</v>
      </c>
      <c r="F81">
        <v>1</v>
      </c>
      <c r="G81">
        <v>1</v>
      </c>
      <c r="H81">
        <v>7</v>
      </c>
      <c r="I81">
        <v>1</v>
      </c>
      <c r="J81">
        <v>6</v>
      </c>
      <c r="K81">
        <v>5</v>
      </c>
      <c r="L81">
        <v>5</v>
      </c>
      <c r="N81" t="b">
        <f t="shared" si="5"/>
        <v>1</v>
      </c>
      <c r="O81" t="s">
        <v>15</v>
      </c>
    </row>
    <row r="82" spans="1:15" x14ac:dyDescent="0.35">
      <c r="A82" t="s">
        <v>174</v>
      </c>
      <c r="B82">
        <v>2022</v>
      </c>
      <c r="C82" t="s">
        <v>175</v>
      </c>
      <c r="D82" t="b">
        <f t="shared" si="4"/>
        <v>1</v>
      </c>
      <c r="E82" t="s">
        <v>175</v>
      </c>
      <c r="F82">
        <v>3</v>
      </c>
      <c r="G82">
        <v>2</v>
      </c>
      <c r="H82">
        <v>4</v>
      </c>
      <c r="I82">
        <v>4</v>
      </c>
      <c r="J82">
        <v>0</v>
      </c>
      <c r="K82">
        <v>4</v>
      </c>
      <c r="L82">
        <v>4</v>
      </c>
      <c r="M82">
        <v>4</v>
      </c>
      <c r="N82" t="b">
        <f t="shared" si="5"/>
        <v>1</v>
      </c>
      <c r="O82" t="s">
        <v>15</v>
      </c>
    </row>
    <row r="83" spans="1:15" x14ac:dyDescent="0.35">
      <c r="A83" t="s">
        <v>176</v>
      </c>
      <c r="B83">
        <v>2022</v>
      </c>
      <c r="C83" t="s">
        <v>177</v>
      </c>
      <c r="D83" t="b">
        <f t="shared" si="4"/>
        <v>1</v>
      </c>
      <c r="E83" t="s">
        <v>177</v>
      </c>
      <c r="F83">
        <v>1</v>
      </c>
      <c r="G83">
        <v>1</v>
      </c>
      <c r="H83">
        <v>9</v>
      </c>
      <c r="I83">
        <v>0</v>
      </c>
      <c r="J83">
        <v>9</v>
      </c>
      <c r="K83">
        <v>5</v>
      </c>
      <c r="L83">
        <v>5</v>
      </c>
      <c r="N83" t="b">
        <f t="shared" si="5"/>
        <v>1</v>
      </c>
      <c r="O83" t="s">
        <v>15</v>
      </c>
    </row>
    <row r="84" spans="1:15" x14ac:dyDescent="0.35">
      <c r="A84" t="s">
        <v>178</v>
      </c>
      <c r="B84">
        <v>2022</v>
      </c>
      <c r="C84" t="s">
        <v>179</v>
      </c>
      <c r="D84" t="b">
        <f t="shared" si="4"/>
        <v>1</v>
      </c>
      <c r="E84" t="s">
        <v>179</v>
      </c>
      <c r="F84">
        <v>1</v>
      </c>
      <c r="G84">
        <v>2</v>
      </c>
      <c r="H84">
        <v>10</v>
      </c>
      <c r="I84">
        <v>1</v>
      </c>
      <c r="J84">
        <v>9</v>
      </c>
      <c r="K84">
        <v>6</v>
      </c>
      <c r="L84">
        <v>6</v>
      </c>
      <c r="N84" t="b">
        <f t="shared" si="5"/>
        <v>1</v>
      </c>
      <c r="O84" t="s">
        <v>15</v>
      </c>
    </row>
    <row r="85" spans="1:15" x14ac:dyDescent="0.35">
      <c r="A85" t="s">
        <v>180</v>
      </c>
      <c r="B85">
        <v>2022</v>
      </c>
      <c r="C85" t="s">
        <v>181</v>
      </c>
      <c r="D85" t="b">
        <f t="shared" si="4"/>
        <v>1</v>
      </c>
      <c r="E85" t="s">
        <v>181</v>
      </c>
      <c r="F85">
        <v>1</v>
      </c>
      <c r="G85">
        <v>1</v>
      </c>
      <c r="H85">
        <v>7</v>
      </c>
      <c r="I85">
        <v>2</v>
      </c>
      <c r="J85">
        <v>5</v>
      </c>
      <c r="K85">
        <v>5</v>
      </c>
      <c r="L85">
        <v>5</v>
      </c>
      <c r="N85" t="b">
        <f t="shared" si="5"/>
        <v>1</v>
      </c>
      <c r="O85" t="s">
        <v>15</v>
      </c>
    </row>
    <row r="86" spans="1:15" x14ac:dyDescent="0.35">
      <c r="A86" t="s">
        <v>182</v>
      </c>
      <c r="B86">
        <v>2022</v>
      </c>
      <c r="C86" t="s">
        <v>183</v>
      </c>
      <c r="D86" t="b">
        <f t="shared" si="4"/>
        <v>1</v>
      </c>
      <c r="E86" t="s">
        <v>183</v>
      </c>
      <c r="F86">
        <v>4</v>
      </c>
      <c r="G86">
        <v>2</v>
      </c>
      <c r="H86">
        <v>2</v>
      </c>
      <c r="I86">
        <v>3</v>
      </c>
      <c r="J86">
        <v>-1</v>
      </c>
      <c r="K86">
        <v>3</v>
      </c>
      <c r="L86">
        <v>3</v>
      </c>
      <c r="N86" t="b">
        <f t="shared" si="5"/>
        <v>1</v>
      </c>
      <c r="O86" t="s">
        <v>15</v>
      </c>
    </row>
    <row r="87" spans="1:15" x14ac:dyDescent="0.35">
      <c r="A87" t="s">
        <v>184</v>
      </c>
      <c r="B87">
        <v>2022</v>
      </c>
      <c r="C87" t="s">
        <v>185</v>
      </c>
      <c r="D87" t="b">
        <f t="shared" si="4"/>
        <v>1</v>
      </c>
      <c r="E87" t="s">
        <v>185</v>
      </c>
      <c r="F87">
        <v>1</v>
      </c>
      <c r="G87">
        <v>1</v>
      </c>
      <c r="H87">
        <v>6</v>
      </c>
      <c r="I87">
        <v>3</v>
      </c>
      <c r="J87">
        <v>3</v>
      </c>
      <c r="K87">
        <v>4</v>
      </c>
      <c r="L87">
        <v>4</v>
      </c>
      <c r="N87" t="b">
        <f t="shared" si="5"/>
        <v>1</v>
      </c>
      <c r="O87" t="s">
        <v>15</v>
      </c>
    </row>
    <row r="88" spans="1:15" x14ac:dyDescent="0.35">
      <c r="A88" t="s">
        <v>186</v>
      </c>
      <c r="B88">
        <v>2022</v>
      </c>
      <c r="C88" t="s">
        <v>187</v>
      </c>
      <c r="D88" t="b">
        <f t="shared" si="4"/>
        <v>1</v>
      </c>
      <c r="E88" t="s">
        <v>187</v>
      </c>
      <c r="F88">
        <v>4</v>
      </c>
      <c r="G88">
        <v>3</v>
      </c>
      <c r="H88">
        <v>3</v>
      </c>
      <c r="I88">
        <v>4</v>
      </c>
      <c r="J88">
        <v>-1</v>
      </c>
      <c r="K88">
        <v>3</v>
      </c>
      <c r="L88">
        <v>3</v>
      </c>
      <c r="N88" t="b">
        <f t="shared" si="5"/>
        <v>1</v>
      </c>
      <c r="O88" t="s">
        <v>15</v>
      </c>
    </row>
    <row r="89" spans="1:15" x14ac:dyDescent="0.35">
      <c r="A89" t="s">
        <v>188</v>
      </c>
      <c r="B89">
        <v>2022</v>
      </c>
      <c r="C89" t="s">
        <v>189</v>
      </c>
      <c r="D89" t="b">
        <f t="shared" si="4"/>
        <v>1</v>
      </c>
      <c r="E89" t="s">
        <v>189</v>
      </c>
      <c r="F89">
        <v>3</v>
      </c>
      <c r="G89">
        <v>1</v>
      </c>
      <c r="H89">
        <v>3</v>
      </c>
      <c r="I89">
        <v>4</v>
      </c>
      <c r="J89">
        <v>-1</v>
      </c>
      <c r="K89">
        <v>4</v>
      </c>
      <c r="L89">
        <v>4</v>
      </c>
      <c r="M89">
        <v>4</v>
      </c>
      <c r="N89" t="b">
        <f t="shared" si="5"/>
        <v>1</v>
      </c>
      <c r="O89" t="s">
        <v>15</v>
      </c>
    </row>
    <row r="90" spans="1:15" x14ac:dyDescent="0.35">
      <c r="A90" t="s">
        <v>190</v>
      </c>
      <c r="B90">
        <v>2022</v>
      </c>
      <c r="C90" t="s">
        <v>191</v>
      </c>
      <c r="D90" t="b">
        <f t="shared" si="4"/>
        <v>1</v>
      </c>
      <c r="E90" t="s">
        <v>191</v>
      </c>
      <c r="F90">
        <v>2</v>
      </c>
      <c r="G90">
        <v>2</v>
      </c>
      <c r="H90">
        <v>10</v>
      </c>
      <c r="I90">
        <v>1</v>
      </c>
      <c r="J90">
        <v>9</v>
      </c>
      <c r="K90">
        <v>5</v>
      </c>
      <c r="L90">
        <v>5</v>
      </c>
      <c r="N90" t="b">
        <f t="shared" si="5"/>
        <v>1</v>
      </c>
      <c r="O90" t="s">
        <v>15</v>
      </c>
    </row>
    <row r="91" spans="1:15" x14ac:dyDescent="0.35">
      <c r="A91" t="s">
        <v>192</v>
      </c>
      <c r="B91">
        <v>2022</v>
      </c>
      <c r="C91" t="s">
        <v>193</v>
      </c>
      <c r="D91" t="b">
        <f t="shared" si="4"/>
        <v>1</v>
      </c>
      <c r="E91" t="s">
        <v>193</v>
      </c>
      <c r="F91">
        <v>3</v>
      </c>
      <c r="G91">
        <v>2</v>
      </c>
      <c r="H91">
        <v>8</v>
      </c>
      <c r="I91">
        <v>3</v>
      </c>
      <c r="J91">
        <v>5</v>
      </c>
      <c r="K91">
        <v>4</v>
      </c>
      <c r="L91">
        <v>4</v>
      </c>
      <c r="N91" t="b">
        <f t="shared" si="5"/>
        <v>1</v>
      </c>
      <c r="O91" t="s">
        <v>15</v>
      </c>
    </row>
    <row r="92" spans="1:15" x14ac:dyDescent="0.35">
      <c r="A92" t="s">
        <v>194</v>
      </c>
      <c r="B92">
        <v>2022</v>
      </c>
      <c r="C92" t="s">
        <v>195</v>
      </c>
      <c r="D92" t="b">
        <f t="shared" si="4"/>
        <v>1</v>
      </c>
      <c r="E92" t="s">
        <v>195</v>
      </c>
      <c r="F92">
        <v>3</v>
      </c>
      <c r="G92">
        <v>2</v>
      </c>
      <c r="H92">
        <v>4</v>
      </c>
      <c r="I92">
        <v>3</v>
      </c>
      <c r="J92">
        <v>1</v>
      </c>
      <c r="K92">
        <v>4</v>
      </c>
      <c r="L92">
        <v>4</v>
      </c>
      <c r="M92">
        <v>4</v>
      </c>
      <c r="N92" t="b">
        <f t="shared" si="5"/>
        <v>1</v>
      </c>
      <c r="O92" t="s">
        <v>15</v>
      </c>
    </row>
    <row r="93" spans="1:15" x14ac:dyDescent="0.35">
      <c r="A93" t="s">
        <v>196</v>
      </c>
      <c r="B93">
        <v>2022</v>
      </c>
      <c r="C93" t="s">
        <v>197</v>
      </c>
      <c r="D93" t="b">
        <f t="shared" si="4"/>
        <v>1</v>
      </c>
      <c r="E93" t="s">
        <v>197</v>
      </c>
      <c r="F93">
        <v>3</v>
      </c>
      <c r="G93">
        <v>1</v>
      </c>
      <c r="H93">
        <v>2</v>
      </c>
      <c r="I93">
        <v>2</v>
      </c>
      <c r="J93">
        <v>0</v>
      </c>
      <c r="K93">
        <v>4</v>
      </c>
      <c r="L93">
        <v>4</v>
      </c>
      <c r="M93">
        <v>4</v>
      </c>
      <c r="N93" t="b">
        <f t="shared" si="5"/>
        <v>1</v>
      </c>
      <c r="O93" t="s">
        <v>15</v>
      </c>
    </row>
    <row r="94" spans="1:15" x14ac:dyDescent="0.35">
      <c r="A94" t="s">
        <v>198</v>
      </c>
      <c r="B94">
        <v>2022</v>
      </c>
      <c r="C94" t="s">
        <v>199</v>
      </c>
      <c r="D94" t="b">
        <f t="shared" si="4"/>
        <v>1</v>
      </c>
      <c r="E94" t="s">
        <v>199</v>
      </c>
      <c r="F94">
        <v>3</v>
      </c>
      <c r="G94">
        <v>3</v>
      </c>
      <c r="H94">
        <v>5</v>
      </c>
      <c r="I94">
        <v>3</v>
      </c>
      <c r="J94">
        <v>2</v>
      </c>
      <c r="K94">
        <v>4</v>
      </c>
      <c r="L94">
        <v>4</v>
      </c>
      <c r="M94">
        <v>4</v>
      </c>
      <c r="N94" t="b">
        <f t="shared" si="5"/>
        <v>1</v>
      </c>
      <c r="O94" t="s">
        <v>15</v>
      </c>
    </row>
    <row r="95" spans="1:15" x14ac:dyDescent="0.35">
      <c r="A95" t="s">
        <v>200</v>
      </c>
      <c r="B95">
        <v>2022</v>
      </c>
      <c r="C95" t="s">
        <v>201</v>
      </c>
      <c r="D95" t="b">
        <f t="shared" si="4"/>
        <v>1</v>
      </c>
      <c r="E95" t="s">
        <v>201</v>
      </c>
      <c r="F95">
        <v>2</v>
      </c>
      <c r="G95">
        <v>3</v>
      </c>
      <c r="H95">
        <v>12</v>
      </c>
      <c r="I95">
        <v>1</v>
      </c>
      <c r="J95">
        <v>11</v>
      </c>
      <c r="K95">
        <v>5</v>
      </c>
      <c r="L95">
        <v>5</v>
      </c>
      <c r="N95" t="b">
        <f t="shared" si="5"/>
        <v>1</v>
      </c>
      <c r="O95" t="s">
        <v>15</v>
      </c>
    </row>
    <row r="96" spans="1:15" x14ac:dyDescent="0.35">
      <c r="A96" t="s">
        <v>202</v>
      </c>
      <c r="B96">
        <v>2022</v>
      </c>
      <c r="C96" t="s">
        <v>203</v>
      </c>
      <c r="D96" t="b">
        <f t="shared" si="4"/>
        <v>1</v>
      </c>
      <c r="E96" t="s">
        <v>203</v>
      </c>
      <c r="F96">
        <v>2</v>
      </c>
      <c r="G96">
        <v>1</v>
      </c>
      <c r="H96">
        <v>3</v>
      </c>
      <c r="I96">
        <v>0</v>
      </c>
      <c r="J96">
        <v>3</v>
      </c>
      <c r="K96">
        <v>4</v>
      </c>
      <c r="L96">
        <v>4</v>
      </c>
      <c r="N96" t="b">
        <f t="shared" si="5"/>
        <v>1</v>
      </c>
      <c r="O96" t="s">
        <v>15</v>
      </c>
    </row>
    <row r="97" spans="1:15" x14ac:dyDescent="0.35">
      <c r="A97" t="s">
        <v>204</v>
      </c>
      <c r="B97">
        <v>2022</v>
      </c>
      <c r="C97" t="s">
        <v>205</v>
      </c>
      <c r="D97" t="b">
        <f t="shared" si="4"/>
        <v>1</v>
      </c>
      <c r="E97" t="s">
        <v>205</v>
      </c>
      <c r="F97">
        <v>1</v>
      </c>
      <c r="G97">
        <v>1</v>
      </c>
      <c r="H97">
        <v>3</v>
      </c>
      <c r="I97">
        <v>1</v>
      </c>
      <c r="J97">
        <v>2</v>
      </c>
      <c r="K97">
        <v>4</v>
      </c>
      <c r="L97">
        <v>4</v>
      </c>
      <c r="N97" t="b">
        <f t="shared" si="5"/>
        <v>1</v>
      </c>
      <c r="O97" t="s">
        <v>15</v>
      </c>
    </row>
    <row r="98" spans="1:15" x14ac:dyDescent="0.35">
      <c r="A98" t="s">
        <v>206</v>
      </c>
      <c r="B98">
        <v>2022</v>
      </c>
      <c r="C98" t="s">
        <v>207</v>
      </c>
      <c r="D98" t="b">
        <f t="shared" ref="D98" si="6">EXACT(C98,E98)</f>
        <v>1</v>
      </c>
      <c r="E98" t="s">
        <v>207</v>
      </c>
      <c r="F98">
        <v>1</v>
      </c>
      <c r="G98">
        <v>1</v>
      </c>
      <c r="H98">
        <v>8</v>
      </c>
      <c r="I98">
        <v>3</v>
      </c>
      <c r="J98">
        <v>5</v>
      </c>
      <c r="K98">
        <v>5</v>
      </c>
      <c r="L98">
        <v>5</v>
      </c>
      <c r="N98" t="b">
        <f t="shared" ref="N98" si="7">IF(M98&gt;0, K98=M98, IF(L98&gt;0, K98=L98, "BLANK"))</f>
        <v>1</v>
      </c>
      <c r="O98" t="s">
        <v>15</v>
      </c>
    </row>
  </sheetData>
  <autoFilter ref="A1:S98" xr:uid="{0E5922D6-87C2-4554-A7C4-E297F9B3B3F1}"/>
  <sortState xmlns:xlrd2="http://schemas.microsoft.com/office/spreadsheetml/2017/richdata2" ref="A2:O98">
    <sortCondition ref="A2:A98"/>
  </sortState>
  <conditionalFormatting sqref="D1:D1048576">
    <cfRule type="cellIs" dxfId="0" priority="1" operator="equal">
      <formula>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DSFI CHECK v8 2022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Baker</dc:creator>
  <cp:lastModifiedBy>Nathan Baker</cp:lastModifiedBy>
  <dcterms:created xsi:type="dcterms:W3CDTF">2026-05-08T21:52:31Z</dcterms:created>
  <dcterms:modified xsi:type="dcterms:W3CDTF">2026-07-29T13:40:06Z</dcterms:modified>
</cp:coreProperties>
</file>