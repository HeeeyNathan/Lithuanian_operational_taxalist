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MOBILR Project (2024-2027)/Analyses/Operational taxalist/Calculating OTL indices/Outputs/"/>
    </mc:Choice>
  </mc:AlternateContent>
  <xr:revisionPtr revIDLastSave="25" documentId="8_{FB73C672-E177-41F9-BF4B-D9E598FDB059}" xr6:coauthVersionLast="47" xr6:coauthVersionMax="47" xr10:uidLastSave="{B01CE340-0BB9-4DB4-8A9E-F47781315329}"/>
  <bookViews>
    <workbookView xWindow="38290" yWindow="-110" windowWidth="38620" windowHeight="21100" xr2:uid="{00000000-000D-0000-FFFF-FFFF00000000}"/>
  </bookViews>
  <sheets>
    <sheet name="README" sheetId="3" r:id="rId1"/>
    <sheet name="data_all_sites" sheetId="1" r:id="rId2"/>
  </sheets>
  <definedNames>
    <definedName name="_xlnm._FilterDatabase" localSheetId="1" hidden="1">data_all_sites!$A$1:$BP$932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2" i="1" l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695" i="1"/>
  <c r="BL696" i="1"/>
  <c r="BL697" i="1"/>
  <c r="BL698" i="1"/>
  <c r="BL699" i="1"/>
  <c r="BL700" i="1"/>
  <c r="BL701" i="1"/>
  <c r="BL702" i="1"/>
  <c r="BL703" i="1"/>
  <c r="BL704" i="1"/>
  <c r="BL705" i="1"/>
  <c r="BL706" i="1"/>
  <c r="BL707" i="1"/>
  <c r="BL708" i="1"/>
  <c r="BL709" i="1"/>
  <c r="BL710" i="1"/>
  <c r="BL711" i="1"/>
  <c r="BL712" i="1"/>
  <c r="BL713" i="1"/>
  <c r="BL714" i="1"/>
  <c r="BL715" i="1"/>
  <c r="BL716" i="1"/>
  <c r="BL717" i="1"/>
  <c r="BL718" i="1"/>
  <c r="BL719" i="1"/>
  <c r="BL720" i="1"/>
  <c r="BL721" i="1"/>
  <c r="BL722" i="1"/>
  <c r="BL723" i="1"/>
  <c r="BL724" i="1"/>
  <c r="BL725" i="1"/>
  <c r="BL726" i="1"/>
  <c r="BL727" i="1"/>
  <c r="BL728" i="1"/>
  <c r="BL729" i="1"/>
  <c r="BL730" i="1"/>
  <c r="BL731" i="1"/>
  <c r="BL732" i="1"/>
  <c r="BL733" i="1"/>
  <c r="BL734" i="1"/>
  <c r="BL735" i="1"/>
  <c r="BL736" i="1"/>
  <c r="BL737" i="1"/>
  <c r="BL738" i="1"/>
  <c r="BL739" i="1"/>
  <c r="BL740" i="1"/>
  <c r="BL741" i="1"/>
  <c r="BL742" i="1"/>
  <c r="BL743" i="1"/>
  <c r="BL744" i="1"/>
  <c r="BL745" i="1"/>
  <c r="BL746" i="1"/>
  <c r="BL747" i="1"/>
  <c r="BL748" i="1"/>
  <c r="BL749" i="1"/>
  <c r="BL750" i="1"/>
  <c r="BL751" i="1"/>
  <c r="BL752" i="1"/>
  <c r="BL753" i="1"/>
  <c r="BL754" i="1"/>
  <c r="BL755" i="1"/>
  <c r="BL756" i="1"/>
  <c r="BL757" i="1"/>
  <c r="BL758" i="1"/>
  <c r="BL759" i="1"/>
  <c r="BL760" i="1"/>
  <c r="BL761" i="1"/>
  <c r="BL762" i="1"/>
  <c r="BL763" i="1"/>
  <c r="BL764" i="1"/>
  <c r="BL765" i="1"/>
  <c r="BL766" i="1"/>
  <c r="BL767" i="1"/>
  <c r="BL768" i="1"/>
  <c r="BL769" i="1"/>
  <c r="BL770" i="1"/>
  <c r="BL771" i="1"/>
  <c r="BL772" i="1"/>
  <c r="BL773" i="1"/>
  <c r="BL774" i="1"/>
  <c r="BL775" i="1"/>
  <c r="BL776" i="1"/>
  <c r="BL777" i="1"/>
  <c r="BL778" i="1"/>
  <c r="BL779" i="1"/>
  <c r="BL780" i="1"/>
  <c r="BL781" i="1"/>
  <c r="BL782" i="1"/>
  <c r="BL783" i="1"/>
  <c r="BL784" i="1"/>
  <c r="BL785" i="1"/>
  <c r="BL786" i="1"/>
  <c r="BL787" i="1"/>
  <c r="BL788" i="1"/>
  <c r="BL789" i="1"/>
  <c r="BL790" i="1"/>
  <c r="BL791" i="1"/>
  <c r="BL792" i="1"/>
  <c r="BL793" i="1"/>
  <c r="BL794" i="1"/>
  <c r="BL795" i="1"/>
  <c r="BL796" i="1"/>
  <c r="BL797" i="1"/>
  <c r="BL798" i="1"/>
  <c r="BL799" i="1"/>
  <c r="BL800" i="1"/>
  <c r="BL801" i="1"/>
  <c r="BL802" i="1"/>
  <c r="BL803" i="1"/>
  <c r="BL804" i="1"/>
  <c r="BL805" i="1"/>
  <c r="BL806" i="1"/>
  <c r="BL807" i="1"/>
  <c r="BL808" i="1"/>
  <c r="BL809" i="1"/>
  <c r="BL810" i="1"/>
  <c r="BL811" i="1"/>
  <c r="BL812" i="1"/>
  <c r="BL813" i="1"/>
  <c r="BL814" i="1"/>
  <c r="BL815" i="1"/>
  <c r="BL816" i="1"/>
  <c r="BL817" i="1"/>
  <c r="BL818" i="1"/>
  <c r="BL819" i="1"/>
  <c r="BL820" i="1"/>
  <c r="BL821" i="1"/>
  <c r="BL822" i="1"/>
  <c r="BL823" i="1"/>
  <c r="BL824" i="1"/>
  <c r="BL825" i="1"/>
  <c r="BL826" i="1"/>
  <c r="BL827" i="1"/>
  <c r="BL828" i="1"/>
  <c r="BL829" i="1"/>
  <c r="BL830" i="1"/>
  <c r="BL831" i="1"/>
  <c r="BL832" i="1"/>
  <c r="BL833" i="1"/>
  <c r="BL834" i="1"/>
  <c r="BL835" i="1"/>
  <c r="BL836" i="1"/>
  <c r="BL837" i="1"/>
  <c r="BL838" i="1"/>
  <c r="BL839" i="1"/>
  <c r="BL840" i="1"/>
  <c r="BL841" i="1"/>
  <c r="BL842" i="1"/>
  <c r="BL843" i="1"/>
  <c r="BL844" i="1"/>
  <c r="BL845" i="1"/>
  <c r="BL846" i="1"/>
  <c r="BL847" i="1"/>
  <c r="BL848" i="1"/>
  <c r="BL849" i="1"/>
  <c r="BL850" i="1"/>
  <c r="BL851" i="1"/>
  <c r="BL852" i="1"/>
  <c r="BL853" i="1"/>
  <c r="BL854" i="1"/>
  <c r="BL855" i="1"/>
  <c r="BL856" i="1"/>
  <c r="BL857" i="1"/>
  <c r="BL858" i="1"/>
  <c r="BL859" i="1"/>
  <c r="BL860" i="1"/>
  <c r="BL861" i="1"/>
  <c r="BL862" i="1"/>
  <c r="BL863" i="1"/>
  <c r="BL864" i="1"/>
  <c r="BL865" i="1"/>
  <c r="BL866" i="1"/>
  <c r="BL867" i="1"/>
  <c r="BL868" i="1"/>
  <c r="BL869" i="1"/>
  <c r="BL870" i="1"/>
  <c r="BL871" i="1"/>
  <c r="BL872" i="1"/>
  <c r="BL873" i="1"/>
  <c r="BL874" i="1"/>
  <c r="BL875" i="1"/>
  <c r="BL876" i="1"/>
  <c r="BL877" i="1"/>
  <c r="BL878" i="1"/>
  <c r="BL879" i="1"/>
  <c r="BL880" i="1"/>
  <c r="BL881" i="1"/>
  <c r="BL882" i="1"/>
  <c r="BL883" i="1"/>
  <c r="BL884" i="1"/>
  <c r="BL885" i="1"/>
  <c r="BL886" i="1"/>
  <c r="BL887" i="1"/>
  <c r="BL888" i="1"/>
  <c r="BL889" i="1"/>
  <c r="BL890" i="1"/>
  <c r="BL891" i="1"/>
  <c r="BL892" i="1"/>
  <c r="BL893" i="1"/>
  <c r="BL894" i="1"/>
  <c r="BL895" i="1"/>
  <c r="BL896" i="1"/>
  <c r="BL897" i="1"/>
  <c r="BL898" i="1"/>
  <c r="BL899" i="1"/>
  <c r="BL900" i="1"/>
  <c r="BL901" i="1"/>
  <c r="BL902" i="1"/>
  <c r="BL903" i="1"/>
  <c r="BL904" i="1"/>
  <c r="BL905" i="1"/>
  <c r="BL906" i="1"/>
  <c r="BL907" i="1"/>
  <c r="BL908" i="1"/>
  <c r="BL909" i="1"/>
  <c r="BL910" i="1"/>
  <c r="BL911" i="1"/>
  <c r="BL912" i="1"/>
  <c r="BL913" i="1"/>
  <c r="BL914" i="1"/>
  <c r="BL915" i="1"/>
  <c r="BL916" i="1"/>
  <c r="BL917" i="1"/>
  <c r="BL918" i="1"/>
  <c r="BL919" i="1"/>
  <c r="BL920" i="1"/>
  <c r="BL921" i="1"/>
  <c r="BL922" i="1"/>
  <c r="BL923" i="1"/>
  <c r="BL924" i="1"/>
  <c r="BL925" i="1"/>
  <c r="BL926" i="1"/>
  <c r="BL927" i="1"/>
  <c r="BL928" i="1"/>
  <c r="BL929" i="1"/>
  <c r="BL930" i="1"/>
  <c r="BL931" i="1"/>
  <c r="BL932" i="1"/>
  <c r="BL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2" i="1"/>
  <c r="BO7" i="1" l="1"/>
  <c r="BP7" i="1" s="1"/>
  <c r="BO8" i="1" a="1"/>
  <c r="BO4" i="1"/>
  <c r="BP4" i="1" s="1"/>
  <c r="BO3" i="1"/>
  <c r="BP3" i="1" s="1"/>
  <c r="BO5" i="1"/>
  <c r="BO9" i="1"/>
  <c r="BO6" i="1" l="1"/>
  <c r="BP6" i="1" s="1"/>
  <c r="BP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<sst xmlns="http://schemas.openxmlformats.org/spreadsheetml/2006/main" count="10381" uniqueCount="2491">
  <si>
    <t>site_code</t>
  </si>
  <si>
    <t>site_id</t>
  </si>
  <si>
    <t>year</t>
  </si>
  <si>
    <t>latitude</t>
  </si>
  <si>
    <t>longitude</t>
  </si>
  <si>
    <t>waterbody_type</t>
  </si>
  <si>
    <t>river_basin</t>
  </si>
  <si>
    <t>catchment_subcatchment</t>
  </si>
  <si>
    <t>waterbody_name</t>
  </si>
  <si>
    <t>modification_state</t>
  </si>
  <si>
    <t>modification_group</t>
  </si>
  <si>
    <t>river_type</t>
  </si>
  <si>
    <t>reference_site</t>
  </si>
  <si>
    <t>EQR</t>
  </si>
  <si>
    <t>EQC</t>
  </si>
  <si>
    <t>indicator_group</t>
  </si>
  <si>
    <t>ig_n_taxa</t>
  </si>
  <si>
    <t>positive_div</t>
  </si>
  <si>
    <t>negative_div</t>
  </si>
  <si>
    <t>net_diversity</t>
  </si>
  <si>
    <t>dsfi_value</t>
  </si>
  <si>
    <t>SppRich</t>
  </si>
  <si>
    <t>Abund</t>
  </si>
  <si>
    <t>BMWP</t>
  </si>
  <si>
    <t>BMWP_ntaxa</t>
  </si>
  <si>
    <t>ASPT</t>
  </si>
  <si>
    <t>ephemeroptera_spp_richness</t>
  </si>
  <si>
    <t>ephemeroptera_abundance</t>
  </si>
  <si>
    <t>plecoptera_spp_richness</t>
  </si>
  <si>
    <t>plecoptera_abundance</t>
  </si>
  <si>
    <t>diptera_spp_richness</t>
  </si>
  <si>
    <t>diptera_fam_richness</t>
  </si>
  <si>
    <t>diptera_abundance</t>
  </si>
  <si>
    <t>hemiptera_spp_richness</t>
  </si>
  <si>
    <t>hemiptera_abundance</t>
  </si>
  <si>
    <t>crustacea_spp_richness</t>
  </si>
  <si>
    <t>crustacea_abundance</t>
  </si>
  <si>
    <t>hirudinea_spp_richness</t>
  </si>
  <si>
    <t>hirudinea_abundance</t>
  </si>
  <si>
    <t>CrHi_spp_richness</t>
  </si>
  <si>
    <t>CrHi_abundance</t>
  </si>
  <si>
    <t>EHP_spp_richness</t>
  </si>
  <si>
    <t>EHP_abundance</t>
  </si>
  <si>
    <t>DEP_richness</t>
  </si>
  <si>
    <t>DEP_abundance</t>
  </si>
  <si>
    <t>ephemeroptera_prop</t>
  </si>
  <si>
    <t>plecoptera_prop</t>
  </si>
  <si>
    <t>diptera_prop</t>
  </si>
  <si>
    <t>hemiptera_prop</t>
  </si>
  <si>
    <t>crustacea_prop</t>
  </si>
  <si>
    <t>CrHi_prop</t>
  </si>
  <si>
    <t>EHP_prop</t>
  </si>
  <si>
    <t>DEP_prop</t>
  </si>
  <si>
    <t>EHP_minus_CrHi_prop</t>
  </si>
  <si>
    <t>DSFI_EQR</t>
  </si>
  <si>
    <t>ASPT_EQR</t>
  </si>
  <si>
    <t>DEP_EQR</t>
  </si>
  <si>
    <t>EHP_minus_CrHi_EQR</t>
  </si>
  <si>
    <t>LRMI_n_metrics</t>
  </si>
  <si>
    <t>LRMI_raw</t>
  </si>
  <si>
    <t>LRMI</t>
  </si>
  <si>
    <t>LRMI_class</t>
  </si>
  <si>
    <t>LTR1013_2016</t>
  </si>
  <si>
    <t>LTR1013</t>
  </si>
  <si>
    <t>56.166353950000001</t>
  </si>
  <si>
    <t>24.757896429999999</t>
  </si>
  <si>
    <t>River</t>
  </si>
  <si>
    <t>Lielupė</t>
  </si>
  <si>
    <t>Nemunėlis</t>
  </si>
  <si>
    <t>Agluona</t>
  </si>
  <si>
    <t>N</t>
  </si>
  <si>
    <t>Moderate</t>
  </si>
  <si>
    <t>LTR1013_2019</t>
  </si>
  <si>
    <t>LTR1013_2022</t>
  </si>
  <si>
    <t>LTR1027_2017</t>
  </si>
  <si>
    <t>LTR1027</t>
  </si>
  <si>
    <t>56.037618780000003</t>
  </si>
  <si>
    <t>25.615376550000001</t>
  </si>
  <si>
    <t>Vyžuona</t>
  </si>
  <si>
    <t>LTR1027_2022</t>
  </si>
  <si>
    <t>LTR1032_2015</t>
  </si>
  <si>
    <t>LTR1032</t>
  </si>
  <si>
    <t>55.810680329999997</t>
  </si>
  <si>
    <t>25.074618650000001</t>
  </si>
  <si>
    <t>Mūša</t>
  </si>
  <si>
    <t>Skodinys</t>
  </si>
  <si>
    <t>Good</t>
  </si>
  <si>
    <t>LTR105_2014</t>
  </si>
  <si>
    <t>LTR105</t>
  </si>
  <si>
    <t>55.28448779</t>
  </si>
  <si>
    <t>26.784912510000002</t>
  </si>
  <si>
    <t>Daugava</t>
  </si>
  <si>
    <t>Birvėta</t>
  </si>
  <si>
    <t>LTR105_2015</t>
  </si>
  <si>
    <t>LTR105_2016</t>
  </si>
  <si>
    <t>LTR105_2017</t>
  </si>
  <si>
    <t>LTR105_2020</t>
  </si>
  <si>
    <t>LTR1063_2017</t>
  </si>
  <si>
    <t>LTR1063</t>
  </si>
  <si>
    <t>54.879600000000003</t>
  </si>
  <si>
    <t>22.993400000000001</t>
  </si>
  <si>
    <t>Nemunas</t>
  </si>
  <si>
    <t>Šešupė</t>
  </si>
  <si>
    <t>PentaII</t>
  </si>
  <si>
    <t>Poor</t>
  </si>
  <si>
    <t>LTR1063_2021</t>
  </si>
  <si>
    <t>LTR106_2016</t>
  </si>
  <si>
    <t>LTR106</t>
  </si>
  <si>
    <t>55.742116080000002</t>
  </si>
  <si>
    <t>26.299017200000002</t>
  </si>
  <si>
    <t>Laukesa</t>
  </si>
  <si>
    <t>LTR106_2019</t>
  </si>
  <si>
    <t>LTR1070_2016</t>
  </si>
  <si>
    <t>LTR1070</t>
  </si>
  <si>
    <t>54.513847230000003</t>
  </si>
  <si>
    <t>22.967843049999999</t>
  </si>
  <si>
    <t>Širvinta</t>
  </si>
  <si>
    <t>LTR1070_2019</t>
  </si>
  <si>
    <t>LTR1070_2022</t>
  </si>
  <si>
    <t>LTR1076_2017</t>
  </si>
  <si>
    <t>LTR1076</t>
  </si>
  <si>
    <t>54.720367690000003</t>
  </si>
  <si>
    <t>23.594660139999998</t>
  </si>
  <si>
    <t>Kokė</t>
  </si>
  <si>
    <t>LTR1076_2022</t>
  </si>
  <si>
    <t>LTR1101_2022</t>
  </si>
  <si>
    <t>LTR1101</t>
  </si>
  <si>
    <t>55.844063749999997</t>
  </si>
  <si>
    <t>22.10576829</t>
  </si>
  <si>
    <t>Minija</t>
  </si>
  <si>
    <t>LTR1105_2022</t>
  </si>
  <si>
    <t>LTR1105</t>
  </si>
  <si>
    <t>55.940125520000002</t>
  </si>
  <si>
    <t>21.596293710000001</t>
  </si>
  <si>
    <t>LTR1124_2019</t>
  </si>
  <si>
    <t>LTR1124</t>
  </si>
  <si>
    <t>56.367689339999998</t>
  </si>
  <si>
    <t>23.267573930000001</t>
  </si>
  <si>
    <t>Small tributaries of the Lielupė</t>
  </si>
  <si>
    <t>Švėtė</t>
  </si>
  <si>
    <t>LTR1145_2019</t>
  </si>
  <si>
    <t>LTR1145</t>
  </si>
  <si>
    <t>56.281717579999999</t>
  </si>
  <si>
    <t>22.229498799999998</t>
  </si>
  <si>
    <t>Venta</t>
  </si>
  <si>
    <t>Šerkšnė</t>
  </si>
  <si>
    <t>LTR1192_2016</t>
  </si>
  <si>
    <t>LTR1192</t>
  </si>
  <si>
    <t>55.535577619999998</t>
  </si>
  <si>
    <t>25.546689749999999</t>
  </si>
  <si>
    <t>Šventoji</t>
  </si>
  <si>
    <t>LTR1192_2019</t>
  </si>
  <si>
    <t>LTR1192_2022</t>
  </si>
  <si>
    <t>LTR1213_2019</t>
  </si>
  <si>
    <t>LTR1213</t>
  </si>
  <si>
    <t>56.401200000000003</t>
  </si>
  <si>
    <t>22.363700000000001</t>
  </si>
  <si>
    <t>Vadakstis</t>
  </si>
  <si>
    <t>LTR1241_2015</t>
  </si>
  <si>
    <t>LTR1241</t>
  </si>
  <si>
    <t>55.619300000000003</t>
  </si>
  <si>
    <t>21.997299999999999</t>
  </si>
  <si>
    <t>Jūra</t>
  </si>
  <si>
    <t>Aitra</t>
  </si>
  <si>
    <t>High</t>
  </si>
  <si>
    <t>LTR1241_2019</t>
  </si>
  <si>
    <t>LTR1249_2015</t>
  </si>
  <si>
    <t>LTR1249</t>
  </si>
  <si>
    <t>55.686900000000001</t>
  </si>
  <si>
    <t>24.162299999999998</t>
  </si>
  <si>
    <t>Nevėžis</t>
  </si>
  <si>
    <t>LTR1249_2018</t>
  </si>
  <si>
    <t>LTR1249_2021</t>
  </si>
  <si>
    <t>LTR1256_2015</t>
  </si>
  <si>
    <t>LTR1256</t>
  </si>
  <si>
    <t>55.689700000000002</t>
  </si>
  <si>
    <t>24.588699999999999</t>
  </si>
  <si>
    <t>Juosta</t>
  </si>
  <si>
    <t>LTR1256_2018</t>
  </si>
  <si>
    <t>LTR1256_2021</t>
  </si>
  <si>
    <t>LTR127_2014</t>
  </si>
  <si>
    <t>LTR127</t>
  </si>
  <si>
    <t>55.291288389999998</t>
  </si>
  <si>
    <t>21.377204129999999</t>
  </si>
  <si>
    <t>Small tributaries of the Nemunas</t>
  </si>
  <si>
    <t>Skirvytė</t>
  </si>
  <si>
    <t>LTR127_2015</t>
  </si>
  <si>
    <t>Bad</t>
  </si>
  <si>
    <t>LTR127_2016</t>
  </si>
  <si>
    <t>LTR127_2017</t>
  </si>
  <si>
    <t>LTR127_2020</t>
  </si>
  <si>
    <t>LTR1282_2014</t>
  </si>
  <si>
    <t>LTR1282</t>
  </si>
  <si>
    <t>55.667751709999997</t>
  </si>
  <si>
    <t>23.035774629999999</t>
  </si>
  <si>
    <t>Dubysa</t>
  </si>
  <si>
    <t>Kražantė</t>
  </si>
  <si>
    <t>LTR1282_2015</t>
  </si>
  <si>
    <t>LTR1282_2016</t>
  </si>
  <si>
    <t>LTR1282_2017</t>
  </si>
  <si>
    <t>LTR1282_2020</t>
  </si>
  <si>
    <t>LTR1292_2016</t>
  </si>
  <si>
    <t>LTR1292</t>
  </si>
  <si>
    <t>54.515099999999997</t>
  </si>
  <si>
    <t>23.992100000000001</t>
  </si>
  <si>
    <t>LTR1292_2019</t>
  </si>
  <si>
    <t>LTR1292_2020</t>
  </si>
  <si>
    <t>LTR1293_2014</t>
  </si>
  <si>
    <t>LTR1293</t>
  </si>
  <si>
    <t>54.311900000000001</t>
  </si>
  <si>
    <t>24.8156</t>
  </si>
  <si>
    <t>Merkys</t>
  </si>
  <si>
    <t>Verseka</t>
  </si>
  <si>
    <t>LTR1293_2021</t>
  </si>
  <si>
    <t>LTR1294_2014</t>
  </si>
  <si>
    <t>LTR1294</t>
  </si>
  <si>
    <t>54.597299999999997</t>
  </si>
  <si>
    <t>24.0915</t>
  </si>
  <si>
    <t>Verknė</t>
  </si>
  <si>
    <t>LTR1294_2018</t>
  </si>
  <si>
    <t>LTR1294_2021</t>
  </si>
  <si>
    <t>LTR1296_2014</t>
  </si>
  <si>
    <t>LTR1296</t>
  </si>
  <si>
    <t>54.145499999999998</t>
  </si>
  <si>
    <t>24.3873</t>
  </si>
  <si>
    <t>Ūla-Pelesa</t>
  </si>
  <si>
    <t>LTR1296_2017</t>
  </si>
  <si>
    <t>LTR1296_2021</t>
  </si>
  <si>
    <t>LTR1298_2014</t>
  </si>
  <si>
    <t>LTR1298</t>
  </si>
  <si>
    <t>54.558</t>
  </si>
  <si>
    <t>24.344000000000001</t>
  </si>
  <si>
    <t>LTR1298_2021</t>
  </si>
  <si>
    <t>LTR1299_2015</t>
  </si>
  <si>
    <t>LTR1299</t>
  </si>
  <si>
    <t>54.201132620000003</t>
  </si>
  <si>
    <t>24.371298920000001</t>
  </si>
  <si>
    <t>Nedzingis</t>
  </si>
  <si>
    <t>LTR1299_2019</t>
  </si>
  <si>
    <t>LTR1299_2022</t>
  </si>
  <si>
    <t>LTR1300_2015</t>
  </si>
  <si>
    <t>LTR1300</t>
  </si>
  <si>
    <t>54.119164220000002</t>
  </si>
  <si>
    <t>24.30513419</t>
  </si>
  <si>
    <t>Grūda</t>
  </si>
  <si>
    <t>LTR1300_2019</t>
  </si>
  <si>
    <t>LTR1300_2022</t>
  </si>
  <si>
    <t>LTR1301_2014</t>
  </si>
  <si>
    <t>LTR1301</t>
  </si>
  <si>
    <t>54.090577770000003</t>
  </si>
  <si>
    <t>24.293436589999999</t>
  </si>
  <si>
    <t>Skroblus</t>
  </si>
  <si>
    <t>LTR1301_2015</t>
  </si>
  <si>
    <t>LTR1301_2016</t>
  </si>
  <si>
    <t>LTR1301_2017</t>
  </si>
  <si>
    <t>LTR1301_2020</t>
  </si>
  <si>
    <t>LTR1303_2015</t>
  </si>
  <si>
    <t>LTR1303</t>
  </si>
  <si>
    <t>54.658299999999997</t>
  </si>
  <si>
    <t>22.924099999999999</t>
  </si>
  <si>
    <t>LTR1303_2019</t>
  </si>
  <si>
    <t>LTR1304_2015</t>
  </si>
  <si>
    <t>LTR1304</t>
  </si>
  <si>
    <t>54.889570720000002</t>
  </si>
  <si>
    <t>22.89419608</t>
  </si>
  <si>
    <t>Nova</t>
  </si>
  <si>
    <t>LTR1304_2022</t>
  </si>
  <si>
    <t>LTR1306_2014</t>
  </si>
  <si>
    <t>LTR1306</t>
  </si>
  <si>
    <t>54.833799999999997</t>
  </si>
  <si>
    <t>23.144400000000001</t>
  </si>
  <si>
    <t>LTR1306_2021</t>
  </si>
  <si>
    <t>LTR1312_2015</t>
  </si>
  <si>
    <t>LTR1312</t>
  </si>
  <si>
    <t>55.656300000000002</t>
  </si>
  <si>
    <t>25.8733</t>
  </si>
  <si>
    <t>LTR1312_2018</t>
  </si>
  <si>
    <t>LTR1312_2021</t>
  </si>
  <si>
    <t>LTR1318_2014</t>
  </si>
  <si>
    <t>LTR1318</t>
  </si>
  <si>
    <t>55.648499999999999</t>
  </si>
  <si>
    <t>25.292100000000001</t>
  </si>
  <si>
    <t>Jara-Šatekšna</t>
  </si>
  <si>
    <t>LTR1318_2018</t>
  </si>
  <si>
    <t>LTR1318_2021</t>
  </si>
  <si>
    <t>LTR1319_2014</t>
  </si>
  <si>
    <t>LTR1319</t>
  </si>
  <si>
    <t>55.620813079999998</t>
  </si>
  <si>
    <t>25.435432420000001</t>
  </si>
  <si>
    <t>LTR1319_2015</t>
  </si>
  <si>
    <t>LTR1319_2016</t>
  </si>
  <si>
    <t>LTR1319_2017</t>
  </si>
  <si>
    <t>LTR1319_2020</t>
  </si>
  <si>
    <t>LTR1320_2016</t>
  </si>
  <si>
    <t>LTR1320</t>
  </si>
  <si>
    <t>55.420122130000003</t>
  </si>
  <si>
    <t>25.10494164</t>
  </si>
  <si>
    <t>Nevėža</t>
  </si>
  <si>
    <t>LTR1320_2019</t>
  </si>
  <si>
    <t>LTR1320_2022</t>
  </si>
  <si>
    <t>LTR1322_2015</t>
  </si>
  <si>
    <t>LTR1322</t>
  </si>
  <si>
    <t>55.374099999999999</t>
  </si>
  <si>
    <t>25.180700000000002</t>
  </si>
  <si>
    <t>Virinta</t>
  </si>
  <si>
    <t>LTR1322_2018</t>
  </si>
  <si>
    <t>LTR1322_2021</t>
  </si>
  <si>
    <t>LTR1329_2015</t>
  </si>
  <si>
    <t>LTR1329</t>
  </si>
  <si>
    <t>55.18434397</t>
  </si>
  <si>
    <t>23.00654059</t>
  </si>
  <si>
    <t>Mituva</t>
  </si>
  <si>
    <t>LTR1331_2016</t>
  </si>
  <si>
    <t>LTR1331</t>
  </si>
  <si>
    <t>55.295718229999999</t>
  </si>
  <si>
    <t>23.875916960000001</t>
  </si>
  <si>
    <t>Smilga</t>
  </si>
  <si>
    <t>LTR1331_2020</t>
  </si>
  <si>
    <t>LTR1335_2015</t>
  </si>
  <si>
    <t>LTR1335</t>
  </si>
  <si>
    <t>54.772101069999998</t>
  </si>
  <si>
    <t>23.98719096</t>
  </si>
  <si>
    <t>Girmuonys</t>
  </si>
  <si>
    <t>LTR1335_2019</t>
  </si>
  <si>
    <t>LTR1336_2016</t>
  </si>
  <si>
    <t>LTR1336</t>
  </si>
  <si>
    <t>54.90446378</t>
  </si>
  <si>
    <t>24.23383656</t>
  </si>
  <si>
    <t>Praviena</t>
  </si>
  <si>
    <t>LTR1336_2020</t>
  </si>
  <si>
    <t>LTR1339_2014</t>
  </si>
  <si>
    <t>LTR1339</t>
  </si>
  <si>
    <t>55.117939999999997</t>
  </si>
  <si>
    <t>22.41892</t>
  </si>
  <si>
    <t>Viešvilė</t>
  </si>
  <si>
    <t>LTR1339_2022</t>
  </si>
  <si>
    <t>LTR133_2014</t>
  </si>
  <si>
    <t>LTR133</t>
  </si>
  <si>
    <t>55.093274229999999</t>
  </si>
  <si>
    <t>24.529875000000001</t>
  </si>
  <si>
    <t>LTR133_2015</t>
  </si>
  <si>
    <t>LTR133_2016</t>
  </si>
  <si>
    <t>LTR133_2017</t>
  </si>
  <si>
    <t>LTR133_2020</t>
  </si>
  <si>
    <t>LTR1342_2015</t>
  </si>
  <si>
    <t>LTR1342</t>
  </si>
  <si>
    <t>54.721863959743999</t>
  </si>
  <si>
    <t>25.048976297824002</t>
  </si>
  <si>
    <t>Small tributaries of the Neris</t>
  </si>
  <si>
    <t>Neris</t>
  </si>
  <si>
    <t>LTR1343_2014</t>
  </si>
  <si>
    <t>LTR1343</t>
  </si>
  <si>
    <t>54.438499999999998</t>
  </si>
  <si>
    <t>25.1294</t>
  </si>
  <si>
    <t>LTR1343_2020</t>
  </si>
  <si>
    <t>LTR1347_2015</t>
  </si>
  <si>
    <t>LTR1347</t>
  </si>
  <si>
    <t>54.936580509999999</t>
  </si>
  <si>
    <t>24.912794389999998</t>
  </si>
  <si>
    <t>Musė</t>
  </si>
  <si>
    <t>LTR1347_2019</t>
  </si>
  <si>
    <t>LTR1348_2014</t>
  </si>
  <si>
    <t>LTR1348</t>
  </si>
  <si>
    <t>55.129488719999998</t>
  </si>
  <si>
    <t>25.840528110000001</t>
  </si>
  <si>
    <t>Žeimena</t>
  </si>
  <si>
    <t>Lakaja</t>
  </si>
  <si>
    <t>LTR1348_2015</t>
  </si>
  <si>
    <t>LTR1348_2016</t>
  </si>
  <si>
    <t>LTR1348_2017</t>
  </si>
  <si>
    <t>LTR1348_2020</t>
  </si>
  <si>
    <t>LTR1349_2017</t>
  </si>
  <si>
    <t>LTR1349</t>
  </si>
  <si>
    <t>55.01134064</t>
  </si>
  <si>
    <t>25.542234740000001</t>
  </si>
  <si>
    <t>Kirnė</t>
  </si>
  <si>
    <t>LTR1349_2022</t>
  </si>
  <si>
    <t>LTR1352_2020</t>
  </si>
  <si>
    <t>LTR1352</t>
  </si>
  <si>
    <t>55.233327350000003</t>
  </si>
  <si>
    <t>24.726035490000001</t>
  </si>
  <si>
    <t>Storė</t>
  </si>
  <si>
    <t>LTR1353_2020</t>
  </si>
  <si>
    <t>LTR1353</t>
  </si>
  <si>
    <t>54.825472679999997</t>
  </si>
  <si>
    <t>24.941814019999999</t>
  </si>
  <si>
    <t>Dūkšta</t>
  </si>
  <si>
    <t>LTR1356_2014</t>
  </si>
  <si>
    <t>LTR1356</t>
  </si>
  <si>
    <t>55.314039989999998</t>
  </si>
  <si>
    <t>22.4031612</t>
  </si>
  <si>
    <t>LTR1356_2020</t>
  </si>
  <si>
    <t>LTR1368_2014</t>
  </si>
  <si>
    <t>LTR1368</t>
  </si>
  <si>
    <t>55.353425620000003</t>
  </si>
  <si>
    <t>22.203495230000001</t>
  </si>
  <si>
    <t>LTR1368_2018</t>
  </si>
  <si>
    <t>LTR1369_2014</t>
  </si>
  <si>
    <t>LTR1369</t>
  </si>
  <si>
    <t>55.332005240000001</t>
  </si>
  <si>
    <t>21.603537580000001</t>
  </si>
  <si>
    <t>Šyša</t>
  </si>
  <si>
    <t>LTR1369_2020</t>
  </si>
  <si>
    <t>LTR1370_2014</t>
  </si>
  <si>
    <t>LTR1370</t>
  </si>
  <si>
    <t>55.385337970000002</t>
  </si>
  <si>
    <t>22.54629873</t>
  </si>
  <si>
    <t>Ančia</t>
  </si>
  <si>
    <t>LTR1370_2020</t>
  </si>
  <si>
    <t>LTR1374_2014</t>
  </si>
  <si>
    <t>LTR1374</t>
  </si>
  <si>
    <t>55.391529630000001</t>
  </si>
  <si>
    <t>22.41105336</t>
  </si>
  <si>
    <t>Šunija</t>
  </si>
  <si>
    <t>LTR1376_2014</t>
  </si>
  <si>
    <t>LTR1376</t>
  </si>
  <si>
    <t>55.537390629999997</t>
  </si>
  <si>
    <t>21.401379110000001</t>
  </si>
  <si>
    <t>Veiviržas</t>
  </si>
  <si>
    <t>LTR1376_2020</t>
  </si>
  <si>
    <t>LTR1377_2014</t>
  </si>
  <si>
    <t>LTR1377</t>
  </si>
  <si>
    <t>56.166202339999998</t>
  </si>
  <si>
    <t>21.248747399999999</t>
  </si>
  <si>
    <t>Šventoji (coastal)</t>
  </si>
  <si>
    <t>LTR1377_2020</t>
  </si>
  <si>
    <t>LTR1378_2014</t>
  </si>
  <si>
    <t>LTR1378</t>
  </si>
  <si>
    <t>55.672018749999999</t>
  </si>
  <si>
    <t>25.760420490000001</t>
  </si>
  <si>
    <t>Indraja</t>
  </si>
  <si>
    <t>LTR1378_2019</t>
  </si>
  <si>
    <t>LTR1378_2022</t>
  </si>
  <si>
    <t>LTR1379_2015</t>
  </si>
  <si>
    <t>LTR1379</t>
  </si>
  <si>
    <t>55.91262141</t>
  </si>
  <si>
    <t>21.780353040000001</t>
  </si>
  <si>
    <t>Babrungas</t>
  </si>
  <si>
    <t>LTR1379_2019</t>
  </si>
  <si>
    <t>LTR1379_2022</t>
  </si>
  <si>
    <t>LTR137_2014</t>
  </si>
  <si>
    <t>LTR137</t>
  </si>
  <si>
    <t>54.962010849999999</t>
  </si>
  <si>
    <t>22.727603380000001</t>
  </si>
  <si>
    <t>LTR137_2015</t>
  </si>
  <si>
    <t>LTR137_2016</t>
  </si>
  <si>
    <t>LTR137_2017</t>
  </si>
  <si>
    <t>LTR137_2020</t>
  </si>
  <si>
    <t>LTR1380_2014</t>
  </si>
  <si>
    <t>LTR1380</t>
  </si>
  <si>
    <t>55.133600000000001</t>
  </si>
  <si>
    <t>23.7913</t>
  </si>
  <si>
    <t>Striūna</t>
  </si>
  <si>
    <t>LTR1380_2018</t>
  </si>
  <si>
    <t>LTR1380_2021</t>
  </si>
  <si>
    <t>LTR1382_2016</t>
  </si>
  <si>
    <t>LTR1382</t>
  </si>
  <si>
    <t>55.6511</t>
  </si>
  <si>
    <t>25.0991</t>
  </si>
  <si>
    <t>Pelyša</t>
  </si>
  <si>
    <t>LTR1382_2021</t>
  </si>
  <si>
    <t>LTR1385_2016</t>
  </si>
  <si>
    <t>LTR1385</t>
  </si>
  <si>
    <t>54.755461689999997</t>
  </si>
  <si>
    <t>24.957577279999999</t>
  </si>
  <si>
    <t>Bražuolė</t>
  </si>
  <si>
    <t>LTR1385_2019</t>
  </si>
  <si>
    <t>LTR1385_2022</t>
  </si>
  <si>
    <t>LTR1388_2016</t>
  </si>
  <si>
    <t>LTR1388</t>
  </si>
  <si>
    <t>55.147728100000002</t>
  </si>
  <si>
    <t>22.705208899999999</t>
  </si>
  <si>
    <t>Antvardė</t>
  </si>
  <si>
    <t>LTR1388_2019</t>
  </si>
  <si>
    <t>LTR138_2014</t>
  </si>
  <si>
    <t>LTR138</t>
  </si>
  <si>
    <t>56.029298060000002</t>
  </si>
  <si>
    <t>21.069828909999998</t>
  </si>
  <si>
    <t>LTR138_2015</t>
  </si>
  <si>
    <t>LTR1394_2016</t>
  </si>
  <si>
    <t>LTR1394</t>
  </si>
  <si>
    <t>55.100309860000003</t>
  </si>
  <si>
    <t>23.79510844</t>
  </si>
  <si>
    <t>Gynia</t>
  </si>
  <si>
    <t>LTR1394_2020</t>
  </si>
  <si>
    <t>LTR1398_2014</t>
  </si>
  <si>
    <t>LTR1398</t>
  </si>
  <si>
    <t>55.686700000000002</t>
  </si>
  <si>
    <t>21.4054</t>
  </si>
  <si>
    <t>Skinija</t>
  </si>
  <si>
    <t>LTR1398_2018</t>
  </si>
  <si>
    <t>LTR1398_2021</t>
  </si>
  <si>
    <t>LTR1403_2017</t>
  </si>
  <si>
    <t>LTR1403</t>
  </si>
  <si>
    <t>55.904200000000003</t>
  </si>
  <si>
    <t>21.569099999999999</t>
  </si>
  <si>
    <t>Karkluojė</t>
  </si>
  <si>
    <t>LTR1404_2014</t>
  </si>
  <si>
    <t>LTR1404</t>
  </si>
  <si>
    <t>53.955100000000002</t>
  </si>
  <si>
    <t>23.834199999999999</t>
  </si>
  <si>
    <t>BaltojiAnčia</t>
  </si>
  <si>
    <t>LTR1404_2019</t>
  </si>
  <si>
    <t>LTR1413_2014</t>
  </si>
  <si>
    <t>LTR1413</t>
  </si>
  <si>
    <t>55.874002240000003</t>
  </si>
  <si>
    <t>21.746594439999999</t>
  </si>
  <si>
    <t>LTR1418_2015</t>
  </si>
  <si>
    <t>LTR1418</t>
  </si>
  <si>
    <t>55.407299999999999</t>
  </si>
  <si>
    <t>23.257000000000001</t>
  </si>
  <si>
    <t>Luknė</t>
  </si>
  <si>
    <t>LTR1418_2019</t>
  </si>
  <si>
    <t>LTR1420_2017</t>
  </si>
  <si>
    <t>LTR1420</t>
  </si>
  <si>
    <t>55.384964150000002</t>
  </si>
  <si>
    <t>23.30776681</t>
  </si>
  <si>
    <t>Mūkė</t>
  </si>
  <si>
    <t>LTR1420_2022</t>
  </si>
  <si>
    <t>LTR1433_2014</t>
  </si>
  <si>
    <t>LTR1433</t>
  </si>
  <si>
    <t>54.173299999999998</t>
  </si>
  <si>
    <t>25.733799999999999</t>
  </si>
  <si>
    <t>Gauja</t>
  </si>
  <si>
    <t>LTR1433_2021</t>
  </si>
  <si>
    <t>LTR1438_2014</t>
  </si>
  <si>
    <t>LTR1438</t>
  </si>
  <si>
    <t>55.052574700000001</t>
  </si>
  <si>
    <t>25.8741965</t>
  </si>
  <si>
    <t>Saria</t>
  </si>
  <si>
    <t>LTR1438_2015</t>
  </si>
  <si>
    <t>LTR1438_2016</t>
  </si>
  <si>
    <t>LTR1438_2017</t>
  </si>
  <si>
    <t>LTR1438_2020</t>
  </si>
  <si>
    <t>LTR1442_2016</t>
  </si>
  <si>
    <t>LTR1442</t>
  </si>
  <si>
    <t>55.267000000000003</t>
  </si>
  <si>
    <t>24.980799999999999</t>
  </si>
  <si>
    <t>Šešuola</t>
  </si>
  <si>
    <t>LTR1442_2019</t>
  </si>
  <si>
    <t>LTR1447_2015</t>
  </si>
  <si>
    <t>LTR1447</t>
  </si>
  <si>
    <t>54.308265929999997</t>
  </si>
  <si>
    <t>24.661928849999999</t>
  </si>
  <si>
    <t>LTR1447_2019</t>
  </si>
  <si>
    <t>LTR1447_2022</t>
  </si>
  <si>
    <t>LTR1449_2015</t>
  </si>
  <si>
    <t>LTR1449</t>
  </si>
  <si>
    <t>54.341399729999999</t>
  </si>
  <si>
    <t>24.88637937</t>
  </si>
  <si>
    <t>Šalčia</t>
  </si>
  <si>
    <t>LTR1449_2019</t>
  </si>
  <si>
    <t>LTR1449_2022</t>
  </si>
  <si>
    <t>LTR1450_2017</t>
  </si>
  <si>
    <t>LTR1450</t>
  </si>
  <si>
    <t>54.692599999999999</t>
  </si>
  <si>
    <t>23.291699999999999</t>
  </si>
  <si>
    <t>Žvirgždė</t>
  </si>
  <si>
    <t>LTR1450_2021</t>
  </si>
  <si>
    <t>LTR1451_2016</t>
  </si>
  <si>
    <t>LTR1451</t>
  </si>
  <si>
    <t>54.5884</t>
  </si>
  <si>
    <t>23.2165</t>
  </si>
  <si>
    <t>Paikis</t>
  </si>
  <si>
    <t>LTR1451_2021</t>
  </si>
  <si>
    <t>LTR1453_2016</t>
  </si>
  <si>
    <t>LTR1453</t>
  </si>
  <si>
    <t>54.554000000000002</t>
  </si>
  <si>
    <t>25.312899999999999</t>
  </si>
  <si>
    <t>Peteša</t>
  </si>
  <si>
    <t>LTR1453_2021</t>
  </si>
  <si>
    <t>LTR1455_2014</t>
  </si>
  <si>
    <t>LTR1455</t>
  </si>
  <si>
    <t>55.615000000000002</t>
  </si>
  <si>
    <t>23.549299999999999</t>
  </si>
  <si>
    <t>Gomerta</t>
  </si>
  <si>
    <t>LTR1455_2020</t>
  </si>
  <si>
    <t>LTR1457_2021</t>
  </si>
  <si>
    <t>LTR1457</t>
  </si>
  <si>
    <t>55.705399999999997</t>
  </si>
  <si>
    <t>22.133500000000002</t>
  </si>
  <si>
    <t>Laukė</t>
  </si>
  <si>
    <t>LTR1458_2014</t>
  </si>
  <si>
    <t>LTR1458</t>
  </si>
  <si>
    <t>54.424900000000001</t>
  </si>
  <si>
    <t>25.551600000000001</t>
  </si>
  <si>
    <t>LTR1458_2021</t>
  </si>
  <si>
    <t>LTR1459_2016</t>
  </si>
  <si>
    <t>LTR1459</t>
  </si>
  <si>
    <t>54.73674424</t>
  </si>
  <si>
    <t>24.552265779999999</t>
  </si>
  <si>
    <t>Spengla</t>
  </si>
  <si>
    <t>LTR1459_2019</t>
  </si>
  <si>
    <t>LTR1459_2022</t>
  </si>
  <si>
    <t>LTR1461_2016</t>
  </si>
  <si>
    <t>LTR1461</t>
  </si>
  <si>
    <t>55.95984206</t>
  </si>
  <si>
    <t>25.43206404</t>
  </si>
  <si>
    <t>LTR1461_2019</t>
  </si>
  <si>
    <t>LTR1461_2022</t>
  </si>
  <si>
    <t>LTR1462_2014</t>
  </si>
  <si>
    <t>LTR1462</t>
  </si>
  <si>
    <t>55.503132880000003</t>
  </si>
  <si>
    <t>22.019546550000001</t>
  </si>
  <si>
    <t>LTR1462_2015</t>
  </si>
  <si>
    <t>LTR1462_2016</t>
  </si>
  <si>
    <t>LTR1462_2017</t>
  </si>
  <si>
    <t>LTR1462_2020</t>
  </si>
  <si>
    <t>LTR1464_2015</t>
  </si>
  <si>
    <t>LTR1464</t>
  </si>
  <si>
    <t>55.335317477914295</t>
  </si>
  <si>
    <t>26.352780593868101</t>
  </si>
  <si>
    <t>Ringė</t>
  </si>
  <si>
    <t>LTR1466_2016</t>
  </si>
  <si>
    <t>LTR1466</t>
  </si>
  <si>
    <t>56.124192209999997</t>
  </si>
  <si>
    <t>21.263878009999999</t>
  </si>
  <si>
    <t>Įpiltis</t>
  </si>
  <si>
    <t>LTR1466_2019</t>
  </si>
  <si>
    <t>LTR1466_2022</t>
  </si>
  <si>
    <t>LTR1467_2016</t>
  </si>
  <si>
    <t>LTR1467</t>
  </si>
  <si>
    <t>56.244981180000003</t>
  </si>
  <si>
    <t>24.734887100000002</t>
  </si>
  <si>
    <t>Apaščia</t>
  </si>
  <si>
    <t>LTR1467_2019</t>
  </si>
  <si>
    <t>LTR1467_2022</t>
  </si>
  <si>
    <t>LTR1468_2014</t>
  </si>
  <si>
    <t>LTR1468</t>
  </si>
  <si>
    <t>55.006748809999998</t>
  </si>
  <si>
    <t>26.085142959999999</t>
  </si>
  <si>
    <t>Mera-Kūna</t>
  </si>
  <si>
    <t>LTR1468_2020</t>
  </si>
  <si>
    <t>LTR1469_2015</t>
  </si>
  <si>
    <t>LTR1469</t>
  </si>
  <si>
    <t>55.516300000000001</t>
  </si>
  <si>
    <t>24.075700000000001</t>
  </si>
  <si>
    <t>LTR1469_2018</t>
  </si>
  <si>
    <t>LTR1469_2021</t>
  </si>
  <si>
    <t>LTR1472_2014</t>
  </si>
  <si>
    <t>LTR1472</t>
  </si>
  <si>
    <t>55.531615520000003</t>
  </si>
  <si>
    <t>23.124002369999999</t>
  </si>
  <si>
    <t>Lapišė</t>
  </si>
  <si>
    <t>LTR1472_2022</t>
  </si>
  <si>
    <t>LTR1473_2014</t>
  </si>
  <si>
    <t>LTR1473</t>
  </si>
  <si>
    <t>55.334400000000002</t>
  </si>
  <si>
    <t>22.994299999999999</t>
  </si>
  <si>
    <t>Šlyna</t>
  </si>
  <si>
    <t>LTR1473_2018</t>
  </si>
  <si>
    <t>LTR1473_2021</t>
  </si>
  <si>
    <t>LTR1474_2015</t>
  </si>
  <si>
    <t>LTR1474</t>
  </si>
  <si>
    <t>55.2866</t>
  </si>
  <si>
    <t>22.9251</t>
  </si>
  <si>
    <t>Šaltuona</t>
  </si>
  <si>
    <t>LTR1474_2018</t>
  </si>
  <si>
    <t>LTR1474_2021</t>
  </si>
  <si>
    <t>LTR1475_2015</t>
  </si>
  <si>
    <t>LTR1475</t>
  </si>
  <si>
    <t>56.057000000000002</t>
  </si>
  <si>
    <t>23.520800000000001</t>
  </si>
  <si>
    <t>Kulpė</t>
  </si>
  <si>
    <t>LTR1475_2018</t>
  </si>
  <si>
    <t>LTR1475_2021</t>
  </si>
  <si>
    <t>LTR1476_2019</t>
  </si>
  <si>
    <t>LTR1476</t>
  </si>
  <si>
    <t>55.958876619999998</t>
  </si>
  <si>
    <t>23.745199159999999</t>
  </si>
  <si>
    <t>Obelė</t>
  </si>
  <si>
    <t>LTR1477_2018</t>
  </si>
  <si>
    <t>LTR1477</t>
  </si>
  <si>
    <t>55.783099999999997</t>
  </si>
  <si>
    <t>23.8568</t>
  </si>
  <si>
    <t>Daugyvenė</t>
  </si>
  <si>
    <t>LTR1477_2021</t>
  </si>
  <si>
    <t>LTR1479_2014</t>
  </si>
  <si>
    <t>LTR1479</t>
  </si>
  <si>
    <t>55.966525869999998</t>
  </si>
  <si>
    <t>25.399999449999999</t>
  </si>
  <si>
    <t>LTR1479_2017</t>
  </si>
  <si>
    <t>LTR1479_2020</t>
  </si>
  <si>
    <t>LTR1480_2015</t>
  </si>
  <si>
    <t>LTR1480</t>
  </si>
  <si>
    <t>56.072600000000001</t>
  </si>
  <si>
    <t>25.262899999999998</t>
  </si>
  <si>
    <t>LTR1480_2018</t>
  </si>
  <si>
    <t>LTR1480_2021</t>
  </si>
  <si>
    <t>LTR1481_2015</t>
  </si>
  <si>
    <t>LTR1481</t>
  </si>
  <si>
    <t>55.024999999999999</t>
  </si>
  <si>
    <t>24.4481</t>
  </si>
  <si>
    <t>Lomena</t>
  </si>
  <si>
    <t>LTR1481_2018</t>
  </si>
  <si>
    <t>LTR1481_2021</t>
  </si>
  <si>
    <t>LTR1482_2016</t>
  </si>
  <si>
    <t>LTR1482</t>
  </si>
  <si>
    <t>54.282284019999999</t>
  </si>
  <si>
    <t>25.247578730000001</t>
  </si>
  <si>
    <t>LTR1482_2019</t>
  </si>
  <si>
    <t>LTR1482_2022</t>
  </si>
  <si>
    <t>LTR1483_2014</t>
  </si>
  <si>
    <t>LTR1483</t>
  </si>
  <si>
    <t>54.327641749999998</t>
  </si>
  <si>
    <t>25.02385602</t>
  </si>
  <si>
    <t>LTR1484_2014</t>
  </si>
  <si>
    <t>LTR1484</t>
  </si>
  <si>
    <t>54.802261770000001</t>
  </si>
  <si>
    <t>23.896645960000001</t>
  </si>
  <si>
    <t>Jiesia</t>
  </si>
  <si>
    <t>LTR1484_2020</t>
  </si>
  <si>
    <t>LTR1485_2016</t>
  </si>
  <si>
    <t>LTR1485</t>
  </si>
  <si>
    <t>54.9893</t>
  </si>
  <si>
    <t>23.529399999999999</t>
  </si>
  <si>
    <t>Liekė</t>
  </si>
  <si>
    <t>LTR1485_2020</t>
  </si>
  <si>
    <t>LTR1486_2014</t>
  </si>
  <si>
    <t>LTR1486</t>
  </si>
  <si>
    <t>54.745619300000001</t>
  </si>
  <si>
    <t>23.407533699999998</t>
  </si>
  <si>
    <t>Jūrė</t>
  </si>
  <si>
    <t>LTR1486_2018</t>
  </si>
  <si>
    <t>LTR1486_2022</t>
  </si>
  <si>
    <t>LTR1487_2014</t>
  </si>
  <si>
    <t>LTR1487</t>
  </si>
  <si>
    <t>55.377299999999998</t>
  </si>
  <si>
    <t>23.9252</t>
  </si>
  <si>
    <t>Kruostas</t>
  </si>
  <si>
    <t>LTR1487_2018</t>
  </si>
  <si>
    <t>LTR1488_2014</t>
  </si>
  <si>
    <t>LTR1488</t>
  </si>
  <si>
    <t>54.687280209999997</t>
  </si>
  <si>
    <t>25.080435420000001</t>
  </si>
  <si>
    <t>LTR1488_2015</t>
  </si>
  <si>
    <t>LTR1488_2016</t>
  </si>
  <si>
    <t>LTR1488_2019</t>
  </si>
  <si>
    <t>LTR1488_2022</t>
  </si>
  <si>
    <t>LTR1490_2018</t>
  </si>
  <si>
    <t>LTR1490</t>
  </si>
  <si>
    <t>56.037599999999998</t>
  </si>
  <si>
    <t>22.064800000000002</t>
  </si>
  <si>
    <t>Sruoja</t>
  </si>
  <si>
    <t>LTR1490_2021</t>
  </si>
  <si>
    <t>LTR1491_2016</t>
  </si>
  <si>
    <t>LTR1491</t>
  </si>
  <si>
    <t>55.996433930000002</t>
  </si>
  <si>
    <t>22.526346279999999</t>
  </si>
  <si>
    <t>Patekla</t>
  </si>
  <si>
    <t>LTR1491_2019</t>
  </si>
  <si>
    <t>LTR1492_2016</t>
  </si>
  <si>
    <t>LTR1492</t>
  </si>
  <si>
    <t>56.0705004</t>
  </si>
  <si>
    <t>24.086051139999999</t>
  </si>
  <si>
    <t>LTR1492_2019</t>
  </si>
  <si>
    <t>LTR1492_2022</t>
  </si>
  <si>
    <t>LTR1495_2015</t>
  </si>
  <si>
    <t>LTR1495</t>
  </si>
  <si>
    <t>54.691422940000002</t>
  </si>
  <si>
    <t>23.351075000000002</t>
  </si>
  <si>
    <t>LTR1495_2019</t>
  </si>
  <si>
    <t>LTR1495_2022</t>
  </si>
  <si>
    <t>LTR1497_2015</t>
  </si>
  <si>
    <t>LTR1497</t>
  </si>
  <si>
    <t>56.326607920396398</t>
  </si>
  <si>
    <t>23.491780267560898</t>
  </si>
  <si>
    <t>Lanka</t>
  </si>
  <si>
    <t>LTR1498_2020</t>
  </si>
  <si>
    <t>LTR1498</t>
  </si>
  <si>
    <t>56.3538</t>
  </si>
  <si>
    <t>23.421800000000001</t>
  </si>
  <si>
    <t>Vilkija</t>
  </si>
  <si>
    <t>LTR1499_2015</t>
  </si>
  <si>
    <t>LTR1499</t>
  </si>
  <si>
    <t>55.199800000000003</t>
  </si>
  <si>
    <t>23.9071</t>
  </si>
  <si>
    <t>Barupė</t>
  </si>
  <si>
    <t>LTR1499_2018</t>
  </si>
  <si>
    <t>LTR1499_2021</t>
  </si>
  <si>
    <t>LTR1500_2015</t>
  </si>
  <si>
    <t>LTR1500</t>
  </si>
  <si>
    <t>55.283323887925299</t>
  </si>
  <si>
    <t>24.174257044614002</t>
  </si>
  <si>
    <t>Obelis</t>
  </si>
  <si>
    <t>LTR1501_2016</t>
  </si>
  <si>
    <t>LTR1501</t>
  </si>
  <si>
    <t>56.128425649999997</t>
  </si>
  <si>
    <t>24.451966899999999</t>
  </si>
  <si>
    <t>LTR1501_2019</t>
  </si>
  <si>
    <t>LTR1501_2022</t>
  </si>
  <si>
    <t>LTR1502_2015</t>
  </si>
  <si>
    <t>LTR1502</t>
  </si>
  <si>
    <t>55.929042940000002</t>
  </si>
  <si>
    <t>24.291695959999998</t>
  </si>
  <si>
    <t>Lėvuo</t>
  </si>
  <si>
    <t>LTR1502_2019</t>
  </si>
  <si>
    <t>LTR1502_2022</t>
  </si>
  <si>
    <t>LTR1503_2016</t>
  </si>
  <si>
    <t>LTR1503</t>
  </si>
  <si>
    <t>55.290100000000002</t>
  </si>
  <si>
    <t>24.865400000000001</t>
  </si>
  <si>
    <t>Siesartis</t>
  </si>
  <si>
    <t>LTR1503_2019</t>
  </si>
  <si>
    <t>LTR1504_2015</t>
  </si>
  <si>
    <t>LTR1504</t>
  </si>
  <si>
    <t>25.969799999999999</t>
  </si>
  <si>
    <t>LTR1504_2021</t>
  </si>
  <si>
    <t>LTR1508_2014</t>
  </si>
  <si>
    <t>LTR1508</t>
  </si>
  <si>
    <t>55.753880580000001</t>
  </si>
  <si>
    <t>21.694321769999998</t>
  </si>
  <si>
    <t>Žvelsa</t>
  </si>
  <si>
    <t>LTR1509_2015</t>
  </si>
  <si>
    <t>LTR1509</t>
  </si>
  <si>
    <t>54.959699999999998</t>
  </si>
  <si>
    <t>22.837800000000001</t>
  </si>
  <si>
    <t>LTR150_2015</t>
  </si>
  <si>
    <t>LTR150</t>
  </si>
  <si>
    <t>54.65127141</t>
  </si>
  <si>
    <t>23.701440850000001</t>
  </si>
  <si>
    <t>LTR150_2020</t>
  </si>
  <si>
    <t>LTR1510_2014</t>
  </si>
  <si>
    <t>LTR1510</t>
  </si>
  <si>
    <t>55.029000000000003</t>
  </si>
  <si>
    <t>22.9604</t>
  </si>
  <si>
    <t>Jotija</t>
  </si>
  <si>
    <t>LTR1511_2015</t>
  </si>
  <si>
    <t>LTR1511</t>
  </si>
  <si>
    <t>54.752200000000002</t>
  </si>
  <si>
    <t>22.789200000000001</t>
  </si>
  <si>
    <t>LTR1511_2018</t>
  </si>
  <si>
    <t>LTR1511_2021</t>
  </si>
  <si>
    <t>LTR1513_2015</t>
  </si>
  <si>
    <t>LTR1513</t>
  </si>
  <si>
    <t>54.9465</t>
  </si>
  <si>
    <t>25.632300000000001</t>
  </si>
  <si>
    <t>Jusinė</t>
  </si>
  <si>
    <t>LTR1513_2021</t>
  </si>
  <si>
    <t>LTR1514_2014</t>
  </si>
  <si>
    <t>LTR1514</t>
  </si>
  <si>
    <t>55.980283829999998</t>
  </si>
  <si>
    <t>22.95087371</t>
  </si>
  <si>
    <t>LTR1514_2015</t>
  </si>
  <si>
    <t>LTR1514_2016</t>
  </si>
  <si>
    <t>LTR1514_2017</t>
  </si>
  <si>
    <t>LTR1514_2020</t>
  </si>
  <si>
    <t>LTR1516_2014</t>
  </si>
  <si>
    <t>LTR1516</t>
  </si>
  <si>
    <t>55.505600000000001</t>
  </si>
  <si>
    <t>24.782599999999999</t>
  </si>
  <si>
    <t>Pienia</t>
  </si>
  <si>
    <t>LTR1516_2018</t>
  </si>
  <si>
    <t>LTR151_2015</t>
  </si>
  <si>
    <t>LTR151</t>
  </si>
  <si>
    <t>54.091662980000002</t>
  </si>
  <si>
    <t>24.594762070000002</t>
  </si>
  <si>
    <t>LTR151_2019</t>
  </si>
  <si>
    <t>LTR151_2022</t>
  </si>
  <si>
    <t>LTR1521_2014</t>
  </si>
  <si>
    <t>LTR1521</t>
  </si>
  <si>
    <t>55.1905</t>
  </si>
  <si>
    <t>23.9679</t>
  </si>
  <si>
    <t>Mėkla</t>
  </si>
  <si>
    <t>LTR1521_2018</t>
  </si>
  <si>
    <t>LTR1521_2021</t>
  </si>
  <si>
    <t>LTR1526_2016</t>
  </si>
  <si>
    <t>LTR1526</t>
  </si>
  <si>
    <t>55.154400000000003</t>
  </si>
  <si>
    <t>23.7196</t>
  </si>
  <si>
    <t>Žąsinas</t>
  </si>
  <si>
    <t>LTR1526_2019</t>
  </si>
  <si>
    <t>LTR1528_2014</t>
  </si>
  <si>
    <t>LTR1528</t>
  </si>
  <si>
    <t>54.647076130000002</t>
  </si>
  <si>
    <t>23.051561979999999</t>
  </si>
  <si>
    <t>Vilkauja</t>
  </si>
  <si>
    <t>LTR1528_2022</t>
  </si>
  <si>
    <t>LTR1529_2014</t>
  </si>
  <si>
    <t>LTR1529</t>
  </si>
  <si>
    <t>54.890243499999997</t>
  </si>
  <si>
    <t>22.90311737</t>
  </si>
  <si>
    <t>Penta</t>
  </si>
  <si>
    <t>LTR1530_2014</t>
  </si>
  <si>
    <t>LTR1530</t>
  </si>
  <si>
    <t>54.917019150000002</t>
  </si>
  <si>
    <t>22.80047532</t>
  </si>
  <si>
    <t>Aukspirta</t>
  </si>
  <si>
    <t>LTR1532_2014</t>
  </si>
  <si>
    <t>LTR1532</t>
  </si>
  <si>
    <t>55.318199999999997</t>
  </si>
  <si>
    <t>23.464300000000001</t>
  </si>
  <si>
    <t>Kirkšnovė</t>
  </si>
  <si>
    <t>LTR1532_2018</t>
  </si>
  <si>
    <t>LTR1537_2016</t>
  </si>
  <si>
    <t>LTR1537</t>
  </si>
  <si>
    <t>56.256100000000004</t>
  </si>
  <si>
    <t>21.624099999999999</t>
  </si>
  <si>
    <t>Bartuva</t>
  </si>
  <si>
    <t>Šata</t>
  </si>
  <si>
    <t>LTR1537_2019</t>
  </si>
  <si>
    <t>LTR1541_2014</t>
  </si>
  <si>
    <t>LTR1541</t>
  </si>
  <si>
    <t>56.222180880000003</t>
  </si>
  <si>
    <t>22.632023360000002</t>
  </si>
  <si>
    <t>Dabikinė</t>
  </si>
  <si>
    <t>LTR1541_2020</t>
  </si>
  <si>
    <t>LTR1542_2014</t>
  </si>
  <si>
    <t>LTR1542</t>
  </si>
  <si>
    <t>55.735993929999999</t>
  </si>
  <si>
    <t>24.911457049999999</t>
  </si>
  <si>
    <t>Suosa</t>
  </si>
  <si>
    <t>LTR1542_2020</t>
  </si>
  <si>
    <t>LTR1549_2014</t>
  </si>
  <si>
    <t>LTR1549</t>
  </si>
  <si>
    <t>55.765599999999999</t>
  </si>
  <si>
    <t>24.869399999999999</t>
  </si>
  <si>
    <t>LTR1549_2018</t>
  </si>
  <si>
    <t>LTR1549_2021</t>
  </si>
  <si>
    <t>LTR1556_2014</t>
  </si>
  <si>
    <t>LTR1556</t>
  </si>
  <si>
    <t>55.920499999999997</t>
  </si>
  <si>
    <t>25.0716</t>
  </si>
  <si>
    <t>LTR1556_2021</t>
  </si>
  <si>
    <t>LTR1558_2014</t>
  </si>
  <si>
    <t>LTR1558</t>
  </si>
  <si>
    <t>55.835557569999999</t>
  </si>
  <si>
    <t>24.95824683</t>
  </si>
  <si>
    <t>Kupa</t>
  </si>
  <si>
    <t>LTR1558_2017</t>
  </si>
  <si>
    <t>LTR1558_2020</t>
  </si>
  <si>
    <t>LTR1559_2014</t>
  </si>
  <si>
    <t>LTR1559</t>
  </si>
  <si>
    <t>55.832599999999999</t>
  </si>
  <si>
    <t>25.059799999999999</t>
  </si>
  <si>
    <t>LTR1559_2018</t>
  </si>
  <si>
    <t>LTR1559_2021</t>
  </si>
  <si>
    <t>LTR1560_2014</t>
  </si>
  <si>
    <t>LTR1560</t>
  </si>
  <si>
    <t>55.685353310000004</t>
  </si>
  <si>
    <t>24.90424694</t>
  </si>
  <si>
    <t>Viešinta</t>
  </si>
  <si>
    <t>LTR1561_2014</t>
  </si>
  <si>
    <t>LTR1561</t>
  </si>
  <si>
    <t>55.70747781</t>
  </si>
  <si>
    <t>24.751234920000002</t>
  </si>
  <si>
    <t>Vašuoka</t>
  </si>
  <si>
    <t>LTR1561_2020</t>
  </si>
  <si>
    <t>LTR1563_2014</t>
  </si>
  <si>
    <t>LTR1563</t>
  </si>
  <si>
    <t>56.023688569999997</t>
  </si>
  <si>
    <t>24.359263429999999</t>
  </si>
  <si>
    <t>Įstras</t>
  </si>
  <si>
    <t>LTR1563_2017</t>
  </si>
  <si>
    <t>LTR1563_2020</t>
  </si>
  <si>
    <t>LTR1565_2014</t>
  </si>
  <si>
    <t>LTR1565</t>
  </si>
  <si>
    <t>55.952987999999998</t>
  </si>
  <si>
    <t>24.44325654</t>
  </si>
  <si>
    <t>Pyvesa</t>
  </si>
  <si>
    <t>LTR1565_2017</t>
  </si>
  <si>
    <t>LTR1565_2020</t>
  </si>
  <si>
    <t>LTR1566_2014</t>
  </si>
  <si>
    <t>LTR1566</t>
  </si>
  <si>
    <t>56.106522040000002</t>
  </si>
  <si>
    <t>24.452322840000001</t>
  </si>
  <si>
    <t>Jiešmuo</t>
  </si>
  <si>
    <t>LTR1566_2017</t>
  </si>
  <si>
    <t>LTR1566_2020</t>
  </si>
  <si>
    <t>LTR1567_2014</t>
  </si>
  <si>
    <t>LTR1567</t>
  </si>
  <si>
    <t>56.163828879999997</t>
  </si>
  <si>
    <t>24.578270960000001</t>
  </si>
  <si>
    <t>Upytė</t>
  </si>
  <si>
    <t>LTR1567_2017</t>
  </si>
  <si>
    <t>LTR1567_2020</t>
  </si>
  <si>
    <t>LTR1574_2014</t>
  </si>
  <si>
    <t>LTR1574</t>
  </si>
  <si>
    <t>55.335327380000003</t>
  </si>
  <si>
    <t>25.376469830000001</t>
  </si>
  <si>
    <t>LTR1574_2017</t>
  </si>
  <si>
    <t>LTR1574_2020</t>
  </si>
  <si>
    <t>LTR1576_2015</t>
  </si>
  <si>
    <t>LTR1576</t>
  </si>
  <si>
    <t>55.18328485</t>
  </si>
  <si>
    <t>22.650325479999999</t>
  </si>
  <si>
    <t>LTR1577_2015</t>
  </si>
  <si>
    <t>LTR1577</t>
  </si>
  <si>
    <t>54.4328</t>
  </si>
  <si>
    <t>23.358499999999999</t>
  </si>
  <si>
    <t>LTR1577_2018</t>
  </si>
  <si>
    <t>LTR1577_2021</t>
  </si>
  <si>
    <t>LTR1578_2022</t>
  </si>
  <si>
    <t>LTR1578</t>
  </si>
  <si>
    <t>56.287036270000002</t>
  </si>
  <si>
    <t>22.302630669999999</t>
  </si>
  <si>
    <t>Viešetė</t>
  </si>
  <si>
    <t>LTR1580_2014</t>
  </si>
  <si>
    <t>LTR1580</t>
  </si>
  <si>
    <t>56.189718310000003</t>
  </si>
  <si>
    <t>24.592980310000002</t>
  </si>
  <si>
    <t>Tatula</t>
  </si>
  <si>
    <t>LTR1580_2017</t>
  </si>
  <si>
    <t>LTR1580_2020</t>
  </si>
  <si>
    <t>LTR1581_2014</t>
  </si>
  <si>
    <t>LTR1581</t>
  </si>
  <si>
    <t>56.124921759999999</t>
  </si>
  <si>
    <t>24.4724863</t>
  </si>
  <si>
    <t>LTR1581_2017</t>
  </si>
  <si>
    <t>LTR1581_2020</t>
  </si>
  <si>
    <t>LTR1582_2014</t>
  </si>
  <si>
    <t>LTR1582</t>
  </si>
  <si>
    <t>55.634175669999998</t>
  </si>
  <si>
    <t>26.46953061</t>
  </si>
  <si>
    <t>Smalva</t>
  </si>
  <si>
    <t>LTR1582_2020</t>
  </si>
  <si>
    <t>LTR1584_2017</t>
  </si>
  <si>
    <t>LTR1584</t>
  </si>
  <si>
    <t>56.120399999999997</t>
  </si>
  <si>
    <t>24.489599999999999</t>
  </si>
  <si>
    <t>Ūgė</t>
  </si>
  <si>
    <t>LTR1584_2021</t>
  </si>
  <si>
    <t>LTR1585_2017</t>
  </si>
  <si>
    <t>LTR1585</t>
  </si>
  <si>
    <t>56.079349989999997</t>
  </si>
  <si>
    <t>21.21065518</t>
  </si>
  <si>
    <t>Kulšė</t>
  </si>
  <si>
    <t>LTR1585_2022</t>
  </si>
  <si>
    <t>LTR1586_2017</t>
  </si>
  <si>
    <t>LTR1586</t>
  </si>
  <si>
    <t>55.760387190000003</t>
  </si>
  <si>
    <t>22.616932720000001</t>
  </si>
  <si>
    <t>LTR1586_2022</t>
  </si>
  <si>
    <t>LTR1587_2017</t>
  </si>
  <si>
    <t>LTR1587</t>
  </si>
  <si>
    <t>56.2219488</t>
  </si>
  <si>
    <t>22.75645845</t>
  </si>
  <si>
    <t>Pragalvys</t>
  </si>
  <si>
    <t>LTR1587_2022</t>
  </si>
  <si>
    <t>LTR1588_2018</t>
  </si>
  <si>
    <t>LTR1588</t>
  </si>
  <si>
    <t>55.956699999999998</t>
  </si>
  <si>
    <t>22.266999999999999</t>
  </si>
  <si>
    <t>M-2</t>
  </si>
  <si>
    <t>LTR1589_2017</t>
  </si>
  <si>
    <t>LTR1589</t>
  </si>
  <si>
    <t>56.156133330000003</t>
  </si>
  <si>
    <t>22.37148912</t>
  </si>
  <si>
    <t>Pievys</t>
  </si>
  <si>
    <t>LTR1589_2022</t>
  </si>
  <si>
    <t>LTR1590_2017</t>
  </si>
  <si>
    <t>LTR1590</t>
  </si>
  <si>
    <t>56.0929</t>
  </si>
  <si>
    <t>22.206</t>
  </si>
  <si>
    <t>Markija</t>
  </si>
  <si>
    <t>LTR1591_2020</t>
  </si>
  <si>
    <t>LTR1591</t>
  </si>
  <si>
    <t>56.187947080000001</t>
  </si>
  <si>
    <t>22.06121649</t>
  </si>
  <si>
    <t>Varduva</t>
  </si>
  <si>
    <t>LTR1594_2017</t>
  </si>
  <si>
    <t>LTR1594</t>
  </si>
  <si>
    <t>56.203899999999997</t>
  </si>
  <si>
    <t>23.135899999999999</t>
  </si>
  <si>
    <t>Žarė</t>
  </si>
  <si>
    <t>LTR1594_2021</t>
  </si>
  <si>
    <t>LTR1596_2020</t>
  </si>
  <si>
    <t>LTR1596</t>
  </si>
  <si>
    <t>56.1629</t>
  </si>
  <si>
    <t>23.351900000000001</t>
  </si>
  <si>
    <t>Kūra</t>
  </si>
  <si>
    <t>LTR1597_2020</t>
  </si>
  <si>
    <t>LTR1597</t>
  </si>
  <si>
    <t>56.105200000000004</t>
  </si>
  <si>
    <t>23.503</t>
  </si>
  <si>
    <t>Tautinys</t>
  </si>
  <si>
    <t>LTR1600_2017</t>
  </si>
  <si>
    <t>LTR1600</t>
  </si>
  <si>
    <t>55.991231030000002</t>
  </si>
  <si>
    <t>23.664489960000001</t>
  </si>
  <si>
    <t>Kruoja</t>
  </si>
  <si>
    <t>LTR1600_2020</t>
  </si>
  <si>
    <t>LTR1601_2017</t>
  </si>
  <si>
    <t>LTR1601</t>
  </si>
  <si>
    <t>55.842799999999997</t>
  </si>
  <si>
    <t>23.886399999999998</t>
  </si>
  <si>
    <t>Šaka</t>
  </si>
  <si>
    <t>LTR1601_2021</t>
  </si>
  <si>
    <t>LTR1602_2017</t>
  </si>
  <si>
    <t>LTR1602</t>
  </si>
  <si>
    <t>56.058700000000002</t>
  </si>
  <si>
    <t>24.317799999999998</t>
  </si>
  <si>
    <t>Ramojus</t>
  </si>
  <si>
    <t>LTR1602_2021</t>
  </si>
  <si>
    <t>LTR1603_2017</t>
  </si>
  <si>
    <t>LTR1603</t>
  </si>
  <si>
    <t>56.0505</t>
  </si>
  <si>
    <t>25.627300000000002</t>
  </si>
  <si>
    <t>Šaltoja</t>
  </si>
  <si>
    <t>LTR1603_2020</t>
  </si>
  <si>
    <t>LTR1605_2017</t>
  </si>
  <si>
    <t>LTR1605</t>
  </si>
  <si>
    <t>56.262416989999998</t>
  </si>
  <si>
    <t>24.76093577</t>
  </si>
  <si>
    <t>Rovėja</t>
  </si>
  <si>
    <t>LTR1605_2020</t>
  </si>
  <si>
    <t>LTR1606_2017</t>
  </si>
  <si>
    <t>LTR1606</t>
  </si>
  <si>
    <t>56.326740469999997</t>
  </si>
  <si>
    <t>24.772550110000001</t>
  </si>
  <si>
    <t>AukštojiGervė</t>
  </si>
  <si>
    <t>LTR1606_2020</t>
  </si>
  <si>
    <t>LTR1607_2018</t>
  </si>
  <si>
    <t>LTR1607</t>
  </si>
  <si>
    <t>56.28</t>
  </si>
  <si>
    <t>24.888200000000001</t>
  </si>
  <si>
    <t>Gervė</t>
  </si>
  <si>
    <t>LTR1608_2018</t>
  </si>
  <si>
    <t>LTR1608</t>
  </si>
  <si>
    <t>54.207799999999999</t>
  </si>
  <si>
    <t>25.618400000000001</t>
  </si>
  <si>
    <t>LTR1609_2017</t>
  </si>
  <si>
    <t>LTR1609</t>
  </si>
  <si>
    <t>53.959288800000003</t>
  </si>
  <si>
    <t>23.515743499999999</t>
  </si>
  <si>
    <t>Mara</t>
  </si>
  <si>
    <t>LTR1609_2021</t>
  </si>
  <si>
    <t>LTR1610_2022</t>
  </si>
  <si>
    <t>LTR1610</t>
  </si>
  <si>
    <t>54.001921940000003</t>
  </si>
  <si>
    <t>23.662271390000001</t>
  </si>
  <si>
    <t>LTR1611_2021</t>
  </si>
  <si>
    <t>LTR1611</t>
  </si>
  <si>
    <t>53.989199999999997</t>
  </si>
  <si>
    <t>24.033000000000001</t>
  </si>
  <si>
    <t>Ratnyčia</t>
  </si>
  <si>
    <t>LTR1612_2020</t>
  </si>
  <si>
    <t>LTR1612</t>
  </si>
  <si>
    <t>54.313306400000002</t>
  </si>
  <si>
    <t>24.01978957</t>
  </si>
  <si>
    <t>Zembrė</t>
  </si>
  <si>
    <t>LTR1613_2017</t>
  </si>
  <si>
    <t>LTR1613</t>
  </si>
  <si>
    <t>54.508798259999999</t>
  </si>
  <si>
    <t>24.097080779999999</t>
  </si>
  <si>
    <t>Punelė</t>
  </si>
  <si>
    <t>LTR1613_2020</t>
  </si>
  <si>
    <t>LTR1615_2020</t>
  </si>
  <si>
    <t>LTR1615</t>
  </si>
  <si>
    <t>54.482799999999997</t>
  </si>
  <si>
    <t>23.833200000000001</t>
  </si>
  <si>
    <t>Peršėkė</t>
  </si>
  <si>
    <t>LTR1616_2017</t>
  </si>
  <si>
    <t>LTR1616</t>
  </si>
  <si>
    <t>54.484265180000001</t>
  </si>
  <si>
    <t>23.81666255</t>
  </si>
  <si>
    <t>RudėI</t>
  </si>
  <si>
    <t>LTR1616_2020</t>
  </si>
  <si>
    <t>LTR1618_2017</t>
  </si>
  <si>
    <t>LTR1618</t>
  </si>
  <si>
    <t>54.692500000000003</t>
  </si>
  <si>
    <t>24.639099999999999</t>
  </si>
  <si>
    <t>Vuolasta</t>
  </si>
  <si>
    <t>LTR1619_2017</t>
  </si>
  <si>
    <t>LTR1619</t>
  </si>
  <si>
    <t>54.782608379999999</t>
  </si>
  <si>
    <t>24.61391382</t>
  </si>
  <si>
    <t>Prakusa</t>
  </si>
  <si>
    <t>LTR1619_2022</t>
  </si>
  <si>
    <t>LTR161_2014</t>
  </si>
  <si>
    <t>LTR161</t>
  </si>
  <si>
    <t>54.369952670000004</t>
  </si>
  <si>
    <t>24.874797780000002</t>
  </si>
  <si>
    <t>LTR161_2015</t>
  </si>
  <si>
    <t>LTR161_2016</t>
  </si>
  <si>
    <t>LTR161_2017</t>
  </si>
  <si>
    <t>LTR161_2020</t>
  </si>
  <si>
    <t>LTR1620_2017</t>
  </si>
  <si>
    <t>LTR1620</t>
  </si>
  <si>
    <t>54.799244000000002</t>
  </si>
  <si>
    <t>24.44308985</t>
  </si>
  <si>
    <t>Kertus</t>
  </si>
  <si>
    <t>LTR1620_2022</t>
  </si>
  <si>
    <t>LTR1621_2017</t>
  </si>
  <si>
    <t>LTR1621</t>
  </si>
  <si>
    <t>54.84941903</t>
  </si>
  <si>
    <t>23.935413260000001</t>
  </si>
  <si>
    <t>LTR1621_2020</t>
  </si>
  <si>
    <t>LTR1622_2017</t>
  </si>
  <si>
    <t>LTR1622</t>
  </si>
  <si>
    <t>54.806021559999998</t>
  </si>
  <si>
    <t>23.940733609999999</t>
  </si>
  <si>
    <t>Vyčius</t>
  </si>
  <si>
    <t>LTR1622_2022</t>
  </si>
  <si>
    <t>LTR1623_2017</t>
  </si>
  <si>
    <t>LTR1623</t>
  </si>
  <si>
    <t>54.925950960000002</t>
  </si>
  <si>
    <t>23.69812404</t>
  </si>
  <si>
    <t>Dievogala</t>
  </si>
  <si>
    <t>LTR1623_2020</t>
  </si>
  <si>
    <t>LTR1624_2016</t>
  </si>
  <si>
    <t>LTR1624</t>
  </si>
  <si>
    <t>55.0548</t>
  </si>
  <si>
    <t>23.314599999999999</t>
  </si>
  <si>
    <t>Nyka</t>
  </si>
  <si>
    <t>LTR1624_2017</t>
  </si>
  <si>
    <t>LTR1624_2021</t>
  </si>
  <si>
    <t>LTR1625_2017</t>
  </si>
  <si>
    <t>LTR1625</t>
  </si>
  <si>
    <t>55.190300000000001</t>
  </si>
  <si>
    <t>23.284099999999999</t>
  </si>
  <si>
    <t>LTR1625_2021</t>
  </si>
  <si>
    <t>LTR1626_2017</t>
  </si>
  <si>
    <t>LTR1626</t>
  </si>
  <si>
    <t>55.179128400000003</t>
  </si>
  <si>
    <t>23.2500702</t>
  </si>
  <si>
    <t>LTR1626_2020</t>
  </si>
  <si>
    <t>LTR1628_2017</t>
  </si>
  <si>
    <t>LTR1628</t>
  </si>
  <si>
    <t>55.091457009999999</t>
  </si>
  <si>
    <t>22.773785149999998</t>
  </si>
  <si>
    <t>Imsrė</t>
  </si>
  <si>
    <t>LTR1628_2020</t>
  </si>
  <si>
    <t>LTR1629_2017</t>
  </si>
  <si>
    <t>LTR1629</t>
  </si>
  <si>
    <t>55.082441500000002</t>
  </si>
  <si>
    <t>22.60207754</t>
  </si>
  <si>
    <t>LTR1629_2022</t>
  </si>
  <si>
    <t>LTR162_2014</t>
  </si>
  <si>
    <t>LTR162</t>
  </si>
  <si>
    <t>54.349002249999998</t>
  </si>
  <si>
    <t>24.78697232</t>
  </si>
  <si>
    <t>LTR162_2019</t>
  </si>
  <si>
    <t>LTR162_2022</t>
  </si>
  <si>
    <t>LTR1630_2017</t>
  </si>
  <si>
    <t>LTR1630</t>
  </si>
  <si>
    <t>55.283781150000003</t>
  </si>
  <si>
    <t>21.41677258</t>
  </si>
  <si>
    <t>Voryčia</t>
  </si>
  <si>
    <t>LTR1630_2022</t>
  </si>
  <si>
    <t>LTR1631_2016</t>
  </si>
  <si>
    <t>LTR1631</t>
  </si>
  <si>
    <t>55.355554830000003</t>
  </si>
  <si>
    <t>21.631210410000001</t>
  </si>
  <si>
    <t>Šustis</t>
  </si>
  <si>
    <t>LTR1631_2017</t>
  </si>
  <si>
    <t>LTR1631_2022</t>
  </si>
  <si>
    <t>LTR1633_2018</t>
  </si>
  <si>
    <t>LTR1633</t>
  </si>
  <si>
    <t>54.448799999999999</t>
  </si>
  <si>
    <t>25.0244</t>
  </si>
  <si>
    <t>LTR1634_2018</t>
  </si>
  <si>
    <t>LTR1634</t>
  </si>
  <si>
    <t>54.4544</t>
  </si>
  <si>
    <t>24.9254</t>
  </si>
  <si>
    <t>Cirvija</t>
  </si>
  <si>
    <t>LTR1635_2018</t>
  </si>
  <si>
    <t>LTR1635</t>
  </si>
  <si>
    <t>54.401699999999998</t>
  </si>
  <si>
    <t>24.876999999999999</t>
  </si>
  <si>
    <t>Graužupis</t>
  </si>
  <si>
    <t>LTR1636_2018</t>
  </si>
  <si>
    <t>LTR1636</t>
  </si>
  <si>
    <t>54.366100000000003</t>
  </si>
  <si>
    <t>25.427099999999999</t>
  </si>
  <si>
    <t>Visinčia</t>
  </si>
  <si>
    <t>LTR1637_2017</t>
  </si>
  <si>
    <t>LTR1637</t>
  </si>
  <si>
    <t>54.379160890000001</t>
  </si>
  <si>
    <t>25.438097800000001</t>
  </si>
  <si>
    <t>Kamena</t>
  </si>
  <si>
    <t>LTR1637_2022</t>
  </si>
  <si>
    <t>LTR1639_2018</t>
  </si>
  <si>
    <t>LTR1639</t>
  </si>
  <si>
    <t>54.2517</t>
  </si>
  <si>
    <t>24.3079</t>
  </si>
  <si>
    <t>Vinkšninė</t>
  </si>
  <si>
    <t>LTR163_2016</t>
  </si>
  <si>
    <t>LTR163</t>
  </si>
  <si>
    <t>54.353197020000003</t>
  </si>
  <si>
    <t>24.83006962</t>
  </si>
  <si>
    <t>Geluža</t>
  </si>
  <si>
    <t>LTR163_2019</t>
  </si>
  <si>
    <t>LTR163_2022</t>
  </si>
  <si>
    <t>LTR1640_2018</t>
  </si>
  <si>
    <t>LTR1640</t>
  </si>
  <si>
    <t>54.901299999999999</t>
  </si>
  <si>
    <t>25.4863</t>
  </si>
  <si>
    <t>Nemenčia</t>
  </si>
  <si>
    <t>LTR1641_2017</t>
  </si>
  <si>
    <t>LTR1641</t>
  </si>
  <si>
    <t>54.867307269999998</t>
  </si>
  <si>
    <t>25.340910430000001</t>
  </si>
  <si>
    <t>Girija</t>
  </si>
  <si>
    <t>LTR1641_2022</t>
  </si>
  <si>
    <t>LTR1642_2017</t>
  </si>
  <si>
    <t>LTR1642</t>
  </si>
  <si>
    <t>54.744439999999997</t>
  </si>
  <si>
    <t>25.566140000000001</t>
  </si>
  <si>
    <t>Taurija</t>
  </si>
  <si>
    <t>LTR1642_2022</t>
  </si>
  <si>
    <t>LTR1643_2018</t>
  </si>
  <si>
    <t>LTR1643</t>
  </si>
  <si>
    <t>54.590499999999999</t>
  </si>
  <si>
    <t>25.337499999999999</t>
  </si>
  <si>
    <t>Rudamina</t>
  </si>
  <si>
    <t>LTR1644_2020</t>
  </si>
  <si>
    <t>LTR1644</t>
  </si>
  <si>
    <t>54.5639574</t>
  </si>
  <si>
    <t>25.27998286</t>
  </si>
  <si>
    <t>LTR1645_2017</t>
  </si>
  <si>
    <t>LTR1645</t>
  </si>
  <si>
    <t>54.591500000000003</t>
  </si>
  <si>
    <t>25.312200000000001</t>
  </si>
  <si>
    <t>Nemėža</t>
  </si>
  <si>
    <t>LTR1645_2021</t>
  </si>
  <si>
    <t>LTR1647_2018</t>
  </si>
  <si>
    <t>LTR1647</t>
  </si>
  <si>
    <t>54.720199999999998</t>
  </si>
  <si>
    <t>25.043099999999999</t>
  </si>
  <si>
    <t>Moluvėnė</t>
  </si>
  <si>
    <t>LTR1647_2021</t>
  </si>
  <si>
    <t>LTR1648_2017</t>
  </si>
  <si>
    <t>LTR1648</t>
  </si>
  <si>
    <t>54.801200000000001</t>
  </si>
  <si>
    <t>24.88</t>
  </si>
  <si>
    <t>Aliosa</t>
  </si>
  <si>
    <t>LTR1648_2021</t>
  </si>
  <si>
    <t>LTR1649_2017</t>
  </si>
  <si>
    <t>LTR1649</t>
  </si>
  <si>
    <t>54.957602180000002</t>
  </si>
  <si>
    <t>24.242883030000002</t>
  </si>
  <si>
    <t>Šešuva</t>
  </si>
  <si>
    <t>LTR1649_2022</t>
  </si>
  <si>
    <t>LTR1651_2017</t>
  </si>
  <si>
    <t>LTR1651</t>
  </si>
  <si>
    <t>55.23397567</t>
  </si>
  <si>
    <t>26.179288110000002</t>
  </si>
  <si>
    <t>Šventė</t>
  </si>
  <si>
    <t>LTR1653_2018</t>
  </si>
  <si>
    <t>LTR1653</t>
  </si>
  <si>
    <t>54.947200000000002</t>
  </si>
  <si>
    <t>25.742100000000001</t>
  </si>
  <si>
    <t>Skerdyksna</t>
  </si>
  <si>
    <t>LTR1654_2017</t>
  </si>
  <si>
    <t>LTR1654</t>
  </si>
  <si>
    <t>55.392009700000003</t>
  </si>
  <si>
    <t>25.610455290000001</t>
  </si>
  <si>
    <t>Talė</t>
  </si>
  <si>
    <t>LTR1654_2022</t>
  </si>
  <si>
    <t>LTR1655_2017</t>
  </si>
  <si>
    <t>LTR1655</t>
  </si>
  <si>
    <t>55.466515020000003</t>
  </si>
  <si>
    <t>25.553713689999999</t>
  </si>
  <si>
    <t>Utenaitė</t>
  </si>
  <si>
    <t>LTR1655_2022</t>
  </si>
  <si>
    <t>LTR1656_2018</t>
  </si>
  <si>
    <t>LTR1656</t>
  </si>
  <si>
    <t>55.692100000000003</t>
  </si>
  <si>
    <t>25.098299999999998</t>
  </si>
  <si>
    <t>LTR1657_2017</t>
  </si>
  <si>
    <t>LTR1657</t>
  </si>
  <si>
    <t>55.586340579999998</t>
  </si>
  <si>
    <t>25.12115112</t>
  </si>
  <si>
    <t>Varius</t>
  </si>
  <si>
    <t>LTR1657_2022</t>
  </si>
  <si>
    <t>LTR1658_2017</t>
  </si>
  <si>
    <t>LTR1658</t>
  </si>
  <si>
    <t>55.425913479999998</t>
  </si>
  <si>
    <t>24.970555749999999</t>
  </si>
  <si>
    <t>Judinys</t>
  </si>
  <si>
    <t>LTR1659_2017</t>
  </si>
  <si>
    <t>LTR1659</t>
  </si>
  <si>
    <t>55.36383919</t>
  </si>
  <si>
    <t>24.798417300000001</t>
  </si>
  <si>
    <t>Armukšna</t>
  </si>
  <si>
    <t>LTR1659_2022</t>
  </si>
  <si>
    <t>LTR1660_2017</t>
  </si>
  <si>
    <t>LTR1660</t>
  </si>
  <si>
    <t>55.066082090000002</t>
  </si>
  <si>
    <t>25.22798319</t>
  </si>
  <si>
    <t>Zdoniškiųup.</t>
  </si>
  <si>
    <t>LTR1660_2022</t>
  </si>
  <si>
    <t>LTR1661_2017</t>
  </si>
  <si>
    <t>LTR1661</t>
  </si>
  <si>
    <t>55.036247969999998</t>
  </si>
  <si>
    <t>24.703829800000001</t>
  </si>
  <si>
    <t>Kabarkšta</t>
  </si>
  <si>
    <t>LTR1661_2022</t>
  </si>
  <si>
    <t>LTR1663_2017</t>
  </si>
  <si>
    <t>LTR1663</t>
  </si>
  <si>
    <t>55.672400000000003</t>
  </si>
  <si>
    <t>23.935199999999998</t>
  </si>
  <si>
    <t>Palonas</t>
  </si>
  <si>
    <t>LTR1663_2021</t>
  </si>
  <si>
    <t>LTR1665_2017</t>
  </si>
  <si>
    <t>LTR1665</t>
  </si>
  <si>
    <t>55.626899999999999</t>
  </si>
  <si>
    <t>24.204899999999999</t>
  </si>
  <si>
    <t>Vešeta</t>
  </si>
  <si>
    <t>LTR1665_2021</t>
  </si>
  <si>
    <t>LTR1666_2016</t>
  </si>
  <si>
    <t>LTR1666</t>
  </si>
  <si>
    <t>55.5154</t>
  </si>
  <si>
    <t>24.071400000000001</t>
  </si>
  <si>
    <t>Lokauša</t>
  </si>
  <si>
    <t>LTR1666_2017</t>
  </si>
  <si>
    <t>LTR1666_2021</t>
  </si>
  <si>
    <t>LTR1667_2017</t>
  </si>
  <si>
    <t>LTR1667</t>
  </si>
  <si>
    <t>55.33151393</t>
  </si>
  <si>
    <t>24.021165369999999</t>
  </si>
  <si>
    <t>Alkupis</t>
  </si>
  <si>
    <t>LTR1667_2022</t>
  </si>
  <si>
    <t>LTR1668_2017</t>
  </si>
  <si>
    <t>LTR1668</t>
  </si>
  <si>
    <t>55.336199999999998</t>
  </si>
  <si>
    <t>24.3826</t>
  </si>
  <si>
    <t>Rudekšna</t>
  </si>
  <si>
    <t>LTR1668_2021</t>
  </si>
  <si>
    <t>LTR1669_2017</t>
  </si>
  <si>
    <t>LTR1669</t>
  </si>
  <si>
    <t>55.252699999999997</t>
  </si>
  <si>
    <t>23.787600000000001</t>
  </si>
  <si>
    <t>Liedas</t>
  </si>
  <si>
    <t>LTR1669_2021</t>
  </si>
  <si>
    <t>LTR1670_2017</t>
  </si>
  <si>
    <t>LTR1670</t>
  </si>
  <si>
    <t>55.04546904</t>
  </si>
  <si>
    <t>23.787806700000001</t>
  </si>
  <si>
    <t>Vejuona</t>
  </si>
  <si>
    <t>LTR1670_2020</t>
  </si>
  <si>
    <t>LTR1671_2017</t>
  </si>
  <si>
    <t>LTR1671</t>
  </si>
  <si>
    <t>55.831638470000001</t>
  </si>
  <si>
    <t>23.056147679999999</t>
  </si>
  <si>
    <t>Kurtuva</t>
  </si>
  <si>
    <t>LTR1671_2022</t>
  </si>
  <si>
    <t>LTR1672_2019</t>
  </si>
  <si>
    <t>LTR1672</t>
  </si>
  <si>
    <t>55.716000000000001</t>
  </si>
  <si>
    <t>23.2517</t>
  </si>
  <si>
    <t>Krioklys</t>
  </si>
  <si>
    <t>LTR1674_2017</t>
  </si>
  <si>
    <t>LTR1674</t>
  </si>
  <si>
    <t>54.361286479999997</t>
  </si>
  <si>
    <t>23.25066133</t>
  </si>
  <si>
    <t>Vaiponė</t>
  </si>
  <si>
    <t>LTR1674_2022</t>
  </si>
  <si>
    <t>LTR1675_2020</t>
  </si>
  <si>
    <t>LTR1675</t>
  </si>
  <si>
    <t>54.494064649999999</t>
  </si>
  <si>
    <t>23.446448950000001</t>
  </si>
  <si>
    <t>Dovinė</t>
  </si>
  <si>
    <t>LTR1677_2020</t>
  </si>
  <si>
    <t>LTR1677</t>
  </si>
  <si>
    <t>54.819699999999997</t>
  </si>
  <si>
    <t>23.4435</t>
  </si>
  <si>
    <t>Višakis</t>
  </si>
  <si>
    <t>LTR1680_2017</t>
  </si>
  <si>
    <t>LTR1680</t>
  </si>
  <si>
    <t>54.54855989</t>
  </si>
  <si>
    <t>22.851927929999999</t>
  </si>
  <si>
    <t>Jevonis</t>
  </si>
  <si>
    <t>LTR1680_2022</t>
  </si>
  <si>
    <t>LTR1681_2016</t>
  </si>
  <si>
    <t>LTR1681</t>
  </si>
  <si>
    <t>54.918500000000002</t>
  </si>
  <si>
    <t>22.805399999999999</t>
  </si>
  <si>
    <t>LTR1681_2017</t>
  </si>
  <si>
    <t>LTR1681_2021</t>
  </si>
  <si>
    <t>LTR1683_2017</t>
  </si>
  <si>
    <t>LTR1683</t>
  </si>
  <si>
    <t>55.03154971</t>
  </si>
  <si>
    <t>22.79630044</t>
  </si>
  <si>
    <t>Kregždantė</t>
  </si>
  <si>
    <t>LTR1683_2022</t>
  </si>
  <si>
    <t>LTR1684_2017</t>
  </si>
  <si>
    <t>LTR1684</t>
  </si>
  <si>
    <t>55.69622639</t>
  </si>
  <si>
    <t>21.959906849999999</t>
  </si>
  <si>
    <t>Kirkšnis</t>
  </si>
  <si>
    <t>LTR1684_2022</t>
  </si>
  <si>
    <t>LTR1685_2017</t>
  </si>
  <si>
    <t>LTR1685</t>
  </si>
  <si>
    <t>55.343800000000002</t>
  </si>
  <si>
    <t>22.8643</t>
  </si>
  <si>
    <t>Alsa</t>
  </si>
  <si>
    <t>LTR1686_2017</t>
  </si>
  <si>
    <t>LTR1686</t>
  </si>
  <si>
    <t>55.827399999999997</t>
  </si>
  <si>
    <t>21.8703</t>
  </si>
  <si>
    <t>Lukna</t>
  </si>
  <si>
    <t>LTR1687_2016</t>
  </si>
  <si>
    <t>LTR1687</t>
  </si>
  <si>
    <t>55.579729479999997</t>
  </si>
  <si>
    <t>21.565642820000001</t>
  </si>
  <si>
    <t>Šalpė</t>
  </si>
  <si>
    <t>LTR1687_2017</t>
  </si>
  <si>
    <t>LTR1687_2022</t>
  </si>
  <si>
    <t>LTR1688_2017</t>
  </si>
  <si>
    <t>LTR1688</t>
  </si>
  <si>
    <t>55.443292710000001</t>
  </si>
  <si>
    <t>21.42215491</t>
  </si>
  <si>
    <t>Zuniškė</t>
  </si>
  <si>
    <t>LTR1688_2022</t>
  </si>
  <si>
    <t>LTR1690_2017</t>
  </si>
  <si>
    <t>LTR1690</t>
  </si>
  <si>
    <t>55.916410759999998</t>
  </si>
  <si>
    <t>21.275559399999999</t>
  </si>
  <si>
    <t>Burkštinas</t>
  </si>
  <si>
    <t>LTR1690_2020</t>
  </si>
  <si>
    <t>LTR1691_2016</t>
  </si>
  <si>
    <t>LTR1691</t>
  </si>
  <si>
    <t>55.354439399999997</t>
  </si>
  <si>
    <t>26.412265869999999</t>
  </si>
  <si>
    <t>LTR1691_2020</t>
  </si>
  <si>
    <t>LTR1692_2017</t>
  </si>
  <si>
    <t>LTR1692</t>
  </si>
  <si>
    <t>54.924500000000002</t>
  </si>
  <si>
    <t>24.7608</t>
  </si>
  <si>
    <t>LTR1692_2020</t>
  </si>
  <si>
    <t>LTR16_2015</t>
  </si>
  <si>
    <t>LTR16</t>
  </si>
  <si>
    <t>55.703460319999998</t>
  </si>
  <si>
    <t>21.401419350000001</t>
  </si>
  <si>
    <t>LTR16_2019</t>
  </si>
  <si>
    <t>LTR172_2017</t>
  </si>
  <si>
    <t>LTR172</t>
  </si>
  <si>
    <t>54.22284784</t>
  </si>
  <si>
    <t>24.540226610000001</t>
  </si>
  <si>
    <t>Derežnyčia</t>
  </si>
  <si>
    <t>LTR172_2020</t>
  </si>
  <si>
    <t>LTR175_2014</t>
  </si>
  <si>
    <t>LTR175</t>
  </si>
  <si>
    <t>55.021691859999997</t>
  </si>
  <si>
    <t>25.857522249999999</t>
  </si>
  <si>
    <t>LTR175_2015</t>
  </si>
  <si>
    <t>LTR175_2016</t>
  </si>
  <si>
    <t>LTR175_2017</t>
  </si>
  <si>
    <t>LTR175_2020</t>
  </si>
  <si>
    <t>LTR176_2016</t>
  </si>
  <si>
    <t>LTR176</t>
  </si>
  <si>
    <t>54.6083</t>
  </si>
  <si>
    <t>25.538699999999999</t>
  </si>
  <si>
    <t>Kena</t>
  </si>
  <si>
    <t>LTR176_2021</t>
  </si>
  <si>
    <t>LTR186_2020</t>
  </si>
  <si>
    <t>LTR186</t>
  </si>
  <si>
    <t>54.763078460000003</t>
  </si>
  <si>
    <t>25.374403470000001</t>
  </si>
  <si>
    <t>Veržuva</t>
  </si>
  <si>
    <t>LTR18_2016</t>
  </si>
  <si>
    <t>LTR18</t>
  </si>
  <si>
    <t>55.594116980000003</t>
  </si>
  <si>
    <t>21.59559003</t>
  </si>
  <si>
    <t>LTR18_2019</t>
  </si>
  <si>
    <t>LTR190_2014</t>
  </si>
  <si>
    <t>LTR190</t>
  </si>
  <si>
    <t>55.126899999999999</t>
  </si>
  <si>
    <t>25.901299999999999</t>
  </si>
  <si>
    <t>Peršokšna</t>
  </si>
  <si>
    <t>LTR190_2021</t>
  </si>
  <si>
    <t>LTR192_2014</t>
  </si>
  <si>
    <t>LTR192</t>
  </si>
  <si>
    <t>55.192101960000002</t>
  </si>
  <si>
    <t>24.689017239999998</t>
  </si>
  <si>
    <t>Armona</t>
  </si>
  <si>
    <t>LTR192_2015</t>
  </si>
  <si>
    <t>LTR192_2016</t>
  </si>
  <si>
    <t>LTR192_2017</t>
  </si>
  <si>
    <t>LTR192_2020</t>
  </si>
  <si>
    <t>LTR197_2015</t>
  </si>
  <si>
    <t>LTR197</t>
  </si>
  <si>
    <t>54.840800000000002</t>
  </si>
  <si>
    <t>25.535299999999999</t>
  </si>
  <si>
    <t>LTR197_2018</t>
  </si>
  <si>
    <t>LTR197_2021</t>
  </si>
  <si>
    <t>LTR1_2014</t>
  </si>
  <si>
    <t>LTR1</t>
  </si>
  <si>
    <t>54.030612869999999</t>
  </si>
  <si>
    <t>23.968388699999998</t>
  </si>
  <si>
    <t>LTR1_2015</t>
  </si>
  <si>
    <t>LTR1_2016</t>
  </si>
  <si>
    <t>LTR1_2017</t>
  </si>
  <si>
    <t>LTR1_2020</t>
  </si>
  <si>
    <t>LTR204_2015</t>
  </si>
  <si>
    <t>LTR204</t>
  </si>
  <si>
    <t>54.625700000000002</t>
  </si>
  <si>
    <t>25.121300000000002</t>
  </si>
  <si>
    <t>Vokė</t>
  </si>
  <si>
    <t>LTR204_2021</t>
  </si>
  <si>
    <t>LTR217_2015</t>
  </si>
  <si>
    <t>LTR217</t>
  </si>
  <si>
    <t>55.343299999999999</t>
  </si>
  <si>
    <t>22.807300000000001</t>
  </si>
  <si>
    <t>Šešuvis</t>
  </si>
  <si>
    <t>LTR217_2019</t>
  </si>
  <si>
    <t>LTR218_2015</t>
  </si>
  <si>
    <t>LTR218</t>
  </si>
  <si>
    <t>55.421783220000002</t>
  </si>
  <si>
    <t>23.22780367</t>
  </si>
  <si>
    <t>LTR218_2022</t>
  </si>
  <si>
    <t>LTR219_2022</t>
  </si>
  <si>
    <t>LTR219</t>
  </si>
  <si>
    <t>54.902031209999997</t>
  </si>
  <si>
    <t>24.73605877</t>
  </si>
  <si>
    <t>Žiežmara</t>
  </si>
  <si>
    <t>LTR230_2016</t>
  </si>
  <si>
    <t>LTR230</t>
  </si>
  <si>
    <t>55.279800000000002</t>
  </si>
  <si>
    <t>24.240100000000002</t>
  </si>
  <si>
    <t>LTR230_2020</t>
  </si>
  <si>
    <t>LTR231_2014</t>
  </si>
  <si>
    <t>LTR231</t>
  </si>
  <si>
    <t>55.303078169999999</t>
  </si>
  <si>
    <t>23.018657059999999</t>
  </si>
  <si>
    <t>LTR231_2015</t>
  </si>
  <si>
    <t>LTR231_2016</t>
  </si>
  <si>
    <t>LTR231_2017</t>
  </si>
  <si>
    <t>LTR231_2020</t>
  </si>
  <si>
    <t>LTR232_2015</t>
  </si>
  <si>
    <t>LTR232</t>
  </si>
  <si>
    <t>55.080792750000001</t>
  </si>
  <si>
    <t>22.743415259999999</t>
  </si>
  <si>
    <t>LTR232_2019</t>
  </si>
  <si>
    <t>LTR232_2022</t>
  </si>
  <si>
    <t>LTR234_2014</t>
  </si>
  <si>
    <t>LTR234</t>
  </si>
  <si>
    <t>55.240600000000001</t>
  </si>
  <si>
    <t>24.15</t>
  </si>
  <si>
    <t>Lankesa</t>
  </si>
  <si>
    <t>LTR234_2018</t>
  </si>
  <si>
    <t>LTR234_2021</t>
  </si>
  <si>
    <t>LTR236_2014</t>
  </si>
  <si>
    <t>LTR236</t>
  </si>
  <si>
    <t>55.204342070000003</t>
  </si>
  <si>
    <t>24.021115729999998</t>
  </si>
  <si>
    <t>LTR236_2019</t>
  </si>
  <si>
    <t>LTR236_2022</t>
  </si>
  <si>
    <t>LTR239_2017</t>
  </si>
  <si>
    <t>LTR239</t>
  </si>
  <si>
    <t>54.983176530000001</t>
  </si>
  <si>
    <t>24.156532160000001</t>
  </si>
  <si>
    <t>LTR239_2022</t>
  </si>
  <si>
    <t>LTR23_2015</t>
  </si>
  <si>
    <t>LTR23</t>
  </si>
  <si>
    <t>55.214399999999998</t>
  </si>
  <si>
    <t>22.284800000000001</t>
  </si>
  <si>
    <t>LTR23_2018</t>
  </si>
  <si>
    <t>LTR245_2014</t>
  </si>
  <si>
    <t>LTR245</t>
  </si>
  <si>
    <t>55.351025679999999</t>
  </si>
  <si>
    <t>23.906013210000001</t>
  </si>
  <si>
    <t>Dotnuvėlė</t>
  </si>
  <si>
    <t>LTR245_2015</t>
  </si>
  <si>
    <t>LTR245_2016</t>
  </si>
  <si>
    <t>LTR245_2017</t>
  </si>
  <si>
    <t>LTR245_2020</t>
  </si>
  <si>
    <t>LTR247_2016</t>
  </si>
  <si>
    <t>LTR247</t>
  </si>
  <si>
    <t>55.245980009999997</t>
  </si>
  <si>
    <t>23.94889865</t>
  </si>
  <si>
    <t>LTR247_2020</t>
  </si>
  <si>
    <t>LTR248_2016</t>
  </si>
  <si>
    <t>LTR248</t>
  </si>
  <si>
    <t>55.268589230000003</t>
  </si>
  <si>
    <t>23.975494950000002</t>
  </si>
  <si>
    <t>LTR248_2020</t>
  </si>
  <si>
    <t>LTR260_2015</t>
  </si>
  <si>
    <t>LTR260</t>
  </si>
  <si>
    <t>55.275507747854896</t>
  </si>
  <si>
    <t>23.804330625727101</t>
  </si>
  <si>
    <t>Šušvė</t>
  </si>
  <si>
    <t>LTR265_2014</t>
  </si>
  <si>
    <t>LTR265</t>
  </si>
  <si>
    <t>55.106866009999997</t>
  </si>
  <si>
    <t>22.171506040000001</t>
  </si>
  <si>
    <t>LTR265_2015</t>
  </si>
  <si>
    <t>LTR265_2016</t>
  </si>
  <si>
    <t>LTR266_2014</t>
  </si>
  <si>
    <t>LTR266</t>
  </si>
  <si>
    <t>55.398068180000003</t>
  </si>
  <si>
    <t>21.28690683</t>
  </si>
  <si>
    <t>LTR266_2015</t>
  </si>
  <si>
    <t>LTR271_2015</t>
  </si>
  <si>
    <t>LTR271</t>
  </si>
  <si>
    <t>55.366248689999999</t>
  </si>
  <si>
    <t>22.22963141</t>
  </si>
  <si>
    <t>Akmena</t>
  </si>
  <si>
    <t>LTR271_2019</t>
  </si>
  <si>
    <t>LTR277_2016</t>
  </si>
  <si>
    <t>LTR277</t>
  </si>
  <si>
    <t>55.886299999999999</t>
  </si>
  <si>
    <t>21.191400000000002</t>
  </si>
  <si>
    <t>Tenžė</t>
  </si>
  <si>
    <t>LTR277_2019</t>
  </si>
  <si>
    <t>LTR27_2014</t>
  </si>
  <si>
    <t>LTR27</t>
  </si>
  <si>
    <t>54.416253670000003</t>
  </si>
  <si>
    <t>23.256882969999999</t>
  </si>
  <si>
    <t>LTR27_2020</t>
  </si>
  <si>
    <t>LTR281_2015</t>
  </si>
  <si>
    <t>LTR281</t>
  </si>
  <si>
    <t>56.293700000000001</t>
  </si>
  <si>
    <t>21.527100000000001</t>
  </si>
  <si>
    <t>Apsė</t>
  </si>
  <si>
    <t>LTR281_2019</t>
  </si>
  <si>
    <t>LTR282_2016</t>
  </si>
  <si>
    <t>LTR282</t>
  </si>
  <si>
    <t>56.012873829999997</t>
  </si>
  <si>
    <t>21.328961530000001</t>
  </si>
  <si>
    <t>Akmena-Danė</t>
  </si>
  <si>
    <t>LTR282_2017</t>
  </si>
  <si>
    <t>LTR282_2022</t>
  </si>
  <si>
    <t>LTR283_2014</t>
  </si>
  <si>
    <t>LTR283</t>
  </si>
  <si>
    <t>55.913600000000002</t>
  </si>
  <si>
    <t>21.501200000000001</t>
  </si>
  <si>
    <t>Alantas</t>
  </si>
  <si>
    <t>LTR283_2020</t>
  </si>
  <si>
    <t>LTR284_2015</t>
  </si>
  <si>
    <t>LTR284</t>
  </si>
  <si>
    <t>55.430399999999999</t>
  </si>
  <si>
    <t>21.485900000000001</t>
  </si>
  <si>
    <t>Tenenys</t>
  </si>
  <si>
    <t>LTR284_2018</t>
  </si>
  <si>
    <t>LTR284_2021</t>
  </si>
  <si>
    <t>LTR290_2015</t>
  </si>
  <si>
    <t>LTR290</t>
  </si>
  <si>
    <t>55.337343689999997</t>
  </si>
  <si>
    <t>22.26934236</t>
  </si>
  <si>
    <t>LTR290_2018</t>
  </si>
  <si>
    <t>LTR294_2014</t>
  </si>
  <si>
    <t>LTR294</t>
  </si>
  <si>
    <t>55.5548</t>
  </si>
  <si>
    <t>21.522099999999998</t>
  </si>
  <si>
    <t>LTR294_2018</t>
  </si>
  <si>
    <t>LTR294_2021</t>
  </si>
  <si>
    <t>LTR297_2015</t>
  </si>
  <si>
    <t>LTR297</t>
  </si>
  <si>
    <t>55.479500000000002</t>
  </si>
  <si>
    <t>22.156099999999999</t>
  </si>
  <si>
    <t>Lokysta</t>
  </si>
  <si>
    <t>LTR297_2018</t>
  </si>
  <si>
    <t>LTR297_2021</t>
  </si>
  <si>
    <t>LTR301_2017</t>
  </si>
  <si>
    <t>LTR301</t>
  </si>
  <si>
    <t>55.998607800000002</t>
  </si>
  <si>
    <t>21.126835</t>
  </si>
  <si>
    <t>Žiba</t>
  </si>
  <si>
    <t>LTR301_2022</t>
  </si>
  <si>
    <t>LTR305_2015</t>
  </si>
  <si>
    <t>LTR305</t>
  </si>
  <si>
    <t>55.898220986770696</t>
  </si>
  <si>
    <t>21.2445399450895</t>
  </si>
  <si>
    <t>LTR308_2014</t>
  </si>
  <si>
    <t>LTR308</t>
  </si>
  <si>
    <t>55.780200000000001</t>
  </si>
  <si>
    <t>21.2561</t>
  </si>
  <si>
    <t>Eketė</t>
  </si>
  <si>
    <t>LTR308_2018</t>
  </si>
  <si>
    <t>LTR308_2021</t>
  </si>
  <si>
    <t>LTR318_2016</t>
  </si>
  <si>
    <t>LTR318</t>
  </si>
  <si>
    <t>55.566200000000002</t>
  </si>
  <si>
    <t>21.488099999999999</t>
  </si>
  <si>
    <t>Aisė</t>
  </si>
  <si>
    <t>LTR318_2019</t>
  </si>
  <si>
    <t>LTR325_2014</t>
  </si>
  <si>
    <t>LTR325</t>
  </si>
  <si>
    <t>55.355033069999998</t>
  </si>
  <si>
    <t>26.425745320000001</t>
  </si>
  <si>
    <t>Dysna</t>
  </si>
  <si>
    <t>LTR325_2015</t>
  </si>
  <si>
    <t>LTR325_2016</t>
  </si>
  <si>
    <t>LTR325_2017</t>
  </si>
  <si>
    <t>LTR325_2020</t>
  </si>
  <si>
    <t>LTR327_2014</t>
  </si>
  <si>
    <t>LTR327</t>
  </si>
  <si>
    <t>55.574302449999998</t>
  </si>
  <si>
    <t>25.050629239999999</t>
  </si>
  <si>
    <t>LTR327_2015</t>
  </si>
  <si>
    <t>LTR327_2016</t>
  </si>
  <si>
    <t>LTR327_2017</t>
  </si>
  <si>
    <t>LTR327_2020</t>
  </si>
  <si>
    <t>LTR331_2017</t>
  </si>
  <si>
    <t>LTR331</t>
  </si>
  <si>
    <t>55.304561159999999</t>
  </si>
  <si>
    <t>26.042601260000001</t>
  </si>
  <si>
    <t>Baltelė</t>
  </si>
  <si>
    <t>LTR331_2022</t>
  </si>
  <si>
    <t>LTR337_2016</t>
  </si>
  <si>
    <t>LTR337</t>
  </si>
  <si>
    <t>55.250778369999999</t>
  </si>
  <si>
    <t>26.600762320000001</t>
  </si>
  <si>
    <t>Svyla</t>
  </si>
  <si>
    <t>LTR337_2019</t>
  </si>
  <si>
    <t>LTR337_2022</t>
  </si>
  <si>
    <t>LTR33_2014</t>
  </si>
  <si>
    <t>LTR33</t>
  </si>
  <si>
    <t>55.083843539999997</t>
  </si>
  <si>
    <t>23.431502429999998</t>
  </si>
  <si>
    <t>LTR33_2015</t>
  </si>
  <si>
    <t>LTR33_2016</t>
  </si>
  <si>
    <t>LTR33_2017</t>
  </si>
  <si>
    <t>LTR33_2020</t>
  </si>
  <si>
    <t>LTR351_2015</t>
  </si>
  <si>
    <t>LTR351</t>
  </si>
  <si>
    <t>55.621911740000002</t>
  </si>
  <si>
    <t>25.5652358</t>
  </si>
  <si>
    <t>LTR351_2019</t>
  </si>
  <si>
    <t>LTR351_2022</t>
  </si>
  <si>
    <t>LTR354_2015</t>
  </si>
  <si>
    <t>LTR354</t>
  </si>
  <si>
    <t>55.405099999999997</t>
  </si>
  <si>
    <t>26.395800000000001</t>
  </si>
  <si>
    <t>LTR354_2018</t>
  </si>
  <si>
    <t>LTR354_2021</t>
  </si>
  <si>
    <t>LTR357_2014</t>
  </si>
  <si>
    <t>LTR357</t>
  </si>
  <si>
    <t>56.413586960000004</t>
  </si>
  <si>
    <t>24.850799290000001</t>
  </si>
  <si>
    <t>LTR357_2015</t>
  </si>
  <si>
    <t>LTR357_2016</t>
  </si>
  <si>
    <t>LTR357_2017</t>
  </si>
  <si>
    <t>LTR357_2020</t>
  </si>
  <si>
    <t>LTR360_2016</t>
  </si>
  <si>
    <t>LTR360</t>
  </si>
  <si>
    <t>56.027335409999999</t>
  </si>
  <si>
    <t>24.429105710000002</t>
  </si>
  <si>
    <t>LTR360_2019</t>
  </si>
  <si>
    <t>LTR360_2022</t>
  </si>
  <si>
    <t>LTR365_2015</t>
  </si>
  <si>
    <t>LTR365</t>
  </si>
  <si>
    <t>56.413600000000002</t>
  </si>
  <si>
    <t>24.8508</t>
  </si>
  <si>
    <t>LTR365_2018</t>
  </si>
  <si>
    <t>LTR365_2021</t>
  </si>
  <si>
    <t>LTR369_2015</t>
  </si>
  <si>
    <t>LTR369</t>
  </si>
  <si>
    <t>56.377984490000003</t>
  </si>
  <si>
    <t>24.645163759999999</t>
  </si>
  <si>
    <t>LTR369_2019</t>
  </si>
  <si>
    <t>LTR369_2022</t>
  </si>
  <si>
    <t>LTR371_2014</t>
  </si>
  <si>
    <t>LTR371</t>
  </si>
  <si>
    <t>56.400045689999999</t>
  </si>
  <si>
    <t>24.767014169999999</t>
  </si>
  <si>
    <t>LTR371_2020</t>
  </si>
  <si>
    <t>LTR375_2015</t>
  </si>
  <si>
    <t>LTR375</t>
  </si>
  <si>
    <t>55.659700000000001</t>
  </si>
  <si>
    <t>24.4331</t>
  </si>
  <si>
    <t>Juoda</t>
  </si>
  <si>
    <t>LTR375_2018</t>
  </si>
  <si>
    <t>LTR375_2021</t>
  </si>
  <si>
    <t>LTR377_2015</t>
  </si>
  <si>
    <t>LTR377</t>
  </si>
  <si>
    <t>55.517600000000002</t>
  </si>
  <si>
    <t>24.118600000000001</t>
  </si>
  <si>
    <t>Linkava</t>
  </si>
  <si>
    <t>LTR377_2018</t>
  </si>
  <si>
    <t>LTR377_2021</t>
  </si>
  <si>
    <t>LTR378_2015</t>
  </si>
  <si>
    <t>LTR378</t>
  </si>
  <si>
    <t>56.1813</t>
  </si>
  <si>
    <t>25.091200000000001</t>
  </si>
  <si>
    <t>LTR378_2018</t>
  </si>
  <si>
    <t>LTR378_2021</t>
  </si>
  <si>
    <t>LTR380_2015</t>
  </si>
  <si>
    <t>LTR380</t>
  </si>
  <si>
    <t>55.682699999999997</t>
  </si>
  <si>
    <t>24.115400000000001</t>
  </si>
  <si>
    <t>Šuoja-Kūrys</t>
  </si>
  <si>
    <t>LTR380_2018</t>
  </si>
  <si>
    <t>LTR380_2021</t>
  </si>
  <si>
    <t>LTR385_2015</t>
  </si>
  <si>
    <t>LTR385</t>
  </si>
  <si>
    <t>55.788098730000002</t>
  </si>
  <si>
    <t>24.85293721</t>
  </si>
  <si>
    <t>LTR385_2016</t>
  </si>
  <si>
    <t>LTR385_2017</t>
  </si>
  <si>
    <t>LTR385_2020</t>
  </si>
  <si>
    <t>LTR386_2016</t>
  </si>
  <si>
    <t>LTR386</t>
  </si>
  <si>
    <t>55.774891099999998</t>
  </si>
  <si>
    <t>24.74461586</t>
  </si>
  <si>
    <t>LTR386_2019</t>
  </si>
  <si>
    <t>LTR386_2022</t>
  </si>
  <si>
    <t>LTR387_2014</t>
  </si>
  <si>
    <t>LTR387</t>
  </si>
  <si>
    <t>55.700272669999997</t>
  </si>
  <si>
    <t>24.433291560000001</t>
  </si>
  <si>
    <t>LTR387_2015</t>
  </si>
  <si>
    <t>LTR387_2016</t>
  </si>
  <si>
    <t>LTR387_2017</t>
  </si>
  <si>
    <t>LTR387_2020</t>
  </si>
  <si>
    <t>LTR393_2016</t>
  </si>
  <si>
    <t>LTR393</t>
  </si>
  <si>
    <t>55.969267080000002</t>
  </si>
  <si>
    <t>25.426905269999999</t>
  </si>
  <si>
    <t>Laukupė</t>
  </si>
  <si>
    <t>LTR393_2019</t>
  </si>
  <si>
    <t>LTR393_2022</t>
  </si>
  <si>
    <t>LTR401_2014</t>
  </si>
  <si>
    <t>LTR401</t>
  </si>
  <si>
    <t>54.664594440000002</t>
  </si>
  <si>
    <t>23.24196851</t>
  </si>
  <si>
    <t>Rausvė</t>
  </si>
  <si>
    <t>LTR401_2015</t>
  </si>
  <si>
    <t>LTR401_2016</t>
  </si>
  <si>
    <t>LTR401_2017</t>
  </si>
  <si>
    <t>LTR401_2020</t>
  </si>
  <si>
    <t>LTR402_2014</t>
  </si>
  <si>
    <t>LTR402</t>
  </si>
  <si>
    <t>54.733600000000003</t>
  </si>
  <si>
    <t>23.212599999999998</t>
  </si>
  <si>
    <t>LTR402_2018</t>
  </si>
  <si>
    <t>LTR402_2021</t>
  </si>
  <si>
    <t>LTR403_2017</t>
  </si>
  <si>
    <t>LTR403</t>
  </si>
  <si>
    <t>54.351895829999997</t>
  </si>
  <si>
    <t>23.071770399999998</t>
  </si>
  <si>
    <t>Šelmenta</t>
  </si>
  <si>
    <t>LTR403_2020</t>
  </si>
  <si>
    <t>LTR40_2014</t>
  </si>
  <si>
    <t>LTR40</t>
  </si>
  <si>
    <t>54.953670619999997</t>
  </si>
  <si>
    <t>23.80095227</t>
  </si>
  <si>
    <t>LTR40_2015</t>
  </si>
  <si>
    <t>LTR40_2016</t>
  </si>
  <si>
    <t>LTR40_2017</t>
  </si>
  <si>
    <t>LTR40_2020</t>
  </si>
  <si>
    <t>LTR411_2015</t>
  </si>
  <si>
    <t>LTR411</t>
  </si>
  <si>
    <t>54.755648749999999</t>
  </si>
  <si>
    <t>22.987372709999999</t>
  </si>
  <si>
    <t>LTR411_2019</t>
  </si>
  <si>
    <t>LTR411_2022</t>
  </si>
  <si>
    <t>LTR416_2016</t>
  </si>
  <si>
    <t>LTR416</t>
  </si>
  <si>
    <t>54.656700000000001</t>
  </si>
  <si>
    <t>22.7498</t>
  </si>
  <si>
    <t>Liepona</t>
  </si>
  <si>
    <t>LTR416_2019</t>
  </si>
  <si>
    <t>LTR418_2016</t>
  </si>
  <si>
    <t>LTR418</t>
  </si>
  <si>
    <t>54.674834480000001</t>
  </si>
  <si>
    <t>23.009890550000001</t>
  </si>
  <si>
    <t>Šeimena</t>
  </si>
  <si>
    <t>LTR418_2020</t>
  </si>
  <si>
    <t>LTR41_2014</t>
  </si>
  <si>
    <t>LTR41</t>
  </si>
  <si>
    <t>55.177443029999999</t>
  </si>
  <si>
    <t>23.828059880000001</t>
  </si>
  <si>
    <t>LTR41_2015</t>
  </si>
  <si>
    <t>LTR41_2016</t>
  </si>
  <si>
    <t>LTR41_2017</t>
  </si>
  <si>
    <t>LTR41_2020</t>
  </si>
  <si>
    <t>LTR426_2016</t>
  </si>
  <si>
    <t>LTR426</t>
  </si>
  <si>
    <t>54.589599999999997</t>
  </si>
  <si>
    <t>23.3874</t>
  </si>
  <si>
    <t>Laikštė</t>
  </si>
  <si>
    <t>LTR426_2017</t>
  </si>
  <si>
    <t>LTR426_2021</t>
  </si>
  <si>
    <t>LTR428_2014</t>
  </si>
  <si>
    <t>LTR428</t>
  </si>
  <si>
    <t>54.636864060000001</t>
  </si>
  <si>
    <t>23.434213499999998</t>
  </si>
  <si>
    <t>Sasna</t>
  </si>
  <si>
    <t>LTR428_2018</t>
  </si>
  <si>
    <t>LTR428_2022</t>
  </si>
  <si>
    <t>LTR430_2014</t>
  </si>
  <si>
    <t>LTR430</t>
  </si>
  <si>
    <t>56.415689970000003</t>
  </si>
  <si>
    <t>22.201128149999999</t>
  </si>
  <si>
    <t>LTR430_2015</t>
  </si>
  <si>
    <t>LTR430_2019</t>
  </si>
  <si>
    <t>LTR432_2014</t>
  </si>
  <si>
    <t>LTR432</t>
  </si>
  <si>
    <t>56.372060310000002</t>
  </si>
  <si>
    <t>22.30939497</t>
  </si>
  <si>
    <t>Ašva</t>
  </si>
  <si>
    <t>LTR432_2015</t>
  </si>
  <si>
    <t>LTR432_2019</t>
  </si>
  <si>
    <t>LTR433_2022</t>
  </si>
  <si>
    <t>LTR433</t>
  </si>
  <si>
    <t>55.82515789</t>
  </si>
  <si>
    <t>22.36519062</t>
  </si>
  <si>
    <t>Virvyčia</t>
  </si>
  <si>
    <t>LTR43_2014</t>
  </si>
  <si>
    <t>LTR43</t>
  </si>
  <si>
    <t>54.83726454</t>
  </si>
  <si>
    <t>25.741911210000001</t>
  </si>
  <si>
    <t>LTR43_2015</t>
  </si>
  <si>
    <t>LTR43_2016</t>
  </si>
  <si>
    <t>LTR43_2017</t>
  </si>
  <si>
    <t>LTR43_2020</t>
  </si>
  <si>
    <t>LTR449_2019</t>
  </si>
  <si>
    <t>LTR449</t>
  </si>
  <si>
    <t>56.154299999999999</t>
  </si>
  <si>
    <t>22.775300000000001</t>
  </si>
  <si>
    <t>LTR450_2014</t>
  </si>
  <si>
    <t>LTR450</t>
  </si>
  <si>
    <t>56.050354329999998</t>
  </si>
  <si>
    <t>22.972730460000001</t>
  </si>
  <si>
    <t>Ringuva</t>
  </si>
  <si>
    <t>LTR450_2015</t>
  </si>
  <si>
    <t>LTR450_2016</t>
  </si>
  <si>
    <t>LTR450_2017</t>
  </si>
  <si>
    <t>LTR450_2020</t>
  </si>
  <si>
    <t>LTR452_2020</t>
  </si>
  <si>
    <t>LTR452</t>
  </si>
  <si>
    <t>55.952161070000002</t>
  </si>
  <si>
    <t>23.940521199999999</t>
  </si>
  <si>
    <t>LTR459_2015</t>
  </si>
  <si>
    <t>LTR459</t>
  </si>
  <si>
    <t>55.627400000000002</t>
  </si>
  <si>
    <t>23.5914</t>
  </si>
  <si>
    <t>LTR459_2019</t>
  </si>
  <si>
    <t>LTR462_2020</t>
  </si>
  <si>
    <t>LTR462</t>
  </si>
  <si>
    <t>56.256743669999999</t>
  </si>
  <si>
    <t>24.00462753</t>
  </si>
  <si>
    <t>Beržtalis</t>
  </si>
  <si>
    <t>LTR463_2022</t>
  </si>
  <si>
    <t>LTR463</t>
  </si>
  <si>
    <t>56.4284015</t>
  </si>
  <si>
    <t>22.114514920000001</t>
  </si>
  <si>
    <t>Lūšis</t>
  </si>
  <si>
    <t>LTR466_2017</t>
  </si>
  <si>
    <t>LTR466</t>
  </si>
  <si>
    <t>55.752699999999997</t>
  </si>
  <si>
    <t>23.764399999999998</t>
  </si>
  <si>
    <t>Niauduva</t>
  </si>
  <si>
    <t>LTR466_2021</t>
  </si>
  <si>
    <t>LTR472_2021</t>
  </si>
  <si>
    <t>LTR472</t>
  </si>
  <si>
    <t>56.330539430000002</t>
  </si>
  <si>
    <t>23.804895040000002</t>
  </si>
  <si>
    <t>Šešėvėlė</t>
  </si>
  <si>
    <t>LTR480_2014</t>
  </si>
  <si>
    <t>LTR480</t>
  </si>
  <si>
    <t>56.341496640000003</t>
  </si>
  <si>
    <t>22.385379010000001</t>
  </si>
  <si>
    <t>LTR480_2020</t>
  </si>
  <si>
    <t>LTR484_2022</t>
  </si>
  <si>
    <t>LTR484</t>
  </si>
  <si>
    <t>56.322654649999997</t>
  </si>
  <si>
    <t>22.112431740000002</t>
  </si>
  <si>
    <t>Kvistė</t>
  </si>
  <si>
    <t>LTR490_2016</t>
  </si>
  <si>
    <t>LTR490</t>
  </si>
  <si>
    <t>56.020958810000003</t>
  </si>
  <si>
    <t>22.904718089999999</t>
  </si>
  <si>
    <t>LTR490_2019</t>
  </si>
  <si>
    <t>LTR491_2017</t>
  </si>
  <si>
    <t>LTR491</t>
  </si>
  <si>
    <t>55.993906240000001</t>
  </si>
  <si>
    <t>22.798868840000001</t>
  </si>
  <si>
    <t>Upyna</t>
  </si>
  <si>
    <t>LTR491_2022</t>
  </si>
  <si>
    <t>LTR499_2021</t>
  </si>
  <si>
    <t>LTR499</t>
  </si>
  <si>
    <t>55.949300000000001</t>
  </si>
  <si>
    <t>23.747800000000002</t>
  </si>
  <si>
    <t>Vėzgė</t>
  </si>
  <si>
    <t>LTR500_2020</t>
  </si>
  <si>
    <t>LTR500</t>
  </si>
  <si>
    <t>56.02422301</t>
  </si>
  <si>
    <t>23.926304829999999</t>
  </si>
  <si>
    <t>LTR503_2020</t>
  </si>
  <si>
    <t>LTR503</t>
  </si>
  <si>
    <t>56.091136949999999</t>
  </si>
  <si>
    <t>23.666528540000002</t>
  </si>
  <si>
    <t>LTR505_2014</t>
  </si>
  <si>
    <t>LTR505</t>
  </si>
  <si>
    <t>54.578477450000001</t>
  </si>
  <si>
    <t>24.286986169999999</t>
  </si>
  <si>
    <t>Alšia</t>
  </si>
  <si>
    <t>LTR505_2020</t>
  </si>
  <si>
    <t>LTR50_2014</t>
  </si>
  <si>
    <t>LTR50</t>
  </si>
  <si>
    <t>54.958549130000002</t>
  </si>
  <si>
    <t>23.939919379999999</t>
  </si>
  <si>
    <t>LTR50_2015</t>
  </si>
  <si>
    <t>LTR50_2016</t>
  </si>
  <si>
    <t>LTR50_2017</t>
  </si>
  <si>
    <t>LTR50_2020</t>
  </si>
  <si>
    <t>LTR512_2018</t>
  </si>
  <si>
    <t>LTR512</t>
  </si>
  <si>
    <t>54.022599999999997</t>
  </si>
  <si>
    <t>24.333500000000001</t>
  </si>
  <si>
    <t>LTR520_2018</t>
  </si>
  <si>
    <t>LTR520</t>
  </si>
  <si>
    <t>54.117899999999999</t>
  </si>
  <si>
    <t>24.773700000000002</t>
  </si>
  <si>
    <t>Nočia</t>
  </si>
  <si>
    <t>LTR521_2016</t>
  </si>
  <si>
    <t>LTR521</t>
  </si>
  <si>
    <t>54.366797419999997</t>
  </si>
  <si>
    <t>24.447205</t>
  </si>
  <si>
    <t>Varėnė</t>
  </si>
  <si>
    <t>LTR521_2022</t>
  </si>
  <si>
    <t>LTR526_2014</t>
  </si>
  <si>
    <t>LTR526</t>
  </si>
  <si>
    <t>55.285126990000002</t>
  </si>
  <si>
    <t>24.506467539999999</t>
  </si>
  <si>
    <t>LTR548_2015</t>
  </si>
  <si>
    <t>LTR548</t>
  </si>
  <si>
    <t>54.678023430000003</t>
  </si>
  <si>
    <t>25.32191547</t>
  </si>
  <si>
    <t>Vilnia</t>
  </si>
  <si>
    <t>LTR548_2019</t>
  </si>
  <si>
    <t>LTR551_2016</t>
  </si>
  <si>
    <t>LTR551</t>
  </si>
  <si>
    <t>55.014499999999998</t>
  </si>
  <si>
    <t>25.746700000000001</t>
  </si>
  <si>
    <t>Arina</t>
  </si>
  <si>
    <t>LTR551_2021</t>
  </si>
  <si>
    <t>LTR56_2015</t>
  </si>
  <si>
    <t>LTR56</t>
  </si>
  <si>
    <t>55.028567644686696</t>
  </si>
  <si>
    <t>25.009032922687698</t>
  </si>
  <si>
    <t>LTR577_2017</t>
  </si>
  <si>
    <t>LTR577</t>
  </si>
  <si>
    <t>54.833120819999998</t>
  </si>
  <si>
    <t>23.662933030000001</t>
  </si>
  <si>
    <t>Bartupė</t>
  </si>
  <si>
    <t>LTR577_2022</t>
  </si>
  <si>
    <t>LTR57_2014</t>
  </si>
  <si>
    <t>LTR57</t>
  </si>
  <si>
    <t>55.06907125</t>
  </si>
  <si>
    <t>24.911236460000001</t>
  </si>
  <si>
    <t>LTR57_2020</t>
  </si>
  <si>
    <t>LTR581_2015</t>
  </si>
  <si>
    <t>LTR581</t>
  </si>
  <si>
    <t>55.337000000000003</t>
  </si>
  <si>
    <t>23.588699999999999</t>
  </si>
  <si>
    <t>Gynėvė</t>
  </si>
  <si>
    <t>LTR581_2019</t>
  </si>
  <si>
    <t>LTR582_2015</t>
  </si>
  <si>
    <t>LTR582</t>
  </si>
  <si>
    <t>55.214799999999997</t>
  </si>
  <si>
    <t>23.533899999999999</t>
  </si>
  <si>
    <t>LTR582_2018</t>
  </si>
  <si>
    <t>LTR584_2018</t>
  </si>
  <si>
    <t>LTR584</t>
  </si>
  <si>
    <t>55.2667</t>
  </si>
  <si>
    <t>22.905100000000001</t>
  </si>
  <si>
    <t>Bebirva</t>
  </si>
  <si>
    <t>LTR584_2021</t>
  </si>
  <si>
    <t>LTR586_2015</t>
  </si>
  <si>
    <t>LTR586</t>
  </si>
  <si>
    <t>55.264600000000002</t>
  </si>
  <si>
    <t>22.6066</t>
  </si>
  <si>
    <t>LTR586_2019</t>
  </si>
  <si>
    <t>LTR587_2016</t>
  </si>
  <si>
    <t>LTR587</t>
  </si>
  <si>
    <t>54.749600000000001</t>
  </si>
  <si>
    <t>24.164899999999999</t>
  </si>
  <si>
    <t>Lapainia</t>
  </si>
  <si>
    <t>LTR587_2020</t>
  </si>
  <si>
    <t>LTR588_2020</t>
  </si>
  <si>
    <t>LTR588</t>
  </si>
  <si>
    <t>55.111479660000001</t>
  </si>
  <si>
    <t>24.562350160000001</t>
  </si>
  <si>
    <t>LTR589_2019</t>
  </si>
  <si>
    <t>LTR589</t>
  </si>
  <si>
    <t>55.173636600000002</t>
  </si>
  <si>
    <t>22.692449580000002</t>
  </si>
  <si>
    <t>LTR591_2015</t>
  </si>
  <si>
    <t>LTR591</t>
  </si>
  <si>
    <t>55.482700000000001</t>
  </si>
  <si>
    <t>23.6629</t>
  </si>
  <si>
    <t>LTR591_2018</t>
  </si>
  <si>
    <t>LTR591_2021</t>
  </si>
  <si>
    <t>LTR603_2016</t>
  </si>
  <si>
    <t>LTR603</t>
  </si>
  <si>
    <t>55.072532369999998</t>
  </si>
  <si>
    <t>23.355896250000001</t>
  </si>
  <si>
    <t>Armena</t>
  </si>
  <si>
    <t>LTR603_2019</t>
  </si>
  <si>
    <t>LTR610_2016</t>
  </si>
  <si>
    <t>LTR610</t>
  </si>
  <si>
    <t>55.142200000000003</t>
  </si>
  <si>
    <t>24.4054</t>
  </si>
  <si>
    <t>Lokys</t>
  </si>
  <si>
    <t>LTR610_2019</t>
  </si>
  <si>
    <t>LTR611_2016</t>
  </si>
  <si>
    <t>LTR611</t>
  </si>
  <si>
    <t>54.901499999999999</t>
  </si>
  <si>
    <t>24.4282</t>
  </si>
  <si>
    <t>LTR611_2021</t>
  </si>
  <si>
    <t>LTR623_2017</t>
  </si>
  <si>
    <t>LTR623</t>
  </si>
  <si>
    <t>55.763967870000002</t>
  </si>
  <si>
    <t>21.249061180000002</t>
  </si>
  <si>
    <t>Baukštė</t>
  </si>
  <si>
    <t>LTR623_2022</t>
  </si>
  <si>
    <t>LTR625_2015</t>
  </si>
  <si>
    <t>LTR625</t>
  </si>
  <si>
    <t>56.256980110000001</t>
  </si>
  <si>
    <t>21.64241196</t>
  </si>
  <si>
    <t>Luoba</t>
  </si>
  <si>
    <t>LTR625_2019</t>
  </si>
  <si>
    <t>LTR625_2022</t>
  </si>
  <si>
    <t>LTR627_2015</t>
  </si>
  <si>
    <t>LTR627</t>
  </si>
  <si>
    <t>55.266075240816008</t>
  </si>
  <si>
    <t>21.454902240535301</t>
  </si>
  <si>
    <t>Leitė</t>
  </si>
  <si>
    <t>LTR62_2014</t>
  </si>
  <si>
    <t>LTR62</t>
  </si>
  <si>
    <t>55.252658609999997</t>
  </si>
  <si>
    <t>25.991260449999999</t>
  </si>
  <si>
    <t>LTR62_2015</t>
  </si>
  <si>
    <t>LTR62_2016</t>
  </si>
  <si>
    <t>LTR62_2017</t>
  </si>
  <si>
    <t>LTR62_2020</t>
  </si>
  <si>
    <t>LTR637_2016</t>
  </si>
  <si>
    <t>LTR637</t>
  </si>
  <si>
    <t>55.543799999999997</t>
  </si>
  <si>
    <t>22.454899999999999</t>
  </si>
  <si>
    <t>LTR637_2019</t>
  </si>
  <si>
    <t>LTR65_2014</t>
  </si>
  <si>
    <t>LTR65</t>
  </si>
  <si>
    <t>54.960635029999999</t>
  </si>
  <si>
    <t>25.710376620000002</t>
  </si>
  <si>
    <t>LTR65_2015</t>
  </si>
  <si>
    <t>LTR65_2016</t>
  </si>
  <si>
    <t>LTR65_2017</t>
  </si>
  <si>
    <t>LTR65_2020</t>
  </si>
  <si>
    <t>LTR66_2017</t>
  </si>
  <si>
    <t>LTR66</t>
  </si>
  <si>
    <t>55.425628009999997</t>
  </si>
  <si>
    <t>26.026477029999999</t>
  </si>
  <si>
    <t>Būka</t>
  </si>
  <si>
    <t>LTR66_2020</t>
  </si>
  <si>
    <t>LTR670_2014</t>
  </si>
  <si>
    <t>LTR670</t>
  </si>
  <si>
    <t>55.512649779999997</t>
  </si>
  <si>
    <t>24.77128476</t>
  </si>
  <si>
    <t>LTR670_2020</t>
  </si>
  <si>
    <t>LTR699_2018</t>
  </si>
  <si>
    <t>LTR699</t>
  </si>
  <si>
    <t>55.530900000000003</t>
  </si>
  <si>
    <t>24.4223</t>
  </si>
  <si>
    <t>LTR703_2017</t>
  </si>
  <si>
    <t>LTR703</t>
  </si>
  <si>
    <t>55.810500679999997</t>
  </si>
  <si>
    <t>24.557863810000001</t>
  </si>
  <si>
    <t>Žambas</t>
  </si>
  <si>
    <t>LTR703_2022</t>
  </si>
  <si>
    <t>LTR706_2015</t>
  </si>
  <si>
    <t>LTR706</t>
  </si>
  <si>
    <t>55.5124</t>
  </si>
  <si>
    <t>23.964500000000001</t>
  </si>
  <si>
    <t>Liaudė</t>
  </si>
  <si>
    <t>LTR706_2018</t>
  </si>
  <si>
    <t>LTR706_2021</t>
  </si>
  <si>
    <t>LTR709_2016</t>
  </si>
  <si>
    <t>LTR709</t>
  </si>
  <si>
    <t>56.048635160000003</t>
  </si>
  <si>
    <t>24.179817199999999</t>
  </si>
  <si>
    <t>Mažupė</t>
  </si>
  <si>
    <t>LTR709_2019</t>
  </si>
  <si>
    <t>LTR709_2022</t>
  </si>
  <si>
    <t>LTR70_2014</t>
  </si>
  <si>
    <t>LTR70</t>
  </si>
  <si>
    <t>54.110574499999998</t>
  </si>
  <si>
    <t>24.280052179999998</t>
  </si>
  <si>
    <t>LTR70_2015</t>
  </si>
  <si>
    <t>LTR70_2016</t>
  </si>
  <si>
    <t>LTR70_2017</t>
  </si>
  <si>
    <t>LTR70_2020</t>
  </si>
  <si>
    <t>LTR720_2016</t>
  </si>
  <si>
    <t>LTR720</t>
  </si>
  <si>
    <t>55.993299999999998</t>
  </si>
  <si>
    <t>24.506599999999999</t>
  </si>
  <si>
    <t>Orija</t>
  </si>
  <si>
    <t>LTR720_2021</t>
  </si>
  <si>
    <t>LTR726_2017</t>
  </si>
  <si>
    <t>LTR726</t>
  </si>
  <si>
    <t>55.934791920000002</t>
  </si>
  <si>
    <t>24.889170579999998</t>
  </si>
  <si>
    <t>Vijūnytė</t>
  </si>
  <si>
    <t>LTR726_2022</t>
  </si>
  <si>
    <t>LTR728_2015</t>
  </si>
  <si>
    <t>LTR728</t>
  </si>
  <si>
    <t>55.022100000000002</t>
  </si>
  <si>
    <t>22.768999999999998</t>
  </si>
  <si>
    <t>LTR728_2021</t>
  </si>
  <si>
    <t>LTR738_2021</t>
  </si>
  <si>
    <t>LTR738</t>
  </si>
  <si>
    <t>54.878599999999999</t>
  </si>
  <si>
    <t>23.323599999999999</t>
  </si>
  <si>
    <t>LTR73_2018</t>
  </si>
  <si>
    <t>LTR73</t>
  </si>
  <si>
    <t>54.286299999999997</t>
  </si>
  <si>
    <t>25.395600000000002</t>
  </si>
  <si>
    <t>LTR73_2021</t>
  </si>
  <si>
    <t>LTR750_2019</t>
  </si>
  <si>
    <t>LTR750</t>
  </si>
  <si>
    <t>54.566747470000003</t>
  </si>
  <si>
    <t>23.17900775</t>
  </si>
  <si>
    <t>LTR750_2022</t>
  </si>
  <si>
    <t>LTR75_2015</t>
  </si>
  <si>
    <t>LTR75</t>
  </si>
  <si>
    <t>55.852499999999999</t>
  </si>
  <si>
    <t>21.224399999999999</t>
  </si>
  <si>
    <t>LTR75_2018</t>
  </si>
  <si>
    <t>LTR75_2021</t>
  </si>
  <si>
    <t>LTR775_2022</t>
  </si>
  <si>
    <t>LTR775</t>
  </si>
  <si>
    <t>55.684357890000001</t>
  </si>
  <si>
    <t>23.075488010000001</t>
  </si>
  <si>
    <t>LTR776_2014</t>
  </si>
  <si>
    <t>LTR776</t>
  </si>
  <si>
    <t>55.955795989999999</t>
  </si>
  <si>
    <t>21.890506169999998</t>
  </si>
  <si>
    <t>LTR776_2017</t>
  </si>
  <si>
    <t>LTR776_2022</t>
  </si>
  <si>
    <t>LTR778_2018</t>
  </si>
  <si>
    <t>LTR778</t>
  </si>
  <si>
    <t>56.244599999999998</t>
  </si>
  <si>
    <t>22.870100000000001</t>
  </si>
  <si>
    <t>Šventupis</t>
  </si>
  <si>
    <t>LTR778_2021</t>
  </si>
  <si>
    <t>LTR779_2018</t>
  </si>
  <si>
    <t>LTR779</t>
  </si>
  <si>
    <t>55.604199999999999</t>
  </si>
  <si>
    <t>23.131599999999999</t>
  </si>
  <si>
    <t>Gryžuva</t>
  </si>
  <si>
    <t>LTR779_2021</t>
  </si>
  <si>
    <t>LTR77_2014</t>
  </si>
  <si>
    <t>LTR77</t>
  </si>
  <si>
    <t>55.70630122</t>
  </si>
  <si>
    <t>21.124572090000001</t>
  </si>
  <si>
    <t>LTR77_2015</t>
  </si>
  <si>
    <t>LTR787_2014</t>
  </si>
  <si>
    <t>LTR787</t>
  </si>
  <si>
    <t>55.83217003</t>
  </si>
  <si>
    <t>21.881780150000001</t>
  </si>
  <si>
    <t>LTR787_2015</t>
  </si>
  <si>
    <t>LTR787_2016</t>
  </si>
  <si>
    <t>LTR787_2017</t>
  </si>
  <si>
    <t>LTR787_2020</t>
  </si>
  <si>
    <t>LTR78_2014</t>
  </si>
  <si>
    <t>LTR78</t>
  </si>
  <si>
    <t>56.199934659999997</t>
  </si>
  <si>
    <t>21.573665460000001</t>
  </si>
  <si>
    <t>LTR78_2015</t>
  </si>
  <si>
    <t>LTR78_2016</t>
  </si>
  <si>
    <t>LTR78_2017</t>
  </si>
  <si>
    <t>LTR78_2020</t>
  </si>
  <si>
    <t>LTR793_2019</t>
  </si>
  <si>
    <t>LTR793</t>
  </si>
  <si>
    <t>55.509700000000002</t>
  </si>
  <si>
    <t>23.0823</t>
  </si>
  <si>
    <t>Dratvuo</t>
  </si>
  <si>
    <t>LTR795_2015</t>
  </si>
  <si>
    <t>LTR795</t>
  </si>
  <si>
    <t>55.669768339999997</t>
  </si>
  <si>
    <t>24.067941269999999</t>
  </si>
  <si>
    <t>Kiršinas</t>
  </si>
  <si>
    <t>LTR795_2019</t>
  </si>
  <si>
    <t>LTR79_2014</t>
  </si>
  <si>
    <t>LTR79</t>
  </si>
  <si>
    <t>56.286245729999997</t>
  </si>
  <si>
    <t>21.501151440000001</t>
  </si>
  <si>
    <t>LTR79_2015</t>
  </si>
  <si>
    <t>LTR79_2016</t>
  </si>
  <si>
    <t>LTR79_2017</t>
  </si>
  <si>
    <t>LTR79_2020</t>
  </si>
  <si>
    <t>LTR802_2016</t>
  </si>
  <si>
    <t>LTR802</t>
  </si>
  <si>
    <t>56.370756180000001</t>
  </si>
  <si>
    <t>23.391983889999999</t>
  </si>
  <si>
    <t>Švėtelė</t>
  </si>
  <si>
    <t>LTR802_2021</t>
  </si>
  <si>
    <t>LTR819_2016</t>
  </si>
  <si>
    <t>LTR819</t>
  </si>
  <si>
    <t>55.999299999999998</t>
  </si>
  <si>
    <t>21.6616</t>
  </si>
  <si>
    <t>Blendžiava</t>
  </si>
  <si>
    <t>LTR819_2021</t>
  </si>
  <si>
    <t>LTR825_2017</t>
  </si>
  <si>
    <t>LTR825</t>
  </si>
  <si>
    <t>54.186577360000001</t>
  </si>
  <si>
    <t>23.73287363</t>
  </si>
  <si>
    <t>Baliūniškėsup.</t>
  </si>
  <si>
    <t>LTR82_2014</t>
  </si>
  <si>
    <t>LTR82</t>
  </si>
  <si>
    <t>56.39525682</t>
  </si>
  <si>
    <t>22.233326859999998</t>
  </si>
  <si>
    <t>LTR82_2015</t>
  </si>
  <si>
    <t>LTR82_2017</t>
  </si>
  <si>
    <t>LTR82_2019</t>
  </si>
  <si>
    <t>LTR82_2020</t>
  </si>
  <si>
    <t>LTR830_2018</t>
  </si>
  <si>
    <t>LTR830</t>
  </si>
  <si>
    <t>54.140099999999997</t>
  </si>
  <si>
    <t>24.613099999999999</t>
  </si>
  <si>
    <t>Uosupis</t>
  </si>
  <si>
    <t>LTR86_2014</t>
  </si>
  <si>
    <t>LTR86</t>
  </si>
  <si>
    <t>56.228907370000002</t>
  </si>
  <si>
    <t>24.407522230000001</t>
  </si>
  <si>
    <t>LTR86_2015</t>
  </si>
  <si>
    <t>LTR86_2016</t>
  </si>
  <si>
    <t>LTR86_2017</t>
  </si>
  <si>
    <t>LTR86_2020</t>
  </si>
  <si>
    <t>LTR878_2017</t>
  </si>
  <si>
    <t>LTR878</t>
  </si>
  <si>
    <t>54.299500000000002</t>
  </si>
  <si>
    <t>25.218299999999999</t>
  </si>
  <si>
    <t>Beržė</t>
  </si>
  <si>
    <t>LTR882_2015</t>
  </si>
  <si>
    <t>LTR882</t>
  </si>
  <si>
    <t>54.6417</t>
  </si>
  <si>
    <t>25.730699999999999</t>
  </si>
  <si>
    <t>LTR882_2018</t>
  </si>
  <si>
    <t>LTR908_2015</t>
  </si>
  <si>
    <t>LTR908</t>
  </si>
  <si>
    <t>55.451300000000003</t>
  </si>
  <si>
    <t>23.6523</t>
  </si>
  <si>
    <t>Ažytė</t>
  </si>
  <si>
    <t>LTR908_2018</t>
  </si>
  <si>
    <t>LTR908_2021</t>
  </si>
  <si>
    <t>LTR913_2015</t>
  </si>
  <si>
    <t>LTR913</t>
  </si>
  <si>
    <t>55.535800000000002</t>
  </si>
  <si>
    <t>23.770700000000001</t>
  </si>
  <si>
    <t>LTR913_2021</t>
  </si>
  <si>
    <t>LTR922_2016</t>
  </si>
  <si>
    <t>LTR922</t>
  </si>
  <si>
    <t>55.084582079999997</t>
  </si>
  <si>
    <t>23.444076500000001</t>
  </si>
  <si>
    <t>Lazduona</t>
  </si>
  <si>
    <t>LTR922_2020</t>
  </si>
  <si>
    <t>LTR92_2014</t>
  </si>
  <si>
    <t>LTR92</t>
  </si>
  <si>
    <t>56.172102709999997</t>
  </si>
  <si>
    <t>24.635097099999999</t>
  </si>
  <si>
    <t>LTR92_2015</t>
  </si>
  <si>
    <t>LTR92_2016</t>
  </si>
  <si>
    <t>LTR92_2017</t>
  </si>
  <si>
    <t>LTR92_2020</t>
  </si>
  <si>
    <t>LTR945_2016</t>
  </si>
  <si>
    <t>LTR945</t>
  </si>
  <si>
    <t>55.554674089999999</t>
  </si>
  <si>
    <t>21.645392869999998</t>
  </si>
  <si>
    <t>LTR945_2017</t>
  </si>
  <si>
    <t>LTR945_2022</t>
  </si>
  <si>
    <t>LTR95_2014</t>
  </si>
  <si>
    <t>LTR95</t>
  </si>
  <si>
    <t>55.843726587099795</t>
  </si>
  <si>
    <t>24.967729124877099</t>
  </si>
  <si>
    <t>LTR95_2015</t>
  </si>
  <si>
    <t>LTR963_2017</t>
  </si>
  <si>
    <t>LTR963</t>
  </si>
  <si>
    <t>55.561551199999997</t>
  </si>
  <si>
    <t>22.318272669999999</t>
  </si>
  <si>
    <t>Viksvė</t>
  </si>
  <si>
    <t>LTR963_2022</t>
  </si>
  <si>
    <t>LTR969_2016</t>
  </si>
  <si>
    <t>LTR969</t>
  </si>
  <si>
    <t>56.159243359999998</t>
  </si>
  <si>
    <t>21.686081120000001</t>
  </si>
  <si>
    <t>LTR969_2019</t>
  </si>
  <si>
    <t>LTR99_2014</t>
  </si>
  <si>
    <t>LTR99</t>
  </si>
  <si>
    <t>56.025575420000003</t>
  </si>
  <si>
    <t>23.962247820000002</t>
  </si>
  <si>
    <t>LTR99_2015</t>
  </si>
  <si>
    <t>LTR99_2017</t>
  </si>
  <si>
    <t>LTR99_2019</t>
  </si>
  <si>
    <t>class_match</t>
  </si>
  <si>
    <t>eqr_resid</t>
  </si>
  <si>
    <t>median resid</t>
  </si>
  <si>
    <t>zero resid (identical)</t>
  </si>
  <si>
    <t>total n</t>
  </si>
  <si>
    <t>non-zero resid</t>
  </si>
  <si>
    <t>description</t>
  </si>
  <si>
    <t>value</t>
  </si>
  <si>
    <t>percent</t>
  </si>
  <si>
    <t>mean absoltue resid</t>
  </si>
  <si>
    <t>sites within 0.01 EQR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</si>
</sst>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65" fontId="1" fillId="0" borderId="0" xfId="0" applyNumberFormat="1" applyFont="1" applyAlignment="1">
      <alignment horizontal="center"/>
    </xf>
    <xf numFmtId="9" fontId="0" fillId="0" borderId="0" xfId="0" applyNumberFormat="1"/>
    <xf numFmtId="164" fontId="0" fillId="0" borderId="0" xfId="0" applyNumberFormat="1" applyAlignme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0EB8-E1CC-4CD8-8B9A-1550DC60C295}">
  <dimension ref="B3:B69"/>
  <sheetViews>
    <sheetView tabSelected="1" workbookViewId="0">
      <selection activeCell="G24" sqref="G24"/>
    </sheetView>
  </sheetViews>
  <sheetFormatPr defaultRowHeight="14.5" x14ac:dyDescent="0.35"/>
  <cols>
    <col min="2" max="2" width="26.1796875" bestFit="1" customWidth="1"/>
  </cols>
  <sheetData>
    <row r="3" spans="2:2" x14ac:dyDescent="0.35">
      <c r="B3" s="8" t="s">
        <v>0</v>
      </c>
    </row>
    <row r="4" spans="2:2" x14ac:dyDescent="0.35">
      <c r="B4" s="8" t="s">
        <v>1</v>
      </c>
    </row>
    <row r="5" spans="2:2" x14ac:dyDescent="0.35">
      <c r="B5" s="8" t="s">
        <v>2</v>
      </c>
    </row>
    <row r="6" spans="2:2" x14ac:dyDescent="0.35">
      <c r="B6" s="8" t="s">
        <v>3</v>
      </c>
    </row>
    <row r="7" spans="2:2" x14ac:dyDescent="0.35">
      <c r="B7" s="8" t="s">
        <v>4</v>
      </c>
    </row>
    <row r="8" spans="2:2" x14ac:dyDescent="0.35">
      <c r="B8" s="8" t="s">
        <v>5</v>
      </c>
    </row>
    <row r="9" spans="2:2" x14ac:dyDescent="0.35">
      <c r="B9" s="8" t="s">
        <v>6</v>
      </c>
    </row>
    <row r="10" spans="2:2" x14ac:dyDescent="0.35">
      <c r="B10" s="8" t="s">
        <v>7</v>
      </c>
    </row>
    <row r="11" spans="2:2" x14ac:dyDescent="0.35">
      <c r="B11" s="8" t="s">
        <v>8</v>
      </c>
    </row>
    <row r="12" spans="2:2" x14ac:dyDescent="0.35">
      <c r="B12" s="8" t="s">
        <v>9</v>
      </c>
    </row>
    <row r="13" spans="2:2" x14ac:dyDescent="0.35">
      <c r="B13" s="8" t="s">
        <v>10</v>
      </c>
    </row>
    <row r="14" spans="2:2" x14ac:dyDescent="0.35">
      <c r="B14" s="8" t="s">
        <v>11</v>
      </c>
    </row>
    <row r="15" spans="2:2" x14ac:dyDescent="0.35">
      <c r="B15" s="8" t="s">
        <v>12</v>
      </c>
    </row>
    <row r="16" spans="2:2" x14ac:dyDescent="0.35">
      <c r="B16" s="8" t="s">
        <v>15</v>
      </c>
    </row>
    <row r="17" spans="2:2" x14ac:dyDescent="0.35">
      <c r="B17" s="8" t="s">
        <v>16</v>
      </c>
    </row>
    <row r="18" spans="2:2" x14ac:dyDescent="0.35">
      <c r="B18" s="8" t="s">
        <v>17</v>
      </c>
    </row>
    <row r="19" spans="2:2" x14ac:dyDescent="0.35">
      <c r="B19" s="8" t="s">
        <v>18</v>
      </c>
    </row>
    <row r="20" spans="2:2" x14ac:dyDescent="0.35">
      <c r="B20" s="8" t="s">
        <v>19</v>
      </c>
    </row>
    <row r="21" spans="2:2" x14ac:dyDescent="0.35">
      <c r="B21" s="8" t="s">
        <v>20</v>
      </c>
    </row>
    <row r="22" spans="2:2" x14ac:dyDescent="0.35">
      <c r="B22" s="8" t="s">
        <v>21</v>
      </c>
    </row>
    <row r="23" spans="2:2" x14ac:dyDescent="0.35">
      <c r="B23" s="8" t="s">
        <v>22</v>
      </c>
    </row>
    <row r="24" spans="2:2" x14ac:dyDescent="0.35">
      <c r="B24" s="8" t="s">
        <v>23</v>
      </c>
    </row>
    <row r="25" spans="2:2" x14ac:dyDescent="0.35">
      <c r="B25" s="8" t="s">
        <v>24</v>
      </c>
    </row>
    <row r="26" spans="2:2" x14ac:dyDescent="0.35">
      <c r="B26" s="8" t="s">
        <v>25</v>
      </c>
    </row>
    <row r="27" spans="2:2" x14ac:dyDescent="0.35">
      <c r="B27" s="8" t="s">
        <v>26</v>
      </c>
    </row>
    <row r="28" spans="2:2" x14ac:dyDescent="0.35">
      <c r="B28" s="8" t="s">
        <v>27</v>
      </c>
    </row>
    <row r="29" spans="2:2" x14ac:dyDescent="0.35">
      <c r="B29" s="8" t="s">
        <v>28</v>
      </c>
    </row>
    <row r="30" spans="2:2" x14ac:dyDescent="0.35">
      <c r="B30" s="8" t="s">
        <v>29</v>
      </c>
    </row>
    <row r="31" spans="2:2" x14ac:dyDescent="0.35">
      <c r="B31" s="8" t="s">
        <v>30</v>
      </c>
    </row>
    <row r="32" spans="2:2" x14ac:dyDescent="0.35">
      <c r="B32" s="8" t="s">
        <v>31</v>
      </c>
    </row>
    <row r="33" spans="2:2" x14ac:dyDescent="0.35">
      <c r="B33" s="8" t="s">
        <v>32</v>
      </c>
    </row>
    <row r="34" spans="2:2" x14ac:dyDescent="0.35">
      <c r="B34" s="8" t="s">
        <v>33</v>
      </c>
    </row>
    <row r="35" spans="2:2" x14ac:dyDescent="0.35">
      <c r="B35" s="8" t="s">
        <v>34</v>
      </c>
    </row>
    <row r="36" spans="2:2" x14ac:dyDescent="0.35">
      <c r="B36" s="8" t="s">
        <v>35</v>
      </c>
    </row>
    <row r="37" spans="2:2" x14ac:dyDescent="0.35">
      <c r="B37" s="8" t="s">
        <v>36</v>
      </c>
    </row>
    <row r="38" spans="2:2" x14ac:dyDescent="0.35">
      <c r="B38" s="8" t="s">
        <v>37</v>
      </c>
    </row>
    <row r="39" spans="2:2" x14ac:dyDescent="0.35">
      <c r="B39" s="8" t="s">
        <v>38</v>
      </c>
    </row>
    <row r="40" spans="2:2" x14ac:dyDescent="0.35">
      <c r="B40" s="8" t="s">
        <v>39</v>
      </c>
    </row>
    <row r="41" spans="2:2" x14ac:dyDescent="0.35">
      <c r="B41" s="8" t="s">
        <v>40</v>
      </c>
    </row>
    <row r="42" spans="2:2" x14ac:dyDescent="0.35">
      <c r="B42" s="8" t="s">
        <v>41</v>
      </c>
    </row>
    <row r="43" spans="2:2" x14ac:dyDescent="0.35">
      <c r="B43" s="8" t="s">
        <v>42</v>
      </c>
    </row>
    <row r="44" spans="2:2" x14ac:dyDescent="0.35">
      <c r="B44" s="8" t="s">
        <v>43</v>
      </c>
    </row>
    <row r="45" spans="2:2" x14ac:dyDescent="0.35">
      <c r="B45" s="8" t="s">
        <v>44</v>
      </c>
    </row>
    <row r="46" spans="2:2" x14ac:dyDescent="0.35">
      <c r="B46" s="8" t="s">
        <v>45</v>
      </c>
    </row>
    <row r="47" spans="2:2" x14ac:dyDescent="0.35">
      <c r="B47" s="8" t="s">
        <v>46</v>
      </c>
    </row>
    <row r="48" spans="2:2" x14ac:dyDescent="0.35">
      <c r="B48" s="8" t="s">
        <v>47</v>
      </c>
    </row>
    <row r="49" spans="2:2" x14ac:dyDescent="0.35">
      <c r="B49" s="8" t="s">
        <v>48</v>
      </c>
    </row>
    <row r="50" spans="2:2" x14ac:dyDescent="0.35">
      <c r="B50" s="8" t="s">
        <v>49</v>
      </c>
    </row>
    <row r="51" spans="2:2" x14ac:dyDescent="0.35">
      <c r="B51" s="8" t="s">
        <v>50</v>
      </c>
    </row>
    <row r="52" spans="2:2" x14ac:dyDescent="0.35">
      <c r="B52" s="8" t="s">
        <v>51</v>
      </c>
    </row>
    <row r="53" spans="2:2" x14ac:dyDescent="0.35">
      <c r="B53" s="8" t="s">
        <v>52</v>
      </c>
    </row>
    <row r="54" spans="2:2" x14ac:dyDescent="0.35">
      <c r="B54" s="8" t="s">
        <v>53</v>
      </c>
    </row>
    <row r="55" spans="2:2" x14ac:dyDescent="0.35">
      <c r="B55" s="8" t="s">
        <v>54</v>
      </c>
    </row>
    <row r="56" spans="2:2" x14ac:dyDescent="0.35">
      <c r="B56" s="8" t="s">
        <v>55</v>
      </c>
    </row>
    <row r="57" spans="2:2" x14ac:dyDescent="0.35">
      <c r="B57" s="8" t="s">
        <v>56</v>
      </c>
    </row>
    <row r="58" spans="2:2" x14ac:dyDescent="0.35">
      <c r="B58" s="8" t="s">
        <v>57</v>
      </c>
    </row>
    <row r="59" spans="2:2" x14ac:dyDescent="0.35">
      <c r="B59" s="8" t="s">
        <v>58</v>
      </c>
    </row>
    <row r="60" spans="2:2" x14ac:dyDescent="0.35">
      <c r="B60" s="8" t="s">
        <v>59</v>
      </c>
    </row>
    <row r="61" spans="2:2" x14ac:dyDescent="0.35">
      <c r="B61" s="8" t="s">
        <v>13</v>
      </c>
    </row>
    <row r="62" spans="2:2" x14ac:dyDescent="0.35">
      <c r="B62" s="8" t="s">
        <v>14</v>
      </c>
    </row>
    <row r="63" spans="2:2" x14ac:dyDescent="0.35">
      <c r="B63" s="8" t="s">
        <v>60</v>
      </c>
    </row>
    <row r="64" spans="2:2" x14ac:dyDescent="0.35">
      <c r="B64" s="8" t="s">
        <v>61</v>
      </c>
    </row>
    <row r="65" spans="2:2" x14ac:dyDescent="0.35">
      <c r="B65" s="8" t="s">
        <v>2481</v>
      </c>
    </row>
    <row r="66" spans="2:2" x14ac:dyDescent="0.35">
      <c r="B66" s="8" t="s">
        <v>2480</v>
      </c>
    </row>
    <row r="67" spans="2:2" x14ac:dyDescent="0.35">
      <c r="B67" s="8" t="s">
        <v>2486</v>
      </c>
    </row>
    <row r="68" spans="2:2" x14ac:dyDescent="0.35">
      <c r="B68" s="8" t="s">
        <v>2487</v>
      </c>
    </row>
    <row r="69" spans="2:2" x14ac:dyDescent="0.35">
      <c r="B69" s="8" t="s">
        <v>2488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32"/>
  <sheetViews>
    <sheetView workbookViewId="0">
      <selection activeCell="BP1" sqref="A1:BP1"/>
    </sheetView>
  </sheetViews>
  <sheetFormatPr defaultRowHeight="14.5" x14ac:dyDescent="0.35"/>
  <cols>
    <col min="63" max="63" width="8.36328125" bestFit="1" customWidth="1"/>
    <col min="66" max="66" width="19.90625" customWidth="1"/>
    <col min="67" max="67" width="9.81640625" bestFit="1" customWidth="1"/>
  </cols>
  <sheetData>
    <row r="1" spans="1:6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13</v>
      </c>
      <c r="BH1" s="1" t="s">
        <v>14</v>
      </c>
      <c r="BI1" s="1" t="s">
        <v>60</v>
      </c>
      <c r="BJ1" s="1" t="s">
        <v>61</v>
      </c>
      <c r="BK1" s="1" t="s">
        <v>2481</v>
      </c>
      <c r="BL1" s="1" t="s">
        <v>2480</v>
      </c>
      <c r="BN1" s="1" t="s">
        <v>2486</v>
      </c>
      <c r="BO1" s="1" t="s">
        <v>2487</v>
      </c>
      <c r="BP1" s="1" t="s">
        <v>2488</v>
      </c>
    </row>
    <row r="2" spans="1:68" x14ac:dyDescent="0.35">
      <c r="A2" t="s">
        <v>62</v>
      </c>
      <c r="B2" t="s">
        <v>63</v>
      </c>
      <c r="C2">
        <v>2016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L2">
        <v>1</v>
      </c>
      <c r="M2" t="b">
        <v>0</v>
      </c>
      <c r="N2">
        <v>1</v>
      </c>
      <c r="O2">
        <v>2</v>
      </c>
      <c r="P2">
        <v>8</v>
      </c>
      <c r="Q2">
        <v>6</v>
      </c>
      <c r="R2">
        <v>2</v>
      </c>
      <c r="S2">
        <v>5</v>
      </c>
      <c r="T2">
        <v>29</v>
      </c>
      <c r="U2">
        <v>811</v>
      </c>
      <c r="V2">
        <v>114</v>
      </c>
      <c r="W2">
        <v>23</v>
      </c>
      <c r="X2">
        <v>4.9565217391304346</v>
      </c>
      <c r="Y2">
        <v>3</v>
      </c>
      <c r="Z2">
        <v>88</v>
      </c>
      <c r="AA2">
        <v>0</v>
      </c>
      <c r="AB2">
        <v>0</v>
      </c>
      <c r="AC2">
        <v>1</v>
      </c>
      <c r="AD2">
        <v>1</v>
      </c>
      <c r="AE2">
        <v>38</v>
      </c>
      <c r="AF2">
        <v>1</v>
      </c>
      <c r="AG2">
        <v>10</v>
      </c>
      <c r="AH2">
        <v>3</v>
      </c>
      <c r="AI2">
        <v>44</v>
      </c>
      <c r="AJ2">
        <v>2</v>
      </c>
      <c r="AK2">
        <v>16</v>
      </c>
      <c r="AL2">
        <v>6</v>
      </c>
      <c r="AM2">
        <v>68</v>
      </c>
      <c r="AN2">
        <v>4</v>
      </c>
      <c r="AO2">
        <v>98</v>
      </c>
      <c r="AP2">
        <v>4</v>
      </c>
      <c r="AQ2">
        <v>126</v>
      </c>
      <c r="AR2">
        <v>0.10850801479654749</v>
      </c>
      <c r="AS2">
        <v>0</v>
      </c>
      <c r="AT2">
        <v>4.6855733662145502E-2</v>
      </c>
      <c r="AU2">
        <v>1.233045622688039E-2</v>
      </c>
      <c r="AV2">
        <v>5.4254007398273733E-2</v>
      </c>
      <c r="AW2">
        <v>8.3847102342786681E-2</v>
      </c>
      <c r="AX2">
        <v>0.1208384710234279</v>
      </c>
      <c r="AY2">
        <v>0.155363748458693</v>
      </c>
      <c r="AZ2">
        <v>3.6991368680641193E-2</v>
      </c>
      <c r="BA2">
        <v>0.66666666666666663</v>
      </c>
      <c r="BB2">
        <v>0.65942028985507239</v>
      </c>
      <c r="BC2">
        <v>0.26666666666666672</v>
      </c>
      <c r="BD2">
        <v>0.6481196054254007</v>
      </c>
      <c r="BE2">
        <v>4</v>
      </c>
      <c r="BF2">
        <v>0.56021830715345156</v>
      </c>
      <c r="BG2">
        <v>0.53</v>
      </c>
      <c r="BH2" t="s">
        <v>71</v>
      </c>
      <c r="BI2">
        <v>0.56000000000000005</v>
      </c>
      <c r="BJ2" t="s">
        <v>71</v>
      </c>
      <c r="BK2" s="2">
        <f>BG2-BI2</f>
        <v>-3.0000000000000027E-2</v>
      </c>
      <c r="BL2" t="b">
        <f>EXACT(BH2,BJ2)</f>
        <v>1</v>
      </c>
      <c r="BN2" s="4" t="s">
        <v>2484</v>
      </c>
      <c r="BO2" s="4">
        <v>931</v>
      </c>
      <c r="BP2" s="5">
        <f>(BO2/$BO$2)</f>
        <v>1</v>
      </c>
    </row>
    <row r="3" spans="1:68" x14ac:dyDescent="0.35">
      <c r="A3" t="s">
        <v>72</v>
      </c>
      <c r="B3" t="s">
        <v>63</v>
      </c>
      <c r="C3">
        <v>2019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L3">
        <v>1</v>
      </c>
      <c r="M3" t="b">
        <v>0</v>
      </c>
      <c r="N3">
        <v>3</v>
      </c>
      <c r="O3">
        <v>2</v>
      </c>
      <c r="P3">
        <v>5</v>
      </c>
      <c r="Q3">
        <v>6</v>
      </c>
      <c r="R3">
        <v>-1</v>
      </c>
      <c r="S3">
        <v>4</v>
      </c>
      <c r="T3">
        <v>29</v>
      </c>
      <c r="U3">
        <v>389</v>
      </c>
      <c r="V3">
        <v>80</v>
      </c>
      <c r="W3">
        <v>17</v>
      </c>
      <c r="X3">
        <v>4.7058823529411766</v>
      </c>
      <c r="Y3">
        <v>1</v>
      </c>
      <c r="Z3">
        <v>6</v>
      </c>
      <c r="AA3">
        <v>0</v>
      </c>
      <c r="AB3">
        <v>0</v>
      </c>
      <c r="AC3">
        <v>1</v>
      </c>
      <c r="AD3">
        <v>1</v>
      </c>
      <c r="AE3">
        <v>6</v>
      </c>
      <c r="AF3">
        <v>0</v>
      </c>
      <c r="AG3">
        <v>0</v>
      </c>
      <c r="AH3">
        <v>2</v>
      </c>
      <c r="AI3">
        <v>37</v>
      </c>
      <c r="AJ3">
        <v>3</v>
      </c>
      <c r="AK3">
        <v>13</v>
      </c>
      <c r="AL3">
        <v>6</v>
      </c>
      <c r="AM3">
        <v>54</v>
      </c>
      <c r="AN3">
        <v>1</v>
      </c>
      <c r="AO3">
        <v>6</v>
      </c>
      <c r="AP3">
        <v>2</v>
      </c>
      <c r="AQ3">
        <v>12</v>
      </c>
      <c r="AR3">
        <v>1.542416452442159E-2</v>
      </c>
      <c r="AS3">
        <v>0</v>
      </c>
      <c r="AT3">
        <v>1.542416452442159E-2</v>
      </c>
      <c r="AU3">
        <v>0</v>
      </c>
      <c r="AV3">
        <v>9.5115681233933158E-2</v>
      </c>
      <c r="AW3">
        <v>0.13881748071979441</v>
      </c>
      <c r="AX3">
        <v>1.542416452442159E-2</v>
      </c>
      <c r="AY3">
        <v>3.0848329048843191E-2</v>
      </c>
      <c r="AZ3">
        <v>-0.1233933161953728</v>
      </c>
      <c r="BA3">
        <v>0.5</v>
      </c>
      <c r="BB3">
        <v>0.61764705882352944</v>
      </c>
      <c r="BC3">
        <v>0.1333333333333333</v>
      </c>
      <c r="BD3">
        <v>0.54787917737789193</v>
      </c>
      <c r="BE3">
        <v>4</v>
      </c>
      <c r="BF3">
        <v>0.44971489238368872</v>
      </c>
      <c r="BG3">
        <v>0.47</v>
      </c>
      <c r="BH3" t="s">
        <v>71</v>
      </c>
      <c r="BI3">
        <v>0.45</v>
      </c>
      <c r="BJ3" t="s">
        <v>71</v>
      </c>
      <c r="BK3" s="2">
        <f t="shared" ref="BK3:BK66" si="0">BG3-BI3</f>
        <v>1.9999999999999962E-2</v>
      </c>
      <c r="BL3" t="b">
        <f t="shared" ref="BL3:BL66" si="1">EXACT(BH3,BJ3)</f>
        <v>1</v>
      </c>
      <c r="BN3" s="4" t="b">
        <v>1</v>
      </c>
      <c r="BO3">
        <f>COUNTIF($BL$2:$BL$932, "TRUE")</f>
        <v>851</v>
      </c>
      <c r="BP3" s="5">
        <f>(BO3/$BO$2)</f>
        <v>0.91407089151450049</v>
      </c>
    </row>
    <row r="4" spans="1:68" x14ac:dyDescent="0.35">
      <c r="A4" t="s">
        <v>73</v>
      </c>
      <c r="B4" t="s">
        <v>63</v>
      </c>
      <c r="C4">
        <v>2022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L4">
        <v>1</v>
      </c>
      <c r="M4" t="b">
        <v>0</v>
      </c>
      <c r="N4">
        <v>1</v>
      </c>
      <c r="O4">
        <v>1</v>
      </c>
      <c r="P4">
        <v>6</v>
      </c>
      <c r="Q4">
        <v>3</v>
      </c>
      <c r="R4">
        <v>3</v>
      </c>
      <c r="S4">
        <v>4</v>
      </c>
      <c r="T4">
        <v>27</v>
      </c>
      <c r="U4">
        <v>270</v>
      </c>
      <c r="V4">
        <v>93</v>
      </c>
      <c r="W4">
        <v>19</v>
      </c>
      <c r="X4">
        <v>4.8947368421052628</v>
      </c>
      <c r="Y4">
        <v>4</v>
      </c>
      <c r="Z4">
        <v>26</v>
      </c>
      <c r="AA4">
        <v>0</v>
      </c>
      <c r="AB4">
        <v>0</v>
      </c>
      <c r="AC4">
        <v>3</v>
      </c>
      <c r="AD4">
        <v>3</v>
      </c>
      <c r="AE4">
        <v>62</v>
      </c>
      <c r="AF4">
        <v>0</v>
      </c>
      <c r="AG4">
        <v>0</v>
      </c>
      <c r="AH4">
        <v>2</v>
      </c>
      <c r="AI4">
        <v>76</v>
      </c>
      <c r="AJ4">
        <v>1</v>
      </c>
      <c r="AK4">
        <v>8</v>
      </c>
      <c r="AL4">
        <v>3</v>
      </c>
      <c r="AM4">
        <v>84</v>
      </c>
      <c r="AN4">
        <v>4</v>
      </c>
      <c r="AO4">
        <v>26</v>
      </c>
      <c r="AP4">
        <v>7</v>
      </c>
      <c r="AQ4">
        <v>88</v>
      </c>
      <c r="AR4">
        <v>9.6296296296296297E-2</v>
      </c>
      <c r="AS4">
        <v>0</v>
      </c>
      <c r="AT4">
        <v>0.2296296296296296</v>
      </c>
      <c r="AU4">
        <v>0</v>
      </c>
      <c r="AV4">
        <v>0.2814814814814815</v>
      </c>
      <c r="AW4">
        <v>0.31111111111111112</v>
      </c>
      <c r="AX4">
        <v>9.6296296296296297E-2</v>
      </c>
      <c r="AY4">
        <v>0.32592592592592601</v>
      </c>
      <c r="AZ4">
        <v>-0.21481481481481479</v>
      </c>
      <c r="BA4">
        <v>0.5</v>
      </c>
      <c r="BB4">
        <v>0.64912280701754377</v>
      </c>
      <c r="BC4">
        <v>0.46666666666666667</v>
      </c>
      <c r="BD4">
        <v>0.49074074074074081</v>
      </c>
      <c r="BE4">
        <v>4</v>
      </c>
      <c r="BF4">
        <v>0.52663255360623784</v>
      </c>
      <c r="BG4">
        <v>0.56999999999999995</v>
      </c>
      <c r="BH4" t="s">
        <v>71</v>
      </c>
      <c r="BI4">
        <v>0.53</v>
      </c>
      <c r="BJ4" t="s">
        <v>71</v>
      </c>
      <c r="BK4" s="2">
        <f t="shared" si="0"/>
        <v>3.9999999999999925E-2</v>
      </c>
      <c r="BL4" t="b">
        <f t="shared" si="1"/>
        <v>1</v>
      </c>
      <c r="BN4" s="4" t="b">
        <v>0</v>
      </c>
      <c r="BO4">
        <f>COUNTIF($BL$2:$BL$932, "FALSE")</f>
        <v>80</v>
      </c>
      <c r="BP4" s="5">
        <f>(BO4/$BO$2)</f>
        <v>8.5929108485499464E-2</v>
      </c>
    </row>
    <row r="5" spans="1:68" x14ac:dyDescent="0.35">
      <c r="A5" t="s">
        <v>74</v>
      </c>
      <c r="B5" t="s">
        <v>75</v>
      </c>
      <c r="C5">
        <v>2017</v>
      </c>
      <c r="D5" t="s">
        <v>76</v>
      </c>
      <c r="E5" t="s">
        <v>77</v>
      </c>
      <c r="F5" t="s">
        <v>66</v>
      </c>
      <c r="G5" t="s">
        <v>67</v>
      </c>
      <c r="H5" t="s">
        <v>68</v>
      </c>
      <c r="I5" t="s">
        <v>78</v>
      </c>
      <c r="J5" t="s">
        <v>70</v>
      </c>
      <c r="L5">
        <v>1</v>
      </c>
      <c r="M5" t="b">
        <v>0</v>
      </c>
      <c r="N5">
        <v>2</v>
      </c>
      <c r="O5">
        <v>1</v>
      </c>
      <c r="P5">
        <v>3</v>
      </c>
      <c r="Q5">
        <v>1</v>
      </c>
      <c r="R5">
        <v>2</v>
      </c>
      <c r="S5">
        <v>4</v>
      </c>
      <c r="T5">
        <v>16</v>
      </c>
      <c r="U5">
        <v>36</v>
      </c>
      <c r="V5">
        <v>56</v>
      </c>
      <c r="W5">
        <v>12</v>
      </c>
      <c r="X5">
        <v>4.666666666666667</v>
      </c>
      <c r="Y5">
        <v>3</v>
      </c>
      <c r="Z5">
        <v>3</v>
      </c>
      <c r="AA5">
        <v>0</v>
      </c>
      <c r="AB5">
        <v>0</v>
      </c>
      <c r="AC5">
        <v>3</v>
      </c>
      <c r="AD5">
        <v>3</v>
      </c>
      <c r="AE5">
        <v>5</v>
      </c>
      <c r="AF5">
        <v>1</v>
      </c>
      <c r="AG5">
        <v>1</v>
      </c>
      <c r="AH5">
        <v>1</v>
      </c>
      <c r="AI5">
        <v>1</v>
      </c>
      <c r="AJ5">
        <v>0</v>
      </c>
      <c r="AK5">
        <v>0</v>
      </c>
      <c r="AL5">
        <v>2</v>
      </c>
      <c r="AM5">
        <v>13</v>
      </c>
      <c r="AN5">
        <v>4</v>
      </c>
      <c r="AO5">
        <v>4</v>
      </c>
      <c r="AP5">
        <v>6</v>
      </c>
      <c r="AQ5">
        <v>8</v>
      </c>
      <c r="AR5">
        <v>8.3333333333333329E-2</v>
      </c>
      <c r="AS5">
        <v>0</v>
      </c>
      <c r="AT5">
        <v>0.1388888888888889</v>
      </c>
      <c r="AU5">
        <v>2.777777777777778E-2</v>
      </c>
      <c r="AV5">
        <v>2.777777777777778E-2</v>
      </c>
      <c r="AW5">
        <v>0.3611111111111111</v>
      </c>
      <c r="AX5">
        <v>0.1111111111111111</v>
      </c>
      <c r="AY5">
        <v>0.22222222222222221</v>
      </c>
      <c r="AZ5">
        <v>-0.25</v>
      </c>
      <c r="BA5">
        <v>0.5</v>
      </c>
      <c r="BB5">
        <v>0.61111111111111116</v>
      </c>
      <c r="BC5">
        <v>0.4</v>
      </c>
      <c r="BD5">
        <v>0.46875</v>
      </c>
      <c r="BE5">
        <v>4</v>
      </c>
      <c r="BF5">
        <v>0.49496527777777782</v>
      </c>
      <c r="BG5">
        <v>0.56000000000000005</v>
      </c>
      <c r="BH5" t="s">
        <v>71</v>
      </c>
      <c r="BI5">
        <v>0.49</v>
      </c>
      <c r="BJ5" t="s">
        <v>71</v>
      </c>
      <c r="BK5" s="2">
        <f t="shared" si="0"/>
        <v>7.0000000000000062E-2</v>
      </c>
      <c r="BL5" t="b">
        <f t="shared" si="1"/>
        <v>1</v>
      </c>
      <c r="BN5" s="4" t="s">
        <v>2483</v>
      </c>
      <c r="BO5">
        <f>COUNTIF(BK2:BK932, 0)</f>
        <v>304</v>
      </c>
      <c r="BP5" s="5">
        <f t="shared" ref="BP5:BP7" si="2">(BO5/$BO$2)</f>
        <v>0.32653061224489793</v>
      </c>
    </row>
    <row r="6" spans="1:68" x14ac:dyDescent="0.35">
      <c r="A6" t="s">
        <v>79</v>
      </c>
      <c r="B6" t="s">
        <v>75</v>
      </c>
      <c r="C6">
        <v>2022</v>
      </c>
      <c r="D6" t="s">
        <v>76</v>
      </c>
      <c r="E6" t="s">
        <v>77</v>
      </c>
      <c r="F6" t="s">
        <v>66</v>
      </c>
      <c r="G6" t="s">
        <v>67</v>
      </c>
      <c r="H6" t="s">
        <v>68</v>
      </c>
      <c r="I6" t="s">
        <v>78</v>
      </c>
      <c r="J6" t="s">
        <v>70</v>
      </c>
      <c r="L6">
        <v>1</v>
      </c>
      <c r="M6" t="b">
        <v>0</v>
      </c>
      <c r="N6">
        <v>2</v>
      </c>
      <c r="O6">
        <v>1</v>
      </c>
      <c r="P6">
        <v>2</v>
      </c>
      <c r="Q6">
        <v>1</v>
      </c>
      <c r="R6">
        <v>1</v>
      </c>
      <c r="S6">
        <v>4</v>
      </c>
      <c r="T6">
        <v>12</v>
      </c>
      <c r="U6">
        <v>47</v>
      </c>
      <c r="V6">
        <v>51</v>
      </c>
      <c r="W6">
        <v>11</v>
      </c>
      <c r="X6">
        <v>4.6363636363636367</v>
      </c>
      <c r="Y6">
        <v>1</v>
      </c>
      <c r="Z6">
        <v>3</v>
      </c>
      <c r="AA6">
        <v>0</v>
      </c>
      <c r="AB6">
        <v>0</v>
      </c>
      <c r="AC6">
        <v>1</v>
      </c>
      <c r="AD6">
        <v>1</v>
      </c>
      <c r="AE6">
        <v>9</v>
      </c>
      <c r="AF6">
        <v>0</v>
      </c>
      <c r="AG6">
        <v>0</v>
      </c>
      <c r="AH6">
        <v>1</v>
      </c>
      <c r="AI6">
        <v>1</v>
      </c>
      <c r="AJ6">
        <v>0</v>
      </c>
      <c r="AK6">
        <v>0</v>
      </c>
      <c r="AL6">
        <v>1</v>
      </c>
      <c r="AM6">
        <v>1</v>
      </c>
      <c r="AN6">
        <v>1</v>
      </c>
      <c r="AO6">
        <v>3</v>
      </c>
      <c r="AP6">
        <v>2</v>
      </c>
      <c r="AQ6">
        <v>12</v>
      </c>
      <c r="AR6">
        <v>6.3829787234042548E-2</v>
      </c>
      <c r="AS6">
        <v>0</v>
      </c>
      <c r="AT6">
        <v>0.19148936170212769</v>
      </c>
      <c r="AU6">
        <v>0</v>
      </c>
      <c r="AV6">
        <v>2.1276595744680851E-2</v>
      </c>
      <c r="AW6">
        <v>2.1276595744680851E-2</v>
      </c>
      <c r="AX6">
        <v>6.3829787234042548E-2</v>
      </c>
      <c r="AY6">
        <v>0.25531914893617019</v>
      </c>
      <c r="AZ6">
        <v>4.2553191489361687E-2</v>
      </c>
      <c r="BA6">
        <v>0.5</v>
      </c>
      <c r="BB6">
        <v>0.60606060606060608</v>
      </c>
      <c r="BC6">
        <v>0.1333333333333333</v>
      </c>
      <c r="BD6">
        <v>0.65159574468085102</v>
      </c>
      <c r="BE6">
        <v>4</v>
      </c>
      <c r="BF6">
        <v>0.4727474210186976</v>
      </c>
      <c r="BG6">
        <v>0.48</v>
      </c>
      <c r="BH6" t="s">
        <v>71</v>
      </c>
      <c r="BI6">
        <v>0.47</v>
      </c>
      <c r="BJ6" t="s">
        <v>71</v>
      </c>
      <c r="BK6" s="2">
        <f t="shared" si="0"/>
        <v>1.0000000000000009E-2</v>
      </c>
      <c r="BL6" t="b">
        <f t="shared" si="1"/>
        <v>1</v>
      </c>
      <c r="BN6" s="4" t="s">
        <v>2485</v>
      </c>
      <c r="BO6">
        <f>BO2-BO5</f>
        <v>627</v>
      </c>
      <c r="BP6" s="5">
        <f t="shared" si="2"/>
        <v>0.67346938775510201</v>
      </c>
    </row>
    <row r="7" spans="1:68" x14ac:dyDescent="0.35">
      <c r="A7" t="s">
        <v>80</v>
      </c>
      <c r="B7" t="s">
        <v>81</v>
      </c>
      <c r="C7">
        <v>2015</v>
      </c>
      <c r="D7" t="s">
        <v>82</v>
      </c>
      <c r="E7" t="s">
        <v>83</v>
      </c>
      <c r="F7" t="s">
        <v>66</v>
      </c>
      <c r="G7" t="s">
        <v>67</v>
      </c>
      <c r="H7" t="s">
        <v>84</v>
      </c>
      <c r="I7" t="s">
        <v>85</v>
      </c>
      <c r="J7" t="s">
        <v>70</v>
      </c>
      <c r="L7">
        <v>1</v>
      </c>
      <c r="M7" t="b">
        <v>0</v>
      </c>
      <c r="N7">
        <v>1</v>
      </c>
      <c r="O7">
        <v>3</v>
      </c>
      <c r="P7">
        <v>12</v>
      </c>
      <c r="Q7">
        <v>3</v>
      </c>
      <c r="R7">
        <v>9</v>
      </c>
      <c r="S7">
        <v>6</v>
      </c>
      <c r="T7">
        <v>35</v>
      </c>
      <c r="U7">
        <v>245</v>
      </c>
      <c r="V7">
        <v>172</v>
      </c>
      <c r="W7">
        <v>29</v>
      </c>
      <c r="X7">
        <v>5.931034482758621</v>
      </c>
      <c r="Y7">
        <v>3</v>
      </c>
      <c r="Z7">
        <v>34</v>
      </c>
      <c r="AA7">
        <v>1</v>
      </c>
      <c r="AB7">
        <v>1</v>
      </c>
      <c r="AC7">
        <v>5</v>
      </c>
      <c r="AD7">
        <v>5</v>
      </c>
      <c r="AE7">
        <v>20</v>
      </c>
      <c r="AF7">
        <v>4</v>
      </c>
      <c r="AG7">
        <v>4</v>
      </c>
      <c r="AH7">
        <v>2</v>
      </c>
      <c r="AI7">
        <v>37</v>
      </c>
      <c r="AJ7">
        <v>2</v>
      </c>
      <c r="AK7">
        <v>11</v>
      </c>
      <c r="AL7">
        <v>4</v>
      </c>
      <c r="AM7">
        <v>48</v>
      </c>
      <c r="AN7">
        <v>8</v>
      </c>
      <c r="AO7">
        <v>39</v>
      </c>
      <c r="AP7">
        <v>9</v>
      </c>
      <c r="AQ7">
        <v>55</v>
      </c>
      <c r="AR7">
        <v>0.1387755102040816</v>
      </c>
      <c r="AS7">
        <v>4.0816326530612249E-3</v>
      </c>
      <c r="AT7">
        <v>8.1632653061224483E-2</v>
      </c>
      <c r="AU7">
        <v>1.6326530612244899E-2</v>
      </c>
      <c r="AV7">
        <v>0.15102040816326531</v>
      </c>
      <c r="AW7">
        <v>0.19591836734693879</v>
      </c>
      <c r="AX7">
        <v>0.15918367346938769</v>
      </c>
      <c r="AY7">
        <v>0.22448979591836729</v>
      </c>
      <c r="AZ7">
        <v>-3.6734693877551017E-2</v>
      </c>
      <c r="BA7">
        <v>0.83333333333333337</v>
      </c>
      <c r="BB7">
        <v>0.82183908045977017</v>
      </c>
      <c r="BC7">
        <v>0.6</v>
      </c>
      <c r="BD7">
        <v>0.60204081632653061</v>
      </c>
      <c r="BE7">
        <v>4</v>
      </c>
      <c r="BF7">
        <v>0.71430330752990856</v>
      </c>
      <c r="BG7">
        <v>0.74</v>
      </c>
      <c r="BH7" t="s">
        <v>86</v>
      </c>
      <c r="BI7">
        <v>0.71</v>
      </c>
      <c r="BJ7" t="s">
        <v>86</v>
      </c>
      <c r="BK7" s="2">
        <f t="shared" si="0"/>
        <v>3.0000000000000027E-2</v>
      </c>
      <c r="BL7" t="b">
        <f t="shared" si="1"/>
        <v>1</v>
      </c>
      <c r="BN7" s="4" t="s">
        <v>2490</v>
      </c>
      <c r="BO7">
        <f>COUNTIFS(BK2:BK932, "&gt;=-0.01", BK2:BK932, "&lt;=0.01")</f>
        <v>543</v>
      </c>
      <c r="BP7" s="5">
        <f t="shared" si="2"/>
        <v>0.58324382384532758</v>
      </c>
    </row>
    <row r="8" spans="1:68" x14ac:dyDescent="0.35">
      <c r="A8" t="s">
        <v>87</v>
      </c>
      <c r="B8" t="s">
        <v>88</v>
      </c>
      <c r="C8">
        <v>2014</v>
      </c>
      <c r="D8" t="s">
        <v>89</v>
      </c>
      <c r="E8" t="s">
        <v>90</v>
      </c>
      <c r="F8" t="s">
        <v>66</v>
      </c>
      <c r="G8" t="s">
        <v>91</v>
      </c>
      <c r="H8" t="s">
        <v>91</v>
      </c>
      <c r="I8" t="s">
        <v>92</v>
      </c>
      <c r="J8" t="s">
        <v>70</v>
      </c>
      <c r="L8">
        <v>2</v>
      </c>
      <c r="M8" t="b">
        <v>0</v>
      </c>
      <c r="N8">
        <v>1</v>
      </c>
      <c r="O8">
        <v>2</v>
      </c>
      <c r="P8">
        <v>6</v>
      </c>
      <c r="Q8">
        <v>4</v>
      </c>
      <c r="R8">
        <v>2</v>
      </c>
      <c r="S8">
        <v>5</v>
      </c>
      <c r="T8">
        <v>28</v>
      </c>
      <c r="U8">
        <v>553</v>
      </c>
      <c r="V8">
        <v>128</v>
      </c>
      <c r="W8">
        <v>23</v>
      </c>
      <c r="X8">
        <v>5.5652173913043477</v>
      </c>
      <c r="Y8">
        <v>2</v>
      </c>
      <c r="Z8">
        <v>79</v>
      </c>
      <c r="AA8">
        <v>3</v>
      </c>
      <c r="AB8">
        <v>22</v>
      </c>
      <c r="AC8">
        <v>1</v>
      </c>
      <c r="AD8">
        <v>1</v>
      </c>
      <c r="AE8">
        <v>18</v>
      </c>
      <c r="AF8">
        <v>6</v>
      </c>
      <c r="AG8">
        <v>138</v>
      </c>
      <c r="AH8">
        <v>1</v>
      </c>
      <c r="AI8">
        <v>10</v>
      </c>
      <c r="AJ8">
        <v>1</v>
      </c>
      <c r="AK8">
        <v>10</v>
      </c>
      <c r="AL8">
        <v>2</v>
      </c>
      <c r="AM8">
        <v>20</v>
      </c>
      <c r="AN8">
        <v>11</v>
      </c>
      <c r="AO8">
        <v>239</v>
      </c>
      <c r="AP8">
        <v>6</v>
      </c>
      <c r="AQ8">
        <v>119</v>
      </c>
      <c r="AR8">
        <v>0.14285714285714279</v>
      </c>
      <c r="AS8">
        <v>3.9783001808318258E-2</v>
      </c>
      <c r="AT8">
        <v>3.25497287522604E-2</v>
      </c>
      <c r="AU8">
        <v>0.2495479204339964</v>
      </c>
      <c r="AV8">
        <v>1.808318264014467E-2</v>
      </c>
      <c r="AW8">
        <v>3.6166365280289332E-2</v>
      </c>
      <c r="AX8">
        <v>0.43218806509945751</v>
      </c>
      <c r="AY8">
        <v>0.2151898734177215</v>
      </c>
      <c r="AZ8">
        <v>0.39602169981916818</v>
      </c>
      <c r="BA8">
        <v>0.66666666666666663</v>
      </c>
      <c r="BB8">
        <v>0.76086956521739124</v>
      </c>
      <c r="BC8">
        <v>0.4</v>
      </c>
      <c r="BD8">
        <v>0.87251356238698008</v>
      </c>
      <c r="BE8">
        <v>4</v>
      </c>
      <c r="BF8">
        <v>0.67501244856775955</v>
      </c>
      <c r="BG8">
        <v>0.68</v>
      </c>
      <c r="BH8" t="s">
        <v>86</v>
      </c>
      <c r="BI8">
        <v>0.68</v>
      </c>
      <c r="BJ8" t="s">
        <v>86</v>
      </c>
      <c r="BK8" s="2">
        <f t="shared" si="0"/>
        <v>0</v>
      </c>
      <c r="BL8" t="b">
        <f t="shared" si="1"/>
        <v>1</v>
      </c>
      <c r="BN8" s="4" t="s">
        <v>2489</v>
      </c>
      <c r="BO8" s="7" cm="1">
        <f t="array" ref="BO8">AVERAGE(ABS(BK2:BK932))</f>
        <v>1.8754027926960206E-2</v>
      </c>
      <c r="BP8" s="6"/>
    </row>
    <row r="9" spans="1:68" x14ac:dyDescent="0.35">
      <c r="A9" t="s">
        <v>93</v>
      </c>
      <c r="B9" t="s">
        <v>88</v>
      </c>
      <c r="C9">
        <v>2015</v>
      </c>
      <c r="D9" t="s">
        <v>89</v>
      </c>
      <c r="E9" t="s">
        <v>90</v>
      </c>
      <c r="F9" t="s">
        <v>66</v>
      </c>
      <c r="G9" t="s">
        <v>91</v>
      </c>
      <c r="H9" t="s">
        <v>91</v>
      </c>
      <c r="I9" t="s">
        <v>92</v>
      </c>
      <c r="J9" t="s">
        <v>70</v>
      </c>
      <c r="L9">
        <v>2</v>
      </c>
      <c r="M9" t="b">
        <v>0</v>
      </c>
      <c r="N9">
        <v>1</v>
      </c>
      <c r="O9">
        <v>1</v>
      </c>
      <c r="P9">
        <v>10</v>
      </c>
      <c r="Q9">
        <v>2</v>
      </c>
      <c r="R9">
        <v>8</v>
      </c>
      <c r="S9">
        <v>5</v>
      </c>
      <c r="T9">
        <v>41</v>
      </c>
      <c r="U9">
        <v>464</v>
      </c>
      <c r="V9">
        <v>155</v>
      </c>
      <c r="W9">
        <v>28</v>
      </c>
      <c r="X9">
        <v>5.5357142857142856</v>
      </c>
      <c r="Y9">
        <v>6</v>
      </c>
      <c r="Z9">
        <v>152</v>
      </c>
      <c r="AA9">
        <v>0</v>
      </c>
      <c r="AB9">
        <v>0</v>
      </c>
      <c r="AC9">
        <v>2</v>
      </c>
      <c r="AD9">
        <v>2</v>
      </c>
      <c r="AE9">
        <v>26</v>
      </c>
      <c r="AF9">
        <v>3</v>
      </c>
      <c r="AG9">
        <v>17</v>
      </c>
      <c r="AH9">
        <v>0</v>
      </c>
      <c r="AI9">
        <v>0</v>
      </c>
      <c r="AJ9">
        <v>1</v>
      </c>
      <c r="AK9">
        <v>19</v>
      </c>
      <c r="AL9">
        <v>1</v>
      </c>
      <c r="AM9">
        <v>19</v>
      </c>
      <c r="AN9">
        <v>9</v>
      </c>
      <c r="AO9">
        <v>169</v>
      </c>
      <c r="AP9">
        <v>8</v>
      </c>
      <c r="AQ9">
        <v>178</v>
      </c>
      <c r="AR9">
        <v>0.32758620689655171</v>
      </c>
      <c r="AS9">
        <v>0</v>
      </c>
      <c r="AT9">
        <v>5.6034482758620691E-2</v>
      </c>
      <c r="AU9">
        <v>3.6637931034482762E-2</v>
      </c>
      <c r="AV9">
        <v>0</v>
      </c>
      <c r="AW9">
        <v>4.0948275862068957E-2</v>
      </c>
      <c r="AX9">
        <v>0.36422413793103448</v>
      </c>
      <c r="AY9">
        <v>0.38362068965517238</v>
      </c>
      <c r="AZ9">
        <v>0.32327586206896552</v>
      </c>
      <c r="BA9">
        <v>0.66666666666666663</v>
      </c>
      <c r="BB9">
        <v>0.75595238095238093</v>
      </c>
      <c r="BC9">
        <v>0.53333333333333333</v>
      </c>
      <c r="BD9">
        <v>0.82704741379310343</v>
      </c>
      <c r="BE9">
        <v>4</v>
      </c>
      <c r="BF9">
        <v>0.69574994868637108</v>
      </c>
      <c r="BG9">
        <v>0.7</v>
      </c>
      <c r="BH9" t="s">
        <v>86</v>
      </c>
      <c r="BI9">
        <v>0.7</v>
      </c>
      <c r="BJ9" t="s">
        <v>86</v>
      </c>
      <c r="BK9" s="2">
        <f t="shared" si="0"/>
        <v>0</v>
      </c>
      <c r="BL9" t="b">
        <f t="shared" si="1"/>
        <v>1</v>
      </c>
      <c r="BN9" s="4" t="s">
        <v>2482</v>
      </c>
      <c r="BO9" s="3">
        <f>MEDIAN(BK2:BK932)</f>
        <v>1.0000000000000009E-2</v>
      </c>
      <c r="BP9" s="6"/>
    </row>
    <row r="10" spans="1:68" x14ac:dyDescent="0.35">
      <c r="A10" t="s">
        <v>94</v>
      </c>
      <c r="B10" t="s">
        <v>88</v>
      </c>
      <c r="C10">
        <v>2016</v>
      </c>
      <c r="D10" t="s">
        <v>89</v>
      </c>
      <c r="E10" t="s">
        <v>90</v>
      </c>
      <c r="F10" t="s">
        <v>66</v>
      </c>
      <c r="G10" t="s">
        <v>91</v>
      </c>
      <c r="H10" t="s">
        <v>91</v>
      </c>
      <c r="I10" t="s">
        <v>92</v>
      </c>
      <c r="J10" t="s">
        <v>70</v>
      </c>
      <c r="L10">
        <v>2</v>
      </c>
      <c r="M10" t="b">
        <v>0</v>
      </c>
      <c r="N10">
        <v>1</v>
      </c>
      <c r="O10">
        <v>4</v>
      </c>
      <c r="P10">
        <v>9</v>
      </c>
      <c r="Q10">
        <v>4</v>
      </c>
      <c r="R10">
        <v>5</v>
      </c>
      <c r="S10">
        <v>6</v>
      </c>
      <c r="T10">
        <v>42</v>
      </c>
      <c r="U10">
        <v>574</v>
      </c>
      <c r="V10">
        <v>149</v>
      </c>
      <c r="W10">
        <v>27</v>
      </c>
      <c r="X10">
        <v>5.5185185185185182</v>
      </c>
      <c r="Y10">
        <v>6</v>
      </c>
      <c r="Z10">
        <v>137</v>
      </c>
      <c r="AA10">
        <v>3</v>
      </c>
      <c r="AB10">
        <v>30</v>
      </c>
      <c r="AC10">
        <v>0</v>
      </c>
      <c r="AD10">
        <v>0</v>
      </c>
      <c r="AE10">
        <v>0</v>
      </c>
      <c r="AF10">
        <v>4</v>
      </c>
      <c r="AG10">
        <v>37</v>
      </c>
      <c r="AH10">
        <v>1</v>
      </c>
      <c r="AI10">
        <v>13</v>
      </c>
      <c r="AJ10">
        <v>3</v>
      </c>
      <c r="AK10">
        <v>28</v>
      </c>
      <c r="AL10">
        <v>5</v>
      </c>
      <c r="AM10">
        <v>53</v>
      </c>
      <c r="AN10">
        <v>13</v>
      </c>
      <c r="AO10">
        <v>204</v>
      </c>
      <c r="AP10">
        <v>9</v>
      </c>
      <c r="AQ10">
        <v>167</v>
      </c>
      <c r="AR10">
        <v>0.23867595818815329</v>
      </c>
      <c r="AS10">
        <v>5.2264808362369339E-2</v>
      </c>
      <c r="AT10">
        <v>0</v>
      </c>
      <c r="AU10">
        <v>6.4459930313588848E-2</v>
      </c>
      <c r="AV10">
        <v>2.2648083623693381E-2</v>
      </c>
      <c r="AW10">
        <v>9.2334494773519168E-2</v>
      </c>
      <c r="AX10">
        <v>0.35540069686411152</v>
      </c>
      <c r="AY10">
        <v>0.29094076655052259</v>
      </c>
      <c r="AZ10">
        <v>0.26306620209059228</v>
      </c>
      <c r="BA10">
        <v>0.83333333333333337</v>
      </c>
      <c r="BB10">
        <v>0.75308641975308632</v>
      </c>
      <c r="BC10">
        <v>0.6</v>
      </c>
      <c r="BD10">
        <v>0.78941637630662009</v>
      </c>
      <c r="BE10">
        <v>4</v>
      </c>
      <c r="BF10">
        <v>0.74395903234825989</v>
      </c>
      <c r="BG10">
        <v>0.67</v>
      </c>
      <c r="BH10" t="s">
        <v>86</v>
      </c>
      <c r="BI10">
        <v>0.74</v>
      </c>
      <c r="BJ10" t="s">
        <v>86</v>
      </c>
      <c r="BK10" s="2">
        <f t="shared" si="0"/>
        <v>-6.9999999999999951E-2</v>
      </c>
      <c r="BL10" t="b">
        <f t="shared" si="1"/>
        <v>1</v>
      </c>
    </row>
    <row r="11" spans="1:68" x14ac:dyDescent="0.35">
      <c r="A11" t="s">
        <v>95</v>
      </c>
      <c r="B11" t="s">
        <v>88</v>
      </c>
      <c r="C11">
        <v>2017</v>
      </c>
      <c r="D11" t="s">
        <v>89</v>
      </c>
      <c r="E11" t="s">
        <v>90</v>
      </c>
      <c r="F11" t="s">
        <v>66</v>
      </c>
      <c r="G11" t="s">
        <v>91</v>
      </c>
      <c r="H11" t="s">
        <v>91</v>
      </c>
      <c r="I11" t="s">
        <v>92</v>
      </c>
      <c r="J11" t="s">
        <v>70</v>
      </c>
      <c r="L11">
        <v>2</v>
      </c>
      <c r="M11" t="b">
        <v>0</v>
      </c>
      <c r="N11">
        <v>1</v>
      </c>
      <c r="O11">
        <v>1</v>
      </c>
      <c r="P11">
        <v>6</v>
      </c>
      <c r="Q11">
        <v>4</v>
      </c>
      <c r="R11">
        <v>2</v>
      </c>
      <c r="S11">
        <v>4</v>
      </c>
      <c r="T11">
        <v>28</v>
      </c>
      <c r="U11">
        <v>728</v>
      </c>
      <c r="V11">
        <v>122</v>
      </c>
      <c r="W11">
        <v>24</v>
      </c>
      <c r="X11">
        <v>5.083333333333333</v>
      </c>
      <c r="Y11">
        <v>3</v>
      </c>
      <c r="Z11">
        <v>117</v>
      </c>
      <c r="AA11">
        <v>1</v>
      </c>
      <c r="AB11">
        <v>7</v>
      </c>
      <c r="AC11">
        <v>3</v>
      </c>
      <c r="AD11">
        <v>2</v>
      </c>
      <c r="AE11">
        <v>140</v>
      </c>
      <c r="AF11">
        <v>3</v>
      </c>
      <c r="AG11">
        <v>73</v>
      </c>
      <c r="AH11">
        <v>1</v>
      </c>
      <c r="AI11">
        <v>56</v>
      </c>
      <c r="AJ11">
        <v>2</v>
      </c>
      <c r="AK11">
        <v>16</v>
      </c>
      <c r="AL11">
        <v>3</v>
      </c>
      <c r="AM11">
        <v>72</v>
      </c>
      <c r="AN11">
        <v>7</v>
      </c>
      <c r="AO11">
        <v>197</v>
      </c>
      <c r="AP11">
        <v>6</v>
      </c>
      <c r="AQ11">
        <v>264</v>
      </c>
      <c r="AR11">
        <v>0.1607142857142857</v>
      </c>
      <c r="AS11">
        <v>9.6153846153846159E-3</v>
      </c>
      <c r="AT11">
        <v>0.19230769230769229</v>
      </c>
      <c r="AU11">
        <v>0.10027472527472529</v>
      </c>
      <c r="AV11">
        <v>7.6923076923076927E-2</v>
      </c>
      <c r="AW11">
        <v>9.8901098901098897E-2</v>
      </c>
      <c r="AX11">
        <v>0.27060439560439559</v>
      </c>
      <c r="AY11">
        <v>0.36263736263736263</v>
      </c>
      <c r="AZ11">
        <v>0.1717032967032967</v>
      </c>
      <c r="BA11">
        <v>0.5</v>
      </c>
      <c r="BB11">
        <v>0.68055555555555547</v>
      </c>
      <c r="BC11">
        <v>0.4</v>
      </c>
      <c r="BD11">
        <v>0.73231456043956045</v>
      </c>
      <c r="BE11">
        <v>4</v>
      </c>
      <c r="BF11">
        <v>0.57821752899877898</v>
      </c>
      <c r="BG11">
        <v>0.59</v>
      </c>
      <c r="BH11" t="s">
        <v>71</v>
      </c>
      <c r="BI11">
        <v>0.57999999999999996</v>
      </c>
      <c r="BJ11" t="s">
        <v>71</v>
      </c>
      <c r="BK11" s="2">
        <f t="shared" si="0"/>
        <v>1.0000000000000009E-2</v>
      </c>
      <c r="BL11" t="b">
        <f t="shared" si="1"/>
        <v>1</v>
      </c>
    </row>
    <row r="12" spans="1:68" x14ac:dyDescent="0.35">
      <c r="A12" t="s">
        <v>96</v>
      </c>
      <c r="B12" t="s">
        <v>88</v>
      </c>
      <c r="C12">
        <v>2020</v>
      </c>
      <c r="D12" t="s">
        <v>89</v>
      </c>
      <c r="E12" t="s">
        <v>90</v>
      </c>
      <c r="F12" t="s">
        <v>66</v>
      </c>
      <c r="G12" t="s">
        <v>91</v>
      </c>
      <c r="H12" t="s">
        <v>91</v>
      </c>
      <c r="I12" t="s">
        <v>92</v>
      </c>
      <c r="J12" t="s">
        <v>70</v>
      </c>
      <c r="L12">
        <v>2</v>
      </c>
      <c r="M12" t="b">
        <v>0</v>
      </c>
      <c r="N12">
        <v>1</v>
      </c>
      <c r="O12">
        <v>2</v>
      </c>
      <c r="P12">
        <v>4</v>
      </c>
      <c r="Q12">
        <v>2</v>
      </c>
      <c r="R12">
        <v>2</v>
      </c>
      <c r="S12">
        <v>5</v>
      </c>
      <c r="T12">
        <v>23</v>
      </c>
      <c r="U12">
        <v>257</v>
      </c>
      <c r="V12">
        <v>97</v>
      </c>
      <c r="W12">
        <v>20</v>
      </c>
      <c r="X12">
        <v>4.8499999999999996</v>
      </c>
      <c r="Y12">
        <v>3</v>
      </c>
      <c r="Z12">
        <v>20</v>
      </c>
      <c r="AA12">
        <v>0</v>
      </c>
      <c r="AB12">
        <v>0</v>
      </c>
      <c r="AC12">
        <v>2</v>
      </c>
      <c r="AD12">
        <v>2</v>
      </c>
      <c r="AE12">
        <v>37</v>
      </c>
      <c r="AF12">
        <v>1</v>
      </c>
      <c r="AG12">
        <v>9</v>
      </c>
      <c r="AH12">
        <v>1</v>
      </c>
      <c r="AI12">
        <v>1</v>
      </c>
      <c r="AJ12">
        <v>2</v>
      </c>
      <c r="AK12">
        <v>8</v>
      </c>
      <c r="AL12">
        <v>3</v>
      </c>
      <c r="AM12">
        <v>9</v>
      </c>
      <c r="AN12">
        <v>4</v>
      </c>
      <c r="AO12">
        <v>29</v>
      </c>
      <c r="AP12">
        <v>5</v>
      </c>
      <c r="AQ12">
        <v>57</v>
      </c>
      <c r="AR12">
        <v>7.7821011673151752E-2</v>
      </c>
      <c r="AS12">
        <v>0</v>
      </c>
      <c r="AT12">
        <v>0.1439688715953307</v>
      </c>
      <c r="AU12">
        <v>3.5019455252918288E-2</v>
      </c>
      <c r="AV12">
        <v>3.891050583657588E-3</v>
      </c>
      <c r="AW12">
        <v>3.5019455252918288E-2</v>
      </c>
      <c r="AX12">
        <v>0.11284046692607</v>
      </c>
      <c r="AY12">
        <v>0.22178988326848251</v>
      </c>
      <c r="AZ12">
        <v>7.7821011673151752E-2</v>
      </c>
      <c r="BA12">
        <v>0.66666666666666663</v>
      </c>
      <c r="BB12">
        <v>0.64166666666666661</v>
      </c>
      <c r="BC12">
        <v>0.33333333333333331</v>
      </c>
      <c r="BD12">
        <v>0.67363813229571978</v>
      </c>
      <c r="BE12">
        <v>4</v>
      </c>
      <c r="BF12">
        <v>0.57882619974059657</v>
      </c>
      <c r="BG12">
        <v>0.57999999999999996</v>
      </c>
      <c r="BH12" t="s">
        <v>71</v>
      </c>
      <c r="BI12">
        <v>0.57999999999999996</v>
      </c>
      <c r="BJ12" t="s">
        <v>71</v>
      </c>
      <c r="BK12" s="2">
        <f t="shared" si="0"/>
        <v>0</v>
      </c>
      <c r="BL12" t="b">
        <f t="shared" si="1"/>
        <v>1</v>
      </c>
    </row>
    <row r="13" spans="1:68" x14ac:dyDescent="0.35">
      <c r="A13" t="s">
        <v>97</v>
      </c>
      <c r="B13" t="s">
        <v>98</v>
      </c>
      <c r="C13">
        <v>2017</v>
      </c>
      <c r="D13" t="s">
        <v>99</v>
      </c>
      <c r="E13" t="s">
        <v>100</v>
      </c>
      <c r="F13" t="s">
        <v>66</v>
      </c>
      <c r="G13" t="s">
        <v>101</v>
      </c>
      <c r="H13" t="s">
        <v>102</v>
      </c>
      <c r="I13" t="s">
        <v>103</v>
      </c>
      <c r="J13" t="s">
        <v>70</v>
      </c>
      <c r="L13">
        <v>1</v>
      </c>
      <c r="M13" t="b">
        <v>0</v>
      </c>
      <c r="N13">
        <v>4</v>
      </c>
      <c r="O13">
        <v>2</v>
      </c>
      <c r="P13">
        <v>1</v>
      </c>
      <c r="Q13">
        <v>5</v>
      </c>
      <c r="R13">
        <v>-4</v>
      </c>
      <c r="S13">
        <v>3</v>
      </c>
      <c r="T13">
        <v>13</v>
      </c>
      <c r="U13">
        <v>786</v>
      </c>
      <c r="V13">
        <v>35</v>
      </c>
      <c r="W13">
        <v>10</v>
      </c>
      <c r="X13">
        <v>3.5</v>
      </c>
      <c r="Y13">
        <v>0</v>
      </c>
      <c r="Z13">
        <v>0</v>
      </c>
      <c r="AA13">
        <v>0</v>
      </c>
      <c r="AB13">
        <v>0</v>
      </c>
      <c r="AC13">
        <v>2</v>
      </c>
      <c r="AD13">
        <v>1</v>
      </c>
      <c r="AE13">
        <v>370</v>
      </c>
      <c r="AF13">
        <v>2</v>
      </c>
      <c r="AG13">
        <v>13</v>
      </c>
      <c r="AH13">
        <v>1</v>
      </c>
      <c r="AI13">
        <v>8</v>
      </c>
      <c r="AJ13">
        <v>1</v>
      </c>
      <c r="AK13">
        <v>6</v>
      </c>
      <c r="AL13">
        <v>2</v>
      </c>
      <c r="AM13">
        <v>14</v>
      </c>
      <c r="AN13">
        <v>2</v>
      </c>
      <c r="AO13">
        <v>13</v>
      </c>
      <c r="AP13">
        <v>1</v>
      </c>
      <c r="AQ13">
        <v>370</v>
      </c>
      <c r="AR13">
        <v>0</v>
      </c>
      <c r="AS13">
        <v>0</v>
      </c>
      <c r="AT13">
        <v>0.47073791348600508</v>
      </c>
      <c r="AU13">
        <v>1.653944020356234E-2</v>
      </c>
      <c r="AV13">
        <v>1.017811704834606E-2</v>
      </c>
      <c r="AW13">
        <v>1.7811704834605601E-2</v>
      </c>
      <c r="AX13">
        <v>1.653944020356234E-2</v>
      </c>
      <c r="AY13">
        <v>0.47073791348600508</v>
      </c>
      <c r="AZ13">
        <v>-1.272264631043258E-3</v>
      </c>
      <c r="BA13">
        <v>0.33333333333333331</v>
      </c>
      <c r="BB13">
        <v>0.41666666666666669</v>
      </c>
      <c r="BC13">
        <v>6.6666666666666666E-2</v>
      </c>
      <c r="BD13">
        <v>0.62420483460559795</v>
      </c>
      <c r="BE13">
        <v>4</v>
      </c>
      <c r="BF13">
        <v>0.36021787531806609</v>
      </c>
      <c r="BG13">
        <v>0.36</v>
      </c>
      <c r="BH13" t="s">
        <v>104</v>
      </c>
      <c r="BI13">
        <v>0.36</v>
      </c>
      <c r="BJ13" t="s">
        <v>104</v>
      </c>
      <c r="BK13" s="2">
        <f t="shared" si="0"/>
        <v>0</v>
      </c>
      <c r="BL13" t="b">
        <f t="shared" si="1"/>
        <v>1</v>
      </c>
    </row>
    <row r="14" spans="1:68" x14ac:dyDescent="0.35">
      <c r="A14" t="s">
        <v>105</v>
      </c>
      <c r="B14" t="s">
        <v>98</v>
      </c>
      <c r="C14">
        <v>2021</v>
      </c>
      <c r="D14" t="s">
        <v>99</v>
      </c>
      <c r="E14" t="s">
        <v>100</v>
      </c>
      <c r="F14" t="s">
        <v>66</v>
      </c>
      <c r="G14" t="s">
        <v>101</v>
      </c>
      <c r="H14" t="s">
        <v>102</v>
      </c>
      <c r="I14" t="s">
        <v>103</v>
      </c>
      <c r="J14" t="s">
        <v>70</v>
      </c>
      <c r="L14">
        <v>1</v>
      </c>
      <c r="M14" t="b">
        <v>0</v>
      </c>
      <c r="N14">
        <v>4</v>
      </c>
      <c r="O14">
        <v>1</v>
      </c>
      <c r="P14">
        <v>1</v>
      </c>
      <c r="Q14">
        <v>3</v>
      </c>
      <c r="R14">
        <v>-2</v>
      </c>
      <c r="S14">
        <v>2</v>
      </c>
      <c r="T14">
        <v>9</v>
      </c>
      <c r="U14">
        <v>562</v>
      </c>
      <c r="V14">
        <v>27</v>
      </c>
      <c r="W14">
        <v>8</v>
      </c>
      <c r="X14">
        <v>3.375</v>
      </c>
      <c r="Y14">
        <v>1</v>
      </c>
      <c r="Z14">
        <v>15</v>
      </c>
      <c r="AA14">
        <v>0</v>
      </c>
      <c r="AB14">
        <v>0</v>
      </c>
      <c r="AC14">
        <v>2</v>
      </c>
      <c r="AD14">
        <v>2</v>
      </c>
      <c r="AE14">
        <v>323</v>
      </c>
      <c r="AF14">
        <v>0</v>
      </c>
      <c r="AG14">
        <v>0</v>
      </c>
      <c r="AH14">
        <v>2</v>
      </c>
      <c r="AI14">
        <v>66</v>
      </c>
      <c r="AJ14">
        <v>1</v>
      </c>
      <c r="AK14">
        <v>1</v>
      </c>
      <c r="AL14">
        <v>3</v>
      </c>
      <c r="AM14">
        <v>67</v>
      </c>
      <c r="AN14">
        <v>1</v>
      </c>
      <c r="AO14">
        <v>15</v>
      </c>
      <c r="AP14">
        <v>3</v>
      </c>
      <c r="AQ14">
        <v>338</v>
      </c>
      <c r="AR14">
        <v>2.669039145907473E-2</v>
      </c>
      <c r="AS14">
        <v>0</v>
      </c>
      <c r="AT14">
        <v>0.57473309608540923</v>
      </c>
      <c r="AU14">
        <v>0</v>
      </c>
      <c r="AV14">
        <v>0.11743772241992879</v>
      </c>
      <c r="AW14">
        <v>0.1192170818505338</v>
      </c>
      <c r="AX14">
        <v>2.669039145907473E-2</v>
      </c>
      <c r="AY14">
        <v>0.60142348754448394</v>
      </c>
      <c r="AZ14">
        <v>-9.2526690391459082E-2</v>
      </c>
      <c r="BA14">
        <v>0.16666666666666671</v>
      </c>
      <c r="BB14">
        <v>0.39583333333333331</v>
      </c>
      <c r="BC14">
        <v>0.2</v>
      </c>
      <c r="BD14">
        <v>0.56717081850533801</v>
      </c>
      <c r="BE14">
        <v>4</v>
      </c>
      <c r="BF14">
        <v>0.33241770462633452</v>
      </c>
      <c r="BG14">
        <v>0.35</v>
      </c>
      <c r="BH14" t="s">
        <v>104</v>
      </c>
      <c r="BI14">
        <v>0.33</v>
      </c>
      <c r="BJ14" t="s">
        <v>104</v>
      </c>
      <c r="BK14" s="2">
        <f t="shared" si="0"/>
        <v>1.9999999999999962E-2</v>
      </c>
      <c r="BL14" t="b">
        <f t="shared" si="1"/>
        <v>1</v>
      </c>
    </row>
    <row r="15" spans="1:68" x14ac:dyDescent="0.35">
      <c r="A15" t="s">
        <v>106</v>
      </c>
      <c r="B15" t="s">
        <v>107</v>
      </c>
      <c r="C15">
        <v>2016</v>
      </c>
      <c r="D15" t="s">
        <v>108</v>
      </c>
      <c r="E15" t="s">
        <v>109</v>
      </c>
      <c r="F15" t="s">
        <v>66</v>
      </c>
      <c r="G15" t="s">
        <v>91</v>
      </c>
      <c r="H15" t="s">
        <v>91</v>
      </c>
      <c r="I15" t="s">
        <v>110</v>
      </c>
      <c r="J15" t="s">
        <v>70</v>
      </c>
      <c r="L15">
        <v>3</v>
      </c>
      <c r="M15" t="b">
        <v>0</v>
      </c>
      <c r="N15">
        <v>1</v>
      </c>
      <c r="O15">
        <v>1</v>
      </c>
      <c r="P15">
        <v>8</v>
      </c>
      <c r="Q15">
        <v>5</v>
      </c>
      <c r="R15">
        <v>3</v>
      </c>
      <c r="S15">
        <v>4</v>
      </c>
      <c r="T15">
        <v>43</v>
      </c>
      <c r="U15">
        <v>1697</v>
      </c>
      <c r="V15">
        <v>144</v>
      </c>
      <c r="W15">
        <v>28</v>
      </c>
      <c r="X15">
        <v>5.1428571428571432</v>
      </c>
      <c r="Y15">
        <v>7</v>
      </c>
      <c r="Z15">
        <v>271</v>
      </c>
      <c r="AA15">
        <v>0</v>
      </c>
      <c r="AB15">
        <v>0</v>
      </c>
      <c r="AC15">
        <v>3</v>
      </c>
      <c r="AD15">
        <v>3</v>
      </c>
      <c r="AE15">
        <v>451</v>
      </c>
      <c r="AF15">
        <v>3</v>
      </c>
      <c r="AG15">
        <v>34</v>
      </c>
      <c r="AH15">
        <v>1</v>
      </c>
      <c r="AI15">
        <v>106</v>
      </c>
      <c r="AJ15">
        <v>2</v>
      </c>
      <c r="AK15">
        <v>26</v>
      </c>
      <c r="AL15">
        <v>3</v>
      </c>
      <c r="AM15">
        <v>132</v>
      </c>
      <c r="AN15">
        <v>10</v>
      </c>
      <c r="AO15">
        <v>305</v>
      </c>
      <c r="AP15">
        <v>10</v>
      </c>
      <c r="AQ15">
        <v>722</v>
      </c>
      <c r="AR15">
        <v>0.1596935769004125</v>
      </c>
      <c r="AS15">
        <v>0</v>
      </c>
      <c r="AT15">
        <v>0.26576311137301117</v>
      </c>
      <c r="AU15">
        <v>2.0035356511490871E-2</v>
      </c>
      <c r="AV15">
        <v>6.2463170300530349E-2</v>
      </c>
      <c r="AW15">
        <v>7.7784325279905711E-2</v>
      </c>
      <c r="AX15">
        <v>0.17972893341190341</v>
      </c>
      <c r="AY15">
        <v>0.4254566882734237</v>
      </c>
      <c r="AZ15">
        <v>0.1019446081319976</v>
      </c>
      <c r="BA15">
        <v>0.5</v>
      </c>
      <c r="BB15">
        <v>0.69047619047619058</v>
      </c>
      <c r="BC15">
        <v>0.66666666666666663</v>
      </c>
      <c r="BD15">
        <v>0.68871538008249855</v>
      </c>
      <c r="BE15">
        <v>4</v>
      </c>
      <c r="BF15">
        <v>0.63646455930633894</v>
      </c>
      <c r="BG15">
        <v>0.64</v>
      </c>
      <c r="BH15" t="s">
        <v>86</v>
      </c>
      <c r="BI15">
        <v>0.64</v>
      </c>
      <c r="BJ15" t="s">
        <v>86</v>
      </c>
      <c r="BK15" s="2">
        <f t="shared" si="0"/>
        <v>0</v>
      </c>
      <c r="BL15" t="b">
        <f t="shared" si="1"/>
        <v>1</v>
      </c>
    </row>
    <row r="16" spans="1:68" x14ac:dyDescent="0.35">
      <c r="A16" t="s">
        <v>111</v>
      </c>
      <c r="B16" t="s">
        <v>107</v>
      </c>
      <c r="C16">
        <v>2019</v>
      </c>
      <c r="D16" t="s">
        <v>108</v>
      </c>
      <c r="E16" t="s">
        <v>109</v>
      </c>
      <c r="F16" t="s">
        <v>66</v>
      </c>
      <c r="G16" t="s">
        <v>91</v>
      </c>
      <c r="H16" t="s">
        <v>91</v>
      </c>
      <c r="I16" t="s">
        <v>110</v>
      </c>
      <c r="J16" t="s">
        <v>70</v>
      </c>
      <c r="L16">
        <v>3</v>
      </c>
      <c r="M16" t="b">
        <v>0</v>
      </c>
      <c r="N16">
        <v>1</v>
      </c>
      <c r="O16">
        <v>2</v>
      </c>
      <c r="P16">
        <v>5</v>
      </c>
      <c r="Q16">
        <v>1</v>
      </c>
      <c r="R16">
        <v>4</v>
      </c>
      <c r="S16">
        <v>6</v>
      </c>
      <c r="T16">
        <v>23</v>
      </c>
      <c r="U16">
        <v>363</v>
      </c>
      <c r="V16">
        <v>95</v>
      </c>
      <c r="W16">
        <v>17</v>
      </c>
      <c r="X16">
        <v>5.5882352941176467</v>
      </c>
      <c r="Y16">
        <v>4</v>
      </c>
      <c r="Z16">
        <v>90</v>
      </c>
      <c r="AA16">
        <v>0</v>
      </c>
      <c r="AB16">
        <v>0</v>
      </c>
      <c r="AC16">
        <v>2</v>
      </c>
      <c r="AD16">
        <v>2</v>
      </c>
      <c r="AE16">
        <v>56</v>
      </c>
      <c r="AF16">
        <v>1</v>
      </c>
      <c r="AG16">
        <v>26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5</v>
      </c>
      <c r="AO16">
        <v>116</v>
      </c>
      <c r="AP16">
        <v>6</v>
      </c>
      <c r="AQ16">
        <v>146</v>
      </c>
      <c r="AR16">
        <v>0.2479338842975207</v>
      </c>
      <c r="AS16">
        <v>0</v>
      </c>
      <c r="AT16">
        <v>0.15426997245179061</v>
      </c>
      <c r="AU16">
        <v>7.1625344352617082E-2</v>
      </c>
      <c r="AV16">
        <v>0</v>
      </c>
      <c r="AW16">
        <v>0</v>
      </c>
      <c r="AX16">
        <v>0.31955922865013769</v>
      </c>
      <c r="AY16">
        <v>0.40220385674931131</v>
      </c>
      <c r="AZ16">
        <v>0.31955922865013769</v>
      </c>
      <c r="BA16">
        <v>0.83333333333333337</v>
      </c>
      <c r="BB16">
        <v>0.76470588235294112</v>
      </c>
      <c r="BC16">
        <v>0.4</v>
      </c>
      <c r="BD16">
        <v>0.82472451790633594</v>
      </c>
      <c r="BE16">
        <v>4</v>
      </c>
      <c r="BF16">
        <v>0.70569093339815259</v>
      </c>
      <c r="BG16">
        <v>0.7</v>
      </c>
      <c r="BH16" t="s">
        <v>86</v>
      </c>
      <c r="BI16">
        <v>0.71</v>
      </c>
      <c r="BJ16" t="s">
        <v>86</v>
      </c>
      <c r="BK16" s="2">
        <f t="shared" si="0"/>
        <v>-1.0000000000000009E-2</v>
      </c>
      <c r="BL16" t="b">
        <f t="shared" si="1"/>
        <v>1</v>
      </c>
    </row>
    <row r="17" spans="1:64" x14ac:dyDescent="0.35">
      <c r="A17" t="s">
        <v>112</v>
      </c>
      <c r="B17" t="s">
        <v>113</v>
      </c>
      <c r="C17">
        <v>2016</v>
      </c>
      <c r="D17" t="s">
        <v>114</v>
      </c>
      <c r="E17" t="s">
        <v>115</v>
      </c>
      <c r="F17" t="s">
        <v>66</v>
      </c>
      <c r="G17" t="s">
        <v>101</v>
      </c>
      <c r="H17" t="s">
        <v>102</v>
      </c>
      <c r="I17" t="s">
        <v>116</v>
      </c>
      <c r="J17" t="s">
        <v>70</v>
      </c>
      <c r="L17">
        <v>1</v>
      </c>
      <c r="M17" t="b">
        <v>0</v>
      </c>
      <c r="N17">
        <v>1</v>
      </c>
      <c r="O17">
        <v>1</v>
      </c>
      <c r="P17">
        <v>5</v>
      </c>
      <c r="Q17">
        <v>5</v>
      </c>
      <c r="R17">
        <v>0</v>
      </c>
      <c r="S17">
        <v>4</v>
      </c>
      <c r="T17">
        <v>20</v>
      </c>
      <c r="U17">
        <v>280</v>
      </c>
      <c r="V17">
        <v>70</v>
      </c>
      <c r="W17">
        <v>14</v>
      </c>
      <c r="X17">
        <v>5</v>
      </c>
      <c r="Y17">
        <v>3</v>
      </c>
      <c r="Z17">
        <v>23</v>
      </c>
      <c r="AA17">
        <v>0</v>
      </c>
      <c r="AB17">
        <v>0</v>
      </c>
      <c r="AC17">
        <v>3</v>
      </c>
      <c r="AD17">
        <v>3</v>
      </c>
      <c r="AE17">
        <v>87</v>
      </c>
      <c r="AF17">
        <v>0</v>
      </c>
      <c r="AG17">
        <v>0</v>
      </c>
      <c r="AH17">
        <v>1</v>
      </c>
      <c r="AI17">
        <v>8</v>
      </c>
      <c r="AJ17">
        <v>3</v>
      </c>
      <c r="AK17">
        <v>18</v>
      </c>
      <c r="AL17">
        <v>4</v>
      </c>
      <c r="AM17">
        <v>26</v>
      </c>
      <c r="AN17">
        <v>3</v>
      </c>
      <c r="AO17">
        <v>23</v>
      </c>
      <c r="AP17">
        <v>6</v>
      </c>
      <c r="AQ17">
        <v>110</v>
      </c>
      <c r="AR17">
        <v>8.2142857142857142E-2</v>
      </c>
      <c r="AS17">
        <v>0</v>
      </c>
      <c r="AT17">
        <v>0.31071428571428572</v>
      </c>
      <c r="AU17">
        <v>0</v>
      </c>
      <c r="AV17">
        <v>2.8571428571428571E-2</v>
      </c>
      <c r="AW17">
        <v>9.285714285714286E-2</v>
      </c>
      <c r="AX17">
        <v>8.2142857142857142E-2</v>
      </c>
      <c r="AY17">
        <v>0.39285714285714279</v>
      </c>
      <c r="AZ17">
        <v>-1.071428571428572E-2</v>
      </c>
      <c r="BA17">
        <v>0.5</v>
      </c>
      <c r="BB17">
        <v>0.66666666666666663</v>
      </c>
      <c r="BC17">
        <v>0.4</v>
      </c>
      <c r="BD17">
        <v>0.6183035714285714</v>
      </c>
      <c r="BE17">
        <v>4</v>
      </c>
      <c r="BF17">
        <v>0.54624255952380951</v>
      </c>
      <c r="BG17">
        <v>0.55000000000000004</v>
      </c>
      <c r="BH17" t="s">
        <v>71</v>
      </c>
      <c r="BI17">
        <v>0.55000000000000004</v>
      </c>
      <c r="BJ17" t="s">
        <v>71</v>
      </c>
      <c r="BK17" s="2">
        <f t="shared" si="0"/>
        <v>0</v>
      </c>
      <c r="BL17" t="b">
        <f t="shared" si="1"/>
        <v>1</v>
      </c>
    </row>
    <row r="18" spans="1:64" x14ac:dyDescent="0.35">
      <c r="A18" t="s">
        <v>117</v>
      </c>
      <c r="B18" t="s">
        <v>113</v>
      </c>
      <c r="C18">
        <v>2019</v>
      </c>
      <c r="D18" t="s">
        <v>114</v>
      </c>
      <c r="E18" t="s">
        <v>115</v>
      </c>
      <c r="F18" t="s">
        <v>66</v>
      </c>
      <c r="G18" t="s">
        <v>101</v>
      </c>
      <c r="H18" t="s">
        <v>102</v>
      </c>
      <c r="I18" t="s">
        <v>116</v>
      </c>
      <c r="J18" t="s">
        <v>70</v>
      </c>
      <c r="L18">
        <v>1</v>
      </c>
      <c r="M18" t="b">
        <v>0</v>
      </c>
      <c r="N18">
        <v>1</v>
      </c>
      <c r="O18">
        <v>2</v>
      </c>
      <c r="P18">
        <v>7</v>
      </c>
      <c r="Q18">
        <v>4</v>
      </c>
      <c r="R18">
        <v>3</v>
      </c>
      <c r="S18">
        <v>5</v>
      </c>
      <c r="T18">
        <v>22</v>
      </c>
      <c r="U18">
        <v>407</v>
      </c>
      <c r="V18">
        <v>90</v>
      </c>
      <c r="W18">
        <v>17</v>
      </c>
      <c r="X18">
        <v>5.2941176470588234</v>
      </c>
      <c r="Y18">
        <v>2</v>
      </c>
      <c r="Z18">
        <v>29</v>
      </c>
      <c r="AA18">
        <v>0</v>
      </c>
      <c r="AB18">
        <v>0</v>
      </c>
      <c r="AC18">
        <v>5</v>
      </c>
      <c r="AD18">
        <v>5</v>
      </c>
      <c r="AE18">
        <v>142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19</v>
      </c>
      <c r="AL18">
        <v>2</v>
      </c>
      <c r="AM18">
        <v>19</v>
      </c>
      <c r="AN18">
        <v>2</v>
      </c>
      <c r="AO18">
        <v>29</v>
      </c>
      <c r="AP18">
        <v>7</v>
      </c>
      <c r="AQ18">
        <v>171</v>
      </c>
      <c r="AR18">
        <v>7.125307125307126E-2</v>
      </c>
      <c r="AS18">
        <v>0</v>
      </c>
      <c r="AT18">
        <v>0.34889434889434889</v>
      </c>
      <c r="AU18">
        <v>0</v>
      </c>
      <c r="AV18">
        <v>0</v>
      </c>
      <c r="AW18">
        <v>4.6683046683046681E-2</v>
      </c>
      <c r="AX18">
        <v>7.125307125307126E-2</v>
      </c>
      <c r="AY18">
        <v>0.42014742014742013</v>
      </c>
      <c r="AZ18">
        <v>2.4570024570024579E-2</v>
      </c>
      <c r="BA18">
        <v>0.66666666666666663</v>
      </c>
      <c r="BB18">
        <v>0.71568627450980393</v>
      </c>
      <c r="BC18">
        <v>0.46666666666666667</v>
      </c>
      <c r="BD18">
        <v>0.64035626535626533</v>
      </c>
      <c r="BE18">
        <v>4</v>
      </c>
      <c r="BF18">
        <v>0.62234396829985061</v>
      </c>
      <c r="BG18">
        <v>0.62</v>
      </c>
      <c r="BH18" t="s">
        <v>86</v>
      </c>
      <c r="BI18">
        <v>0.62</v>
      </c>
      <c r="BJ18" t="s">
        <v>86</v>
      </c>
      <c r="BK18" s="2">
        <f t="shared" si="0"/>
        <v>0</v>
      </c>
      <c r="BL18" t="b">
        <f t="shared" si="1"/>
        <v>1</v>
      </c>
    </row>
    <row r="19" spans="1:64" x14ac:dyDescent="0.35">
      <c r="A19" t="s">
        <v>118</v>
      </c>
      <c r="B19" t="s">
        <v>113</v>
      </c>
      <c r="C19">
        <v>2022</v>
      </c>
      <c r="D19" t="s">
        <v>114</v>
      </c>
      <c r="E19" t="s">
        <v>115</v>
      </c>
      <c r="F19" t="s">
        <v>66</v>
      </c>
      <c r="G19" t="s">
        <v>101</v>
      </c>
      <c r="H19" t="s">
        <v>102</v>
      </c>
      <c r="I19" t="s">
        <v>116</v>
      </c>
      <c r="J19" t="s">
        <v>70</v>
      </c>
      <c r="L19">
        <v>1</v>
      </c>
      <c r="M19" t="b">
        <v>0</v>
      </c>
      <c r="N19">
        <v>4</v>
      </c>
      <c r="O19">
        <v>1</v>
      </c>
      <c r="P19">
        <v>3</v>
      </c>
      <c r="Q19">
        <v>3</v>
      </c>
      <c r="R19">
        <v>0</v>
      </c>
      <c r="S19">
        <v>3</v>
      </c>
      <c r="T19">
        <v>20</v>
      </c>
      <c r="U19">
        <v>212</v>
      </c>
      <c r="V19">
        <v>62</v>
      </c>
      <c r="W19">
        <v>14</v>
      </c>
      <c r="X19">
        <v>4.4285714285714288</v>
      </c>
      <c r="Y19">
        <v>3</v>
      </c>
      <c r="Z19">
        <v>35</v>
      </c>
      <c r="AA19">
        <v>0</v>
      </c>
      <c r="AB19">
        <v>0</v>
      </c>
      <c r="AC19">
        <v>3</v>
      </c>
      <c r="AD19">
        <v>2</v>
      </c>
      <c r="AE19">
        <v>36</v>
      </c>
      <c r="AF19">
        <v>1</v>
      </c>
      <c r="AG19">
        <v>14</v>
      </c>
      <c r="AH19">
        <v>2</v>
      </c>
      <c r="AI19">
        <v>12</v>
      </c>
      <c r="AJ19">
        <v>1</v>
      </c>
      <c r="AK19">
        <v>8</v>
      </c>
      <c r="AL19">
        <v>3</v>
      </c>
      <c r="AM19">
        <v>20</v>
      </c>
      <c r="AN19">
        <v>4</v>
      </c>
      <c r="AO19">
        <v>49</v>
      </c>
      <c r="AP19">
        <v>5</v>
      </c>
      <c r="AQ19">
        <v>71</v>
      </c>
      <c r="AR19">
        <v>0.1650943396226415</v>
      </c>
      <c r="AS19">
        <v>0</v>
      </c>
      <c r="AT19">
        <v>0.169811320754717</v>
      </c>
      <c r="AU19">
        <v>6.6037735849056603E-2</v>
      </c>
      <c r="AV19">
        <v>5.6603773584905662E-2</v>
      </c>
      <c r="AW19">
        <v>9.4339622641509441E-2</v>
      </c>
      <c r="AX19">
        <v>0.23113207547169809</v>
      </c>
      <c r="AY19">
        <v>0.33490566037735853</v>
      </c>
      <c r="AZ19">
        <v>0.1367924528301887</v>
      </c>
      <c r="BA19">
        <v>0.33333333333333331</v>
      </c>
      <c r="BB19">
        <v>0.57142857142857151</v>
      </c>
      <c r="BC19">
        <v>0.33333333333333331</v>
      </c>
      <c r="BD19">
        <v>0.71049528301886788</v>
      </c>
      <c r="BE19">
        <v>4</v>
      </c>
      <c r="BF19">
        <v>0.48714763027852648</v>
      </c>
      <c r="BG19">
        <v>0.49</v>
      </c>
      <c r="BH19" t="s">
        <v>71</v>
      </c>
      <c r="BI19">
        <v>0.49</v>
      </c>
      <c r="BJ19" t="s">
        <v>71</v>
      </c>
      <c r="BK19" s="2">
        <f t="shared" si="0"/>
        <v>0</v>
      </c>
      <c r="BL19" t="b">
        <f t="shared" si="1"/>
        <v>1</v>
      </c>
    </row>
    <row r="20" spans="1:64" x14ac:dyDescent="0.35">
      <c r="A20" t="s">
        <v>119</v>
      </c>
      <c r="B20" t="s">
        <v>120</v>
      </c>
      <c r="C20">
        <v>2017</v>
      </c>
      <c r="D20" t="s">
        <v>121</v>
      </c>
      <c r="E20" t="s">
        <v>122</v>
      </c>
      <c r="F20" t="s">
        <v>66</v>
      </c>
      <c r="G20" t="s">
        <v>101</v>
      </c>
      <c r="H20" t="s">
        <v>102</v>
      </c>
      <c r="I20" t="s">
        <v>123</v>
      </c>
      <c r="J20" t="s">
        <v>70</v>
      </c>
      <c r="L20">
        <v>1</v>
      </c>
      <c r="M20" t="b">
        <v>0</v>
      </c>
      <c r="N20">
        <v>1</v>
      </c>
      <c r="O20">
        <v>1</v>
      </c>
      <c r="P20">
        <v>4</v>
      </c>
      <c r="Q20">
        <v>2</v>
      </c>
      <c r="R20">
        <v>2</v>
      </c>
      <c r="S20">
        <v>4</v>
      </c>
      <c r="T20">
        <v>17</v>
      </c>
      <c r="U20">
        <v>125</v>
      </c>
      <c r="V20">
        <v>77</v>
      </c>
      <c r="W20">
        <v>15</v>
      </c>
      <c r="X20">
        <v>5.1333333333333337</v>
      </c>
      <c r="Y20">
        <v>2</v>
      </c>
      <c r="Z20">
        <v>19</v>
      </c>
      <c r="AA20">
        <v>0</v>
      </c>
      <c r="AB20">
        <v>0</v>
      </c>
      <c r="AC20">
        <v>1</v>
      </c>
      <c r="AD20">
        <v>1</v>
      </c>
      <c r="AE20">
        <v>18</v>
      </c>
      <c r="AF20">
        <v>1</v>
      </c>
      <c r="AG20">
        <v>9</v>
      </c>
      <c r="AH20">
        <v>0</v>
      </c>
      <c r="AI20">
        <v>0</v>
      </c>
      <c r="AJ20">
        <v>2</v>
      </c>
      <c r="AK20">
        <v>5</v>
      </c>
      <c r="AL20">
        <v>2</v>
      </c>
      <c r="AM20">
        <v>5</v>
      </c>
      <c r="AN20">
        <v>3</v>
      </c>
      <c r="AO20">
        <v>28</v>
      </c>
      <c r="AP20">
        <v>3</v>
      </c>
      <c r="AQ20">
        <v>37</v>
      </c>
      <c r="AR20">
        <v>0.152</v>
      </c>
      <c r="AS20">
        <v>0</v>
      </c>
      <c r="AT20">
        <v>0.14399999999999999</v>
      </c>
      <c r="AU20">
        <v>7.1999999999999995E-2</v>
      </c>
      <c r="AV20">
        <v>0</v>
      </c>
      <c r="AW20">
        <v>0.04</v>
      </c>
      <c r="AX20">
        <v>0.224</v>
      </c>
      <c r="AY20">
        <v>0.29599999999999999</v>
      </c>
      <c r="AZ20">
        <v>0.184</v>
      </c>
      <c r="BA20">
        <v>0.5</v>
      </c>
      <c r="BB20">
        <v>0.68888888888888899</v>
      </c>
      <c r="BC20">
        <v>0.2</v>
      </c>
      <c r="BD20">
        <v>0.73999999999999988</v>
      </c>
      <c r="BE20">
        <v>4</v>
      </c>
      <c r="BF20">
        <v>0.53222222222222226</v>
      </c>
      <c r="BG20">
        <v>0.53</v>
      </c>
      <c r="BH20" t="s">
        <v>71</v>
      </c>
      <c r="BI20">
        <v>0.53</v>
      </c>
      <c r="BJ20" t="s">
        <v>71</v>
      </c>
      <c r="BK20" s="2">
        <f t="shared" si="0"/>
        <v>0</v>
      </c>
      <c r="BL20" t="b">
        <f t="shared" si="1"/>
        <v>1</v>
      </c>
    </row>
    <row r="21" spans="1:64" x14ac:dyDescent="0.35">
      <c r="A21" t="s">
        <v>124</v>
      </c>
      <c r="B21" t="s">
        <v>120</v>
      </c>
      <c r="C21">
        <v>2022</v>
      </c>
      <c r="D21" t="s">
        <v>121</v>
      </c>
      <c r="E21" t="s">
        <v>122</v>
      </c>
      <c r="F21" t="s">
        <v>66</v>
      </c>
      <c r="G21" t="s">
        <v>101</v>
      </c>
      <c r="H21" t="s">
        <v>102</v>
      </c>
      <c r="I21" t="s">
        <v>123</v>
      </c>
      <c r="J21" t="s">
        <v>70</v>
      </c>
      <c r="L21">
        <v>1</v>
      </c>
      <c r="M21" t="b">
        <v>0</v>
      </c>
      <c r="N21">
        <v>4</v>
      </c>
      <c r="O21">
        <v>2</v>
      </c>
      <c r="P21">
        <v>2</v>
      </c>
      <c r="Q21">
        <v>3</v>
      </c>
      <c r="R21">
        <v>-1</v>
      </c>
      <c r="S21">
        <v>3</v>
      </c>
      <c r="T21">
        <v>13</v>
      </c>
      <c r="U21">
        <v>107</v>
      </c>
      <c r="V21">
        <v>37</v>
      </c>
      <c r="W21">
        <v>10</v>
      </c>
      <c r="X21">
        <v>3.7</v>
      </c>
      <c r="Y21">
        <v>1</v>
      </c>
      <c r="Z21">
        <v>10</v>
      </c>
      <c r="AA21">
        <v>0</v>
      </c>
      <c r="AB21">
        <v>0</v>
      </c>
      <c r="AC21">
        <v>2</v>
      </c>
      <c r="AD21">
        <v>2</v>
      </c>
      <c r="AE21">
        <v>24</v>
      </c>
      <c r="AF21">
        <v>0</v>
      </c>
      <c r="AG21">
        <v>0</v>
      </c>
      <c r="AH21">
        <v>1</v>
      </c>
      <c r="AI21">
        <v>8</v>
      </c>
      <c r="AJ21">
        <v>1</v>
      </c>
      <c r="AK21">
        <v>6</v>
      </c>
      <c r="AL21">
        <v>2</v>
      </c>
      <c r="AM21">
        <v>14</v>
      </c>
      <c r="AN21">
        <v>1</v>
      </c>
      <c r="AO21">
        <v>10</v>
      </c>
      <c r="AP21">
        <v>3</v>
      </c>
      <c r="AQ21">
        <v>34</v>
      </c>
      <c r="AR21">
        <v>9.3457943925233641E-2</v>
      </c>
      <c r="AS21">
        <v>0</v>
      </c>
      <c r="AT21">
        <v>0.22429906542056069</v>
      </c>
      <c r="AU21">
        <v>0</v>
      </c>
      <c r="AV21">
        <v>7.476635514018691E-2</v>
      </c>
      <c r="AW21">
        <v>0.13084112149532709</v>
      </c>
      <c r="AX21">
        <v>9.3457943925233641E-2</v>
      </c>
      <c r="AY21">
        <v>0.31775700934579437</v>
      </c>
      <c r="AZ21">
        <v>-3.7383177570093448E-2</v>
      </c>
      <c r="BA21">
        <v>0.33333333333333331</v>
      </c>
      <c r="BB21">
        <v>0.45</v>
      </c>
      <c r="BC21">
        <v>0.2</v>
      </c>
      <c r="BD21">
        <v>0.60163551401869153</v>
      </c>
      <c r="BE21">
        <v>4</v>
      </c>
      <c r="BF21">
        <v>0.39624221183800618</v>
      </c>
      <c r="BG21">
        <v>0.41</v>
      </c>
      <c r="BH21" t="s">
        <v>71</v>
      </c>
      <c r="BI21">
        <v>0.4</v>
      </c>
      <c r="BJ21" t="s">
        <v>71</v>
      </c>
      <c r="BK21" s="2">
        <f t="shared" si="0"/>
        <v>9.9999999999999534E-3</v>
      </c>
      <c r="BL21" t="b">
        <f t="shared" si="1"/>
        <v>1</v>
      </c>
    </row>
    <row r="22" spans="1:64" x14ac:dyDescent="0.35">
      <c r="A22" t="s">
        <v>125</v>
      </c>
      <c r="B22" t="s">
        <v>126</v>
      </c>
      <c r="C22">
        <v>2022</v>
      </c>
      <c r="D22" t="s">
        <v>127</v>
      </c>
      <c r="E22" t="s">
        <v>128</v>
      </c>
      <c r="F22" t="s">
        <v>66</v>
      </c>
      <c r="G22" t="s">
        <v>101</v>
      </c>
      <c r="H22" t="s">
        <v>129</v>
      </c>
      <c r="I22" t="s">
        <v>129</v>
      </c>
      <c r="J22" t="s">
        <v>70</v>
      </c>
      <c r="L22">
        <v>1</v>
      </c>
      <c r="M22" t="b">
        <v>0</v>
      </c>
      <c r="N22">
        <v>1</v>
      </c>
      <c r="O22">
        <v>2</v>
      </c>
      <c r="P22">
        <v>10</v>
      </c>
      <c r="Q22">
        <v>2</v>
      </c>
      <c r="R22">
        <v>8</v>
      </c>
      <c r="S22">
        <v>6</v>
      </c>
      <c r="T22">
        <v>30</v>
      </c>
      <c r="U22">
        <v>322</v>
      </c>
      <c r="V22">
        <v>106</v>
      </c>
      <c r="W22">
        <v>19</v>
      </c>
      <c r="X22">
        <v>5.5789473684210522</v>
      </c>
      <c r="Y22">
        <v>6</v>
      </c>
      <c r="Z22">
        <v>51</v>
      </c>
      <c r="AA22">
        <v>0</v>
      </c>
      <c r="AB22">
        <v>0</v>
      </c>
      <c r="AC22">
        <v>3</v>
      </c>
      <c r="AD22">
        <v>3</v>
      </c>
      <c r="AE22">
        <v>113</v>
      </c>
      <c r="AF22">
        <v>2</v>
      </c>
      <c r="AG22">
        <v>12</v>
      </c>
      <c r="AH22">
        <v>2</v>
      </c>
      <c r="AI22">
        <v>8</v>
      </c>
      <c r="AJ22">
        <v>1</v>
      </c>
      <c r="AK22">
        <v>1</v>
      </c>
      <c r="AL22">
        <v>3</v>
      </c>
      <c r="AM22">
        <v>9</v>
      </c>
      <c r="AN22">
        <v>8</v>
      </c>
      <c r="AO22">
        <v>63</v>
      </c>
      <c r="AP22">
        <v>9</v>
      </c>
      <c r="AQ22">
        <v>164</v>
      </c>
      <c r="AR22">
        <v>0.15838509316770191</v>
      </c>
      <c r="AS22">
        <v>0</v>
      </c>
      <c r="AT22">
        <v>0.35093167701863348</v>
      </c>
      <c r="AU22">
        <v>3.7267080745341623E-2</v>
      </c>
      <c r="AV22">
        <v>2.4844720496894412E-2</v>
      </c>
      <c r="AW22">
        <v>2.7950310559006208E-2</v>
      </c>
      <c r="AX22">
        <v>0.19565217391304349</v>
      </c>
      <c r="AY22">
        <v>0.50931677018633537</v>
      </c>
      <c r="AZ22">
        <v>0.16770186335403731</v>
      </c>
      <c r="BA22">
        <v>0.83333333333333337</v>
      </c>
      <c r="BB22">
        <v>0.76315789473684204</v>
      </c>
      <c r="BC22">
        <v>0.6</v>
      </c>
      <c r="BD22">
        <v>0.72981366459627328</v>
      </c>
      <c r="BE22">
        <v>4</v>
      </c>
      <c r="BF22">
        <v>0.73157622316661219</v>
      </c>
      <c r="BG22">
        <v>0.73</v>
      </c>
      <c r="BH22" t="s">
        <v>86</v>
      </c>
      <c r="BI22">
        <v>0.73</v>
      </c>
      <c r="BJ22" t="s">
        <v>86</v>
      </c>
      <c r="BK22" s="2">
        <f t="shared" si="0"/>
        <v>0</v>
      </c>
      <c r="BL22" t="b">
        <f t="shared" si="1"/>
        <v>1</v>
      </c>
    </row>
    <row r="23" spans="1:64" x14ac:dyDescent="0.35">
      <c r="A23" t="s">
        <v>130</v>
      </c>
      <c r="B23" t="s">
        <v>131</v>
      </c>
      <c r="C23">
        <v>2022</v>
      </c>
      <c r="D23" t="s">
        <v>132</v>
      </c>
      <c r="E23" t="s">
        <v>133</v>
      </c>
      <c r="F23" t="s">
        <v>66</v>
      </c>
      <c r="G23" t="s">
        <v>101</v>
      </c>
      <c r="H23" t="s">
        <v>129</v>
      </c>
      <c r="I23" t="s">
        <v>129</v>
      </c>
      <c r="J23" t="s">
        <v>70</v>
      </c>
      <c r="L23">
        <v>3</v>
      </c>
      <c r="M23" t="b">
        <v>0</v>
      </c>
      <c r="N23">
        <v>1</v>
      </c>
      <c r="O23">
        <v>1</v>
      </c>
      <c r="P23">
        <v>5</v>
      </c>
      <c r="Q23">
        <v>2</v>
      </c>
      <c r="R23">
        <v>3</v>
      </c>
      <c r="S23">
        <v>4</v>
      </c>
      <c r="T23">
        <v>24</v>
      </c>
      <c r="U23">
        <v>803</v>
      </c>
      <c r="V23">
        <v>103</v>
      </c>
      <c r="W23">
        <v>20</v>
      </c>
      <c r="X23">
        <v>5.15</v>
      </c>
      <c r="Y23">
        <v>3</v>
      </c>
      <c r="Z23">
        <v>61</v>
      </c>
      <c r="AA23">
        <v>0</v>
      </c>
      <c r="AB23">
        <v>0</v>
      </c>
      <c r="AC23">
        <v>1</v>
      </c>
      <c r="AD23">
        <v>1</v>
      </c>
      <c r="AE23">
        <v>521</v>
      </c>
      <c r="AF23">
        <v>1</v>
      </c>
      <c r="AG23">
        <v>71</v>
      </c>
      <c r="AH23">
        <v>0</v>
      </c>
      <c r="AI23">
        <v>0</v>
      </c>
      <c r="AJ23">
        <v>1</v>
      </c>
      <c r="AK23">
        <v>3</v>
      </c>
      <c r="AL23">
        <v>1</v>
      </c>
      <c r="AM23">
        <v>3</v>
      </c>
      <c r="AN23">
        <v>4</v>
      </c>
      <c r="AO23">
        <v>132</v>
      </c>
      <c r="AP23">
        <v>4</v>
      </c>
      <c r="AQ23">
        <v>582</v>
      </c>
      <c r="AR23">
        <v>7.5965130759651306E-2</v>
      </c>
      <c r="AS23">
        <v>0</v>
      </c>
      <c r="AT23">
        <v>0.6488169364881694</v>
      </c>
      <c r="AU23">
        <v>8.8418430884184315E-2</v>
      </c>
      <c r="AV23">
        <v>0</v>
      </c>
      <c r="AW23">
        <v>3.735990037359901E-3</v>
      </c>
      <c r="AX23">
        <v>0.16438356164383561</v>
      </c>
      <c r="AY23">
        <v>0.72478206724782068</v>
      </c>
      <c r="AZ23">
        <v>0.16064757160647569</v>
      </c>
      <c r="BA23">
        <v>0.5</v>
      </c>
      <c r="BB23">
        <v>0.69166666666666676</v>
      </c>
      <c r="BC23">
        <v>0.26666666666666672</v>
      </c>
      <c r="BD23">
        <v>0.72540473225404722</v>
      </c>
      <c r="BE23">
        <v>4</v>
      </c>
      <c r="BF23">
        <v>0.5459345163968452</v>
      </c>
      <c r="BG23">
        <v>0.54</v>
      </c>
      <c r="BH23" t="s">
        <v>71</v>
      </c>
      <c r="BI23">
        <v>0.55000000000000004</v>
      </c>
      <c r="BJ23" t="s">
        <v>71</v>
      </c>
      <c r="BK23" s="2">
        <f t="shared" si="0"/>
        <v>-1.0000000000000009E-2</v>
      </c>
      <c r="BL23" t="b">
        <f t="shared" si="1"/>
        <v>1</v>
      </c>
    </row>
    <row r="24" spans="1:64" x14ac:dyDescent="0.35">
      <c r="A24" t="s">
        <v>134</v>
      </c>
      <c r="B24" t="s">
        <v>135</v>
      </c>
      <c r="C24">
        <v>2019</v>
      </c>
      <c r="D24" t="s">
        <v>136</v>
      </c>
      <c r="E24" t="s">
        <v>137</v>
      </c>
      <c r="F24" t="s">
        <v>66</v>
      </c>
      <c r="G24" t="s">
        <v>67</v>
      </c>
      <c r="H24" t="s">
        <v>138</v>
      </c>
      <c r="I24" t="s">
        <v>139</v>
      </c>
      <c r="J24" t="s">
        <v>70</v>
      </c>
      <c r="L24">
        <v>3</v>
      </c>
      <c r="M24" t="b">
        <v>0</v>
      </c>
      <c r="N24">
        <v>3</v>
      </c>
      <c r="O24">
        <v>3</v>
      </c>
      <c r="P24">
        <v>5</v>
      </c>
      <c r="Q24">
        <v>4</v>
      </c>
      <c r="R24">
        <v>1</v>
      </c>
      <c r="S24">
        <v>4</v>
      </c>
      <c r="T24">
        <v>21</v>
      </c>
      <c r="U24">
        <v>734</v>
      </c>
      <c r="V24">
        <v>98</v>
      </c>
      <c r="W24">
        <v>20</v>
      </c>
      <c r="X24">
        <v>4.9000000000000004</v>
      </c>
      <c r="Y24">
        <v>3</v>
      </c>
      <c r="Z24">
        <v>164</v>
      </c>
      <c r="AA24">
        <v>0</v>
      </c>
      <c r="AB24">
        <v>0</v>
      </c>
      <c r="AC24">
        <v>1</v>
      </c>
      <c r="AD24">
        <v>1</v>
      </c>
      <c r="AE24">
        <v>48</v>
      </c>
      <c r="AF24">
        <v>0</v>
      </c>
      <c r="AG24">
        <v>0</v>
      </c>
      <c r="AH24">
        <v>2</v>
      </c>
      <c r="AI24">
        <v>298</v>
      </c>
      <c r="AJ24">
        <v>1</v>
      </c>
      <c r="AK24">
        <v>17</v>
      </c>
      <c r="AL24">
        <v>3</v>
      </c>
      <c r="AM24">
        <v>315</v>
      </c>
      <c r="AN24">
        <v>3</v>
      </c>
      <c r="AO24">
        <v>164</v>
      </c>
      <c r="AP24">
        <v>4</v>
      </c>
      <c r="AQ24">
        <v>212</v>
      </c>
      <c r="AR24">
        <v>0.22343324250681201</v>
      </c>
      <c r="AS24">
        <v>0</v>
      </c>
      <c r="AT24">
        <v>6.5395095367847406E-2</v>
      </c>
      <c r="AU24">
        <v>0</v>
      </c>
      <c r="AV24">
        <v>0.40599455040871929</v>
      </c>
      <c r="AW24">
        <v>0.42915531335149859</v>
      </c>
      <c r="AX24">
        <v>0.22343324250681201</v>
      </c>
      <c r="AY24">
        <v>0.28882833787465939</v>
      </c>
      <c r="AZ24">
        <v>-0.20572207084468669</v>
      </c>
      <c r="BA24">
        <v>0.5</v>
      </c>
      <c r="BB24">
        <v>0.65</v>
      </c>
      <c r="BC24">
        <v>0.26666666666666672</v>
      </c>
      <c r="BD24">
        <v>0.49642370572207078</v>
      </c>
      <c r="BE24">
        <v>4</v>
      </c>
      <c r="BF24">
        <v>0.4782725930971844</v>
      </c>
      <c r="BG24">
        <v>0.54</v>
      </c>
      <c r="BH24" t="s">
        <v>71</v>
      </c>
      <c r="BI24">
        <v>0.48</v>
      </c>
      <c r="BJ24" t="s">
        <v>71</v>
      </c>
      <c r="BK24" s="2">
        <f t="shared" si="0"/>
        <v>6.0000000000000053E-2</v>
      </c>
      <c r="BL24" t="b">
        <f t="shared" si="1"/>
        <v>1</v>
      </c>
    </row>
    <row r="25" spans="1:64" x14ac:dyDescent="0.35">
      <c r="A25" t="s">
        <v>140</v>
      </c>
      <c r="B25" t="s">
        <v>141</v>
      </c>
      <c r="C25">
        <v>2019</v>
      </c>
      <c r="D25" t="s">
        <v>142</v>
      </c>
      <c r="E25" t="s">
        <v>143</v>
      </c>
      <c r="F25" t="s">
        <v>66</v>
      </c>
      <c r="G25" t="s">
        <v>144</v>
      </c>
      <c r="H25" t="s">
        <v>144</v>
      </c>
      <c r="I25" t="s">
        <v>145</v>
      </c>
      <c r="J25" t="s">
        <v>70</v>
      </c>
      <c r="L25">
        <v>3</v>
      </c>
      <c r="M25" t="b">
        <v>0</v>
      </c>
      <c r="N25">
        <v>1</v>
      </c>
      <c r="O25">
        <v>1</v>
      </c>
      <c r="P25">
        <v>6</v>
      </c>
      <c r="Q25">
        <v>1</v>
      </c>
      <c r="R25">
        <v>5</v>
      </c>
      <c r="S25">
        <v>5</v>
      </c>
      <c r="T25">
        <v>18</v>
      </c>
      <c r="U25">
        <v>292</v>
      </c>
      <c r="V25">
        <v>79</v>
      </c>
      <c r="W25">
        <v>16</v>
      </c>
      <c r="X25">
        <v>4.9375</v>
      </c>
      <c r="Y25">
        <v>4</v>
      </c>
      <c r="Z25">
        <v>37</v>
      </c>
      <c r="AA25">
        <v>1</v>
      </c>
      <c r="AB25">
        <v>2</v>
      </c>
      <c r="AC25">
        <v>2</v>
      </c>
      <c r="AD25">
        <v>2</v>
      </c>
      <c r="AE25">
        <v>121</v>
      </c>
      <c r="AF25">
        <v>1</v>
      </c>
      <c r="AG25">
        <v>1</v>
      </c>
      <c r="AH25">
        <v>0</v>
      </c>
      <c r="AI25">
        <v>0</v>
      </c>
      <c r="AJ25">
        <v>2</v>
      </c>
      <c r="AK25">
        <v>2</v>
      </c>
      <c r="AL25">
        <v>2</v>
      </c>
      <c r="AM25">
        <v>2</v>
      </c>
      <c r="AN25">
        <v>6</v>
      </c>
      <c r="AO25">
        <v>40</v>
      </c>
      <c r="AP25">
        <v>7</v>
      </c>
      <c r="AQ25">
        <v>160</v>
      </c>
      <c r="AR25">
        <v>0.12671232876712329</v>
      </c>
      <c r="AS25">
        <v>6.8493150684931503E-3</v>
      </c>
      <c r="AT25">
        <v>0.41438356164383561</v>
      </c>
      <c r="AU25">
        <v>3.4246575342465752E-3</v>
      </c>
      <c r="AV25">
        <v>0</v>
      </c>
      <c r="AW25">
        <v>6.8493150684931503E-3</v>
      </c>
      <c r="AX25">
        <v>0.13698630136986301</v>
      </c>
      <c r="AY25">
        <v>0.54794520547945202</v>
      </c>
      <c r="AZ25">
        <v>0.13013698630136991</v>
      </c>
      <c r="BA25">
        <v>0.66666666666666663</v>
      </c>
      <c r="BB25">
        <v>0.65625</v>
      </c>
      <c r="BC25">
        <v>0.46666666666666667</v>
      </c>
      <c r="BD25">
        <v>0.70633561643835618</v>
      </c>
      <c r="BE25">
        <v>4</v>
      </c>
      <c r="BF25">
        <v>0.62397973744292234</v>
      </c>
      <c r="BG25">
        <v>0.62</v>
      </c>
      <c r="BH25" t="s">
        <v>86</v>
      </c>
      <c r="BI25">
        <v>0.62</v>
      </c>
      <c r="BJ25" t="s">
        <v>86</v>
      </c>
      <c r="BK25" s="2">
        <f t="shared" si="0"/>
        <v>0</v>
      </c>
      <c r="BL25" t="b">
        <f t="shared" si="1"/>
        <v>1</v>
      </c>
    </row>
    <row r="26" spans="1:64" x14ac:dyDescent="0.35">
      <c r="A26" t="s">
        <v>146</v>
      </c>
      <c r="B26" t="s">
        <v>147</v>
      </c>
      <c r="C26">
        <v>2016</v>
      </c>
      <c r="D26" t="s">
        <v>148</v>
      </c>
      <c r="E26" t="s">
        <v>149</v>
      </c>
      <c r="F26" t="s">
        <v>66</v>
      </c>
      <c r="G26" t="s">
        <v>101</v>
      </c>
      <c r="H26" t="s">
        <v>150</v>
      </c>
      <c r="I26" t="s">
        <v>78</v>
      </c>
      <c r="J26" t="s">
        <v>70</v>
      </c>
      <c r="L26">
        <v>2</v>
      </c>
      <c r="M26" t="b">
        <v>0</v>
      </c>
      <c r="N26">
        <v>1</v>
      </c>
      <c r="O26">
        <v>1</v>
      </c>
      <c r="P26">
        <v>4</v>
      </c>
      <c r="Q26">
        <v>4</v>
      </c>
      <c r="R26">
        <v>0</v>
      </c>
      <c r="S26">
        <v>4</v>
      </c>
      <c r="T26">
        <v>36</v>
      </c>
      <c r="U26">
        <v>1542</v>
      </c>
      <c r="V26">
        <v>112</v>
      </c>
      <c r="W26">
        <v>22</v>
      </c>
      <c r="X26">
        <v>5.0909090909090908</v>
      </c>
      <c r="Y26">
        <v>6</v>
      </c>
      <c r="Z26">
        <v>673</v>
      </c>
      <c r="AA26">
        <v>0</v>
      </c>
      <c r="AB26">
        <v>0</v>
      </c>
      <c r="AC26">
        <v>4</v>
      </c>
      <c r="AD26">
        <v>4</v>
      </c>
      <c r="AE26">
        <v>78</v>
      </c>
      <c r="AF26">
        <v>2</v>
      </c>
      <c r="AG26">
        <v>30</v>
      </c>
      <c r="AH26">
        <v>1</v>
      </c>
      <c r="AI26">
        <v>49</v>
      </c>
      <c r="AJ26">
        <v>1</v>
      </c>
      <c r="AK26">
        <v>65</v>
      </c>
      <c r="AL26">
        <v>3</v>
      </c>
      <c r="AM26">
        <v>122</v>
      </c>
      <c r="AN26">
        <v>8</v>
      </c>
      <c r="AO26">
        <v>703</v>
      </c>
      <c r="AP26">
        <v>10</v>
      </c>
      <c r="AQ26">
        <v>751</v>
      </c>
      <c r="AR26">
        <v>0.43644617380025941</v>
      </c>
      <c r="AS26">
        <v>0</v>
      </c>
      <c r="AT26">
        <v>5.0583657587548639E-2</v>
      </c>
      <c r="AU26">
        <v>1.9455252918287941E-2</v>
      </c>
      <c r="AV26">
        <v>3.1776913099870303E-2</v>
      </c>
      <c r="AW26">
        <v>7.9118028534370943E-2</v>
      </c>
      <c r="AX26">
        <v>0.45590142671854728</v>
      </c>
      <c r="AY26">
        <v>0.48702983138780798</v>
      </c>
      <c r="AZ26">
        <v>0.37678339818417639</v>
      </c>
      <c r="BA26">
        <v>0.5</v>
      </c>
      <c r="BB26">
        <v>0.68181818181818177</v>
      </c>
      <c r="BC26">
        <v>0.66666666666666663</v>
      </c>
      <c r="BD26">
        <v>0.86048962386511019</v>
      </c>
      <c r="BE26">
        <v>4</v>
      </c>
      <c r="BF26">
        <v>0.67724361808748967</v>
      </c>
      <c r="BG26">
        <v>0.64</v>
      </c>
      <c r="BH26" t="s">
        <v>86</v>
      </c>
      <c r="BI26">
        <v>0.68</v>
      </c>
      <c r="BJ26" t="s">
        <v>86</v>
      </c>
      <c r="BK26" s="2">
        <f t="shared" si="0"/>
        <v>-4.0000000000000036E-2</v>
      </c>
      <c r="BL26" t="b">
        <f t="shared" si="1"/>
        <v>1</v>
      </c>
    </row>
    <row r="27" spans="1:64" x14ac:dyDescent="0.35">
      <c r="A27" t="s">
        <v>151</v>
      </c>
      <c r="B27" t="s">
        <v>147</v>
      </c>
      <c r="C27">
        <v>2019</v>
      </c>
      <c r="D27" t="s">
        <v>148</v>
      </c>
      <c r="E27" t="s">
        <v>149</v>
      </c>
      <c r="F27" t="s">
        <v>66</v>
      </c>
      <c r="G27" t="s">
        <v>101</v>
      </c>
      <c r="H27" t="s">
        <v>150</v>
      </c>
      <c r="I27" t="s">
        <v>78</v>
      </c>
      <c r="J27" t="s">
        <v>70</v>
      </c>
      <c r="L27">
        <v>2</v>
      </c>
      <c r="M27" t="b">
        <v>0</v>
      </c>
      <c r="N27">
        <v>3</v>
      </c>
      <c r="O27">
        <v>1</v>
      </c>
      <c r="P27">
        <v>1</v>
      </c>
      <c r="Q27">
        <v>2</v>
      </c>
      <c r="R27">
        <v>-1</v>
      </c>
      <c r="S27">
        <v>4</v>
      </c>
      <c r="T27">
        <v>13</v>
      </c>
      <c r="U27">
        <v>116</v>
      </c>
      <c r="V27">
        <v>41</v>
      </c>
      <c r="W27">
        <v>10</v>
      </c>
      <c r="X27">
        <v>4.0999999999999996</v>
      </c>
      <c r="Y27">
        <v>2</v>
      </c>
      <c r="Z27">
        <v>9</v>
      </c>
      <c r="AA27">
        <v>0</v>
      </c>
      <c r="AB27">
        <v>0</v>
      </c>
      <c r="AC27">
        <v>1</v>
      </c>
      <c r="AD27">
        <v>1</v>
      </c>
      <c r="AE27">
        <v>24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3</v>
      </c>
      <c r="AL27">
        <v>1</v>
      </c>
      <c r="AM27">
        <v>3</v>
      </c>
      <c r="AN27">
        <v>2</v>
      </c>
      <c r="AO27">
        <v>9</v>
      </c>
      <c r="AP27">
        <v>3</v>
      </c>
      <c r="AQ27">
        <v>33</v>
      </c>
      <c r="AR27">
        <v>7.7586206896551727E-2</v>
      </c>
      <c r="AS27">
        <v>0</v>
      </c>
      <c r="AT27">
        <v>0.2068965517241379</v>
      </c>
      <c r="AU27">
        <v>0</v>
      </c>
      <c r="AV27">
        <v>0</v>
      </c>
      <c r="AW27">
        <v>2.5862068965517241E-2</v>
      </c>
      <c r="AX27">
        <v>7.7586206896551727E-2</v>
      </c>
      <c r="AY27">
        <v>0.28448275862068972</v>
      </c>
      <c r="AZ27">
        <v>5.1724137931034489E-2</v>
      </c>
      <c r="BA27">
        <v>0.5</v>
      </c>
      <c r="BB27">
        <v>0.51666666666666661</v>
      </c>
      <c r="BC27">
        <v>0.2</v>
      </c>
      <c r="BD27">
        <v>0.65732758620689646</v>
      </c>
      <c r="BE27">
        <v>4</v>
      </c>
      <c r="BF27">
        <v>0.46849856321839078</v>
      </c>
      <c r="BG27">
        <v>0.47</v>
      </c>
      <c r="BH27" t="s">
        <v>71</v>
      </c>
      <c r="BI27">
        <v>0.47</v>
      </c>
      <c r="BJ27" t="s">
        <v>71</v>
      </c>
      <c r="BK27" s="2">
        <f t="shared" si="0"/>
        <v>0</v>
      </c>
      <c r="BL27" t="b">
        <f t="shared" si="1"/>
        <v>1</v>
      </c>
    </row>
    <row r="28" spans="1:64" x14ac:dyDescent="0.35">
      <c r="A28" t="s">
        <v>152</v>
      </c>
      <c r="B28" t="s">
        <v>147</v>
      </c>
      <c r="C28">
        <v>2022</v>
      </c>
      <c r="D28" t="s">
        <v>148</v>
      </c>
      <c r="E28" t="s">
        <v>149</v>
      </c>
      <c r="F28" t="s">
        <v>66</v>
      </c>
      <c r="G28" t="s">
        <v>101</v>
      </c>
      <c r="H28" t="s">
        <v>150</v>
      </c>
      <c r="I28" t="s">
        <v>78</v>
      </c>
      <c r="J28" t="s">
        <v>70</v>
      </c>
      <c r="L28">
        <v>2</v>
      </c>
      <c r="M28" t="b">
        <v>0</v>
      </c>
      <c r="N28">
        <v>1</v>
      </c>
      <c r="O28">
        <v>1</v>
      </c>
      <c r="P28">
        <v>6</v>
      </c>
      <c r="Q28">
        <v>2</v>
      </c>
      <c r="R28">
        <v>4</v>
      </c>
      <c r="S28">
        <v>5</v>
      </c>
      <c r="T28">
        <v>31</v>
      </c>
      <c r="U28">
        <v>489</v>
      </c>
      <c r="V28">
        <v>108</v>
      </c>
      <c r="W28">
        <v>20</v>
      </c>
      <c r="X28">
        <v>5.4</v>
      </c>
      <c r="Y28">
        <v>8</v>
      </c>
      <c r="Z28">
        <v>198</v>
      </c>
      <c r="AA28">
        <v>0</v>
      </c>
      <c r="AB28">
        <v>0</v>
      </c>
      <c r="AC28">
        <v>4</v>
      </c>
      <c r="AD28">
        <v>4</v>
      </c>
      <c r="AE28">
        <v>35</v>
      </c>
      <c r="AF28">
        <v>1</v>
      </c>
      <c r="AG28">
        <v>62</v>
      </c>
      <c r="AH28">
        <v>1</v>
      </c>
      <c r="AI28">
        <v>15</v>
      </c>
      <c r="AJ28">
        <v>2</v>
      </c>
      <c r="AK28">
        <v>4</v>
      </c>
      <c r="AL28">
        <v>3</v>
      </c>
      <c r="AM28">
        <v>19</v>
      </c>
      <c r="AN28">
        <v>9</v>
      </c>
      <c r="AO28">
        <v>260</v>
      </c>
      <c r="AP28">
        <v>12</v>
      </c>
      <c r="AQ28">
        <v>233</v>
      </c>
      <c r="AR28">
        <v>0.40490797546012269</v>
      </c>
      <c r="AS28">
        <v>0</v>
      </c>
      <c r="AT28">
        <v>7.1574642126789365E-2</v>
      </c>
      <c r="AU28">
        <v>0.12678936605316971</v>
      </c>
      <c r="AV28">
        <v>3.0674846625766871E-2</v>
      </c>
      <c r="AW28">
        <v>3.8854805725971372E-2</v>
      </c>
      <c r="AX28">
        <v>0.5316973415132924</v>
      </c>
      <c r="AY28">
        <v>0.47648261758691213</v>
      </c>
      <c r="AZ28">
        <v>0.49284253578732101</v>
      </c>
      <c r="BA28">
        <v>0.66666666666666663</v>
      </c>
      <c r="BB28">
        <v>0.73333333333333339</v>
      </c>
      <c r="BC28">
        <v>0.8</v>
      </c>
      <c r="BD28">
        <v>0.93302658486707557</v>
      </c>
      <c r="BE28">
        <v>4</v>
      </c>
      <c r="BF28">
        <v>0.78325664621676894</v>
      </c>
      <c r="BG28">
        <v>0.74</v>
      </c>
      <c r="BH28" t="s">
        <v>86</v>
      </c>
      <c r="BI28">
        <v>0.78</v>
      </c>
      <c r="BJ28" t="s">
        <v>86</v>
      </c>
      <c r="BK28" s="2">
        <f t="shared" si="0"/>
        <v>-4.0000000000000036E-2</v>
      </c>
      <c r="BL28" t="b">
        <f t="shared" si="1"/>
        <v>1</v>
      </c>
    </row>
    <row r="29" spans="1:64" x14ac:dyDescent="0.35">
      <c r="A29" t="s">
        <v>153</v>
      </c>
      <c r="B29" t="s">
        <v>154</v>
      </c>
      <c r="C29">
        <v>2019</v>
      </c>
      <c r="D29" t="s">
        <v>155</v>
      </c>
      <c r="E29" t="s">
        <v>156</v>
      </c>
      <c r="F29" t="s">
        <v>66</v>
      </c>
      <c r="G29" t="s">
        <v>144</v>
      </c>
      <c r="H29" t="s">
        <v>144</v>
      </c>
      <c r="I29" t="s">
        <v>157</v>
      </c>
      <c r="J29" t="s">
        <v>70</v>
      </c>
      <c r="L29">
        <v>2</v>
      </c>
      <c r="M29" t="b">
        <v>0</v>
      </c>
      <c r="N29">
        <v>1</v>
      </c>
      <c r="O29">
        <v>2</v>
      </c>
      <c r="P29">
        <v>8</v>
      </c>
      <c r="Q29">
        <v>5</v>
      </c>
      <c r="R29">
        <v>3</v>
      </c>
      <c r="S29">
        <v>5</v>
      </c>
      <c r="T29">
        <v>26</v>
      </c>
      <c r="U29">
        <v>258</v>
      </c>
      <c r="V29">
        <v>107</v>
      </c>
      <c r="W29">
        <v>20</v>
      </c>
      <c r="X29">
        <v>5.35</v>
      </c>
      <c r="Y29">
        <v>4</v>
      </c>
      <c r="Z29">
        <v>98</v>
      </c>
      <c r="AA29">
        <v>0</v>
      </c>
      <c r="AB29">
        <v>0</v>
      </c>
      <c r="AC29">
        <v>3</v>
      </c>
      <c r="AD29">
        <v>3</v>
      </c>
      <c r="AE29">
        <v>18</v>
      </c>
      <c r="AF29">
        <v>0</v>
      </c>
      <c r="AG29">
        <v>0</v>
      </c>
      <c r="AH29">
        <v>1</v>
      </c>
      <c r="AI29">
        <v>22</v>
      </c>
      <c r="AJ29">
        <v>3</v>
      </c>
      <c r="AK29">
        <v>13</v>
      </c>
      <c r="AL29">
        <v>4</v>
      </c>
      <c r="AM29">
        <v>35</v>
      </c>
      <c r="AN29">
        <v>4</v>
      </c>
      <c r="AO29">
        <v>98</v>
      </c>
      <c r="AP29">
        <v>7</v>
      </c>
      <c r="AQ29">
        <v>116</v>
      </c>
      <c r="AR29">
        <v>0.37984496124031009</v>
      </c>
      <c r="AS29">
        <v>0</v>
      </c>
      <c r="AT29">
        <v>6.9767441860465115E-2</v>
      </c>
      <c r="AU29">
        <v>0</v>
      </c>
      <c r="AV29">
        <v>8.5271317829457363E-2</v>
      </c>
      <c r="AW29">
        <v>0.13565891472868219</v>
      </c>
      <c r="AX29">
        <v>0.37984496124031009</v>
      </c>
      <c r="AY29">
        <v>0.44961240310077522</v>
      </c>
      <c r="AZ29">
        <v>0.2441860465116279</v>
      </c>
      <c r="BA29">
        <v>0.66666666666666663</v>
      </c>
      <c r="BB29">
        <v>0.72499999999999998</v>
      </c>
      <c r="BC29">
        <v>0.46666666666666667</v>
      </c>
      <c r="BD29">
        <v>0.77761627906976738</v>
      </c>
      <c r="BE29">
        <v>4</v>
      </c>
      <c r="BF29">
        <v>0.65898740310077519</v>
      </c>
      <c r="BG29">
        <v>0.67</v>
      </c>
      <c r="BH29" t="s">
        <v>86</v>
      </c>
      <c r="BI29">
        <v>0.66</v>
      </c>
      <c r="BJ29" t="s">
        <v>86</v>
      </c>
      <c r="BK29" s="2">
        <f t="shared" si="0"/>
        <v>1.0000000000000009E-2</v>
      </c>
      <c r="BL29" t="b">
        <f t="shared" si="1"/>
        <v>1</v>
      </c>
    </row>
    <row r="30" spans="1:64" x14ac:dyDescent="0.35">
      <c r="A30" t="s">
        <v>158</v>
      </c>
      <c r="B30" t="s">
        <v>159</v>
      </c>
      <c r="C30">
        <v>2015</v>
      </c>
      <c r="D30" t="s">
        <v>160</v>
      </c>
      <c r="E30" t="s">
        <v>161</v>
      </c>
      <c r="F30" t="s">
        <v>66</v>
      </c>
      <c r="G30" t="s">
        <v>101</v>
      </c>
      <c r="H30" t="s">
        <v>162</v>
      </c>
      <c r="I30" t="s">
        <v>163</v>
      </c>
      <c r="J30" t="s">
        <v>70</v>
      </c>
      <c r="L30">
        <v>3</v>
      </c>
      <c r="M30" t="b">
        <v>0</v>
      </c>
      <c r="N30">
        <v>1</v>
      </c>
      <c r="O30">
        <v>3</v>
      </c>
      <c r="P30">
        <v>13</v>
      </c>
      <c r="Q30">
        <v>7</v>
      </c>
      <c r="R30">
        <v>6</v>
      </c>
      <c r="S30">
        <v>6</v>
      </c>
      <c r="T30">
        <v>44</v>
      </c>
      <c r="U30">
        <v>325</v>
      </c>
      <c r="V30">
        <v>177</v>
      </c>
      <c r="W30">
        <v>28</v>
      </c>
      <c r="X30">
        <v>6.3214285714285712</v>
      </c>
      <c r="Y30">
        <v>7</v>
      </c>
      <c r="Z30">
        <v>29</v>
      </c>
      <c r="AA30">
        <v>2</v>
      </c>
      <c r="AB30">
        <v>6</v>
      </c>
      <c r="AC30">
        <v>7</v>
      </c>
      <c r="AD30">
        <v>7</v>
      </c>
      <c r="AE30">
        <v>110</v>
      </c>
      <c r="AF30">
        <v>1</v>
      </c>
      <c r="AG30">
        <v>3</v>
      </c>
      <c r="AH30">
        <v>1</v>
      </c>
      <c r="AI30">
        <v>4</v>
      </c>
      <c r="AJ30">
        <v>3</v>
      </c>
      <c r="AK30">
        <v>22</v>
      </c>
      <c r="AL30">
        <v>4</v>
      </c>
      <c r="AM30">
        <v>26</v>
      </c>
      <c r="AN30">
        <v>10</v>
      </c>
      <c r="AO30">
        <v>38</v>
      </c>
      <c r="AP30">
        <v>16</v>
      </c>
      <c r="AQ30">
        <v>145</v>
      </c>
      <c r="AR30">
        <v>8.9230769230769225E-2</v>
      </c>
      <c r="AS30">
        <v>1.846153846153846E-2</v>
      </c>
      <c r="AT30">
        <v>0.33846153846153848</v>
      </c>
      <c r="AU30">
        <v>9.2307692307692316E-3</v>
      </c>
      <c r="AV30">
        <v>1.2307692307692309E-2</v>
      </c>
      <c r="AW30">
        <v>0.08</v>
      </c>
      <c r="AX30">
        <v>0.11692307692307689</v>
      </c>
      <c r="AY30">
        <v>0.44615384615384618</v>
      </c>
      <c r="AZ30">
        <v>3.692307692307692E-2</v>
      </c>
      <c r="BA30">
        <v>0.83333333333333337</v>
      </c>
      <c r="BB30">
        <v>0.88690476190476186</v>
      </c>
      <c r="BC30">
        <v>1.0666666666666671</v>
      </c>
      <c r="BD30">
        <v>0.64807692307692299</v>
      </c>
      <c r="BE30">
        <v>4</v>
      </c>
      <c r="BF30">
        <v>0.85874542124542119</v>
      </c>
      <c r="BG30">
        <v>0.88</v>
      </c>
      <c r="BH30" t="s">
        <v>164</v>
      </c>
      <c r="BI30">
        <v>0.86</v>
      </c>
      <c r="BJ30" t="s">
        <v>164</v>
      </c>
      <c r="BK30" s="2">
        <f t="shared" si="0"/>
        <v>2.0000000000000018E-2</v>
      </c>
      <c r="BL30" t="b">
        <f t="shared" si="1"/>
        <v>1</v>
      </c>
    </row>
    <row r="31" spans="1:64" x14ac:dyDescent="0.35">
      <c r="A31" t="s">
        <v>165</v>
      </c>
      <c r="B31" t="s">
        <v>159</v>
      </c>
      <c r="C31">
        <v>2019</v>
      </c>
      <c r="D31" t="s">
        <v>160</v>
      </c>
      <c r="E31" t="s">
        <v>161</v>
      </c>
      <c r="F31" t="s">
        <v>66</v>
      </c>
      <c r="G31" t="s">
        <v>101</v>
      </c>
      <c r="H31" t="s">
        <v>162</v>
      </c>
      <c r="I31" t="s">
        <v>163</v>
      </c>
      <c r="J31" t="s">
        <v>70</v>
      </c>
      <c r="L31">
        <v>3</v>
      </c>
      <c r="M31" t="b">
        <v>0</v>
      </c>
      <c r="N31">
        <v>1</v>
      </c>
      <c r="O31">
        <v>1</v>
      </c>
      <c r="P31">
        <v>9</v>
      </c>
      <c r="Q31">
        <v>4</v>
      </c>
      <c r="R31">
        <v>5</v>
      </c>
      <c r="S31">
        <v>5</v>
      </c>
      <c r="T31">
        <v>32</v>
      </c>
      <c r="U31">
        <v>1311</v>
      </c>
      <c r="V31">
        <v>147</v>
      </c>
      <c r="W31">
        <v>26</v>
      </c>
      <c r="X31">
        <v>5.6538461538461542</v>
      </c>
      <c r="Y31">
        <v>2</v>
      </c>
      <c r="Z31">
        <v>45</v>
      </c>
      <c r="AA31">
        <v>0</v>
      </c>
      <c r="AB31">
        <v>0</v>
      </c>
      <c r="AC31">
        <v>1</v>
      </c>
      <c r="AD31">
        <v>1</v>
      </c>
      <c r="AE31">
        <v>23</v>
      </c>
      <c r="AF31">
        <v>1</v>
      </c>
      <c r="AG31">
        <v>1</v>
      </c>
      <c r="AH31">
        <v>0</v>
      </c>
      <c r="AI31">
        <v>0</v>
      </c>
      <c r="AJ31">
        <v>4</v>
      </c>
      <c r="AK31">
        <v>27</v>
      </c>
      <c r="AL31">
        <v>4</v>
      </c>
      <c r="AM31">
        <v>27</v>
      </c>
      <c r="AN31">
        <v>3</v>
      </c>
      <c r="AO31">
        <v>46</v>
      </c>
      <c r="AP31">
        <v>3</v>
      </c>
      <c r="AQ31">
        <v>68</v>
      </c>
      <c r="AR31">
        <v>3.4324942791762007E-2</v>
      </c>
      <c r="AS31">
        <v>0</v>
      </c>
      <c r="AT31">
        <v>1.754385964912281E-2</v>
      </c>
      <c r="AU31">
        <v>7.6277650648360034E-4</v>
      </c>
      <c r="AV31">
        <v>0</v>
      </c>
      <c r="AW31">
        <v>2.0594965675057211E-2</v>
      </c>
      <c r="AX31">
        <v>3.5087719298245612E-2</v>
      </c>
      <c r="AY31">
        <v>5.186880244088482E-2</v>
      </c>
      <c r="AZ31">
        <v>1.4492753623188401E-2</v>
      </c>
      <c r="BA31">
        <v>0.66666666666666663</v>
      </c>
      <c r="BB31">
        <v>0.77564102564102566</v>
      </c>
      <c r="BC31">
        <v>0.2</v>
      </c>
      <c r="BD31">
        <v>0.63405797101449279</v>
      </c>
      <c r="BE31">
        <v>4</v>
      </c>
      <c r="BF31">
        <v>0.56909141583054623</v>
      </c>
      <c r="BG31">
        <v>0.56999999999999995</v>
      </c>
      <c r="BH31" t="s">
        <v>71</v>
      </c>
      <c r="BI31">
        <v>0.56999999999999995</v>
      </c>
      <c r="BJ31" t="s">
        <v>71</v>
      </c>
      <c r="BK31" s="2">
        <f t="shared" si="0"/>
        <v>0</v>
      </c>
      <c r="BL31" t="b">
        <f t="shared" si="1"/>
        <v>1</v>
      </c>
    </row>
    <row r="32" spans="1:64" x14ac:dyDescent="0.35">
      <c r="A32" t="s">
        <v>166</v>
      </c>
      <c r="B32" t="s">
        <v>167</v>
      </c>
      <c r="C32">
        <v>2015</v>
      </c>
      <c r="D32" t="s">
        <v>168</v>
      </c>
      <c r="E32" t="s">
        <v>169</v>
      </c>
      <c r="F32" t="s">
        <v>66</v>
      </c>
      <c r="G32" t="s">
        <v>101</v>
      </c>
      <c r="H32" t="s">
        <v>170</v>
      </c>
      <c r="I32" t="s">
        <v>170</v>
      </c>
      <c r="J32" t="s">
        <v>70</v>
      </c>
      <c r="L32">
        <v>5</v>
      </c>
      <c r="M32" t="b">
        <v>0</v>
      </c>
      <c r="N32">
        <v>3</v>
      </c>
      <c r="O32">
        <v>2</v>
      </c>
      <c r="P32">
        <v>7</v>
      </c>
      <c r="Q32">
        <v>4</v>
      </c>
      <c r="R32">
        <v>3</v>
      </c>
      <c r="S32">
        <v>4</v>
      </c>
      <c r="T32">
        <v>31</v>
      </c>
      <c r="U32">
        <v>223</v>
      </c>
      <c r="V32">
        <v>120</v>
      </c>
      <c r="W32">
        <v>21</v>
      </c>
      <c r="X32">
        <v>5.7142857142857144</v>
      </c>
      <c r="Y32">
        <v>4</v>
      </c>
      <c r="Z32">
        <v>89</v>
      </c>
      <c r="AA32">
        <v>0</v>
      </c>
      <c r="AB32">
        <v>0</v>
      </c>
      <c r="AC32">
        <v>3</v>
      </c>
      <c r="AD32">
        <v>3</v>
      </c>
      <c r="AE32">
        <v>67</v>
      </c>
      <c r="AF32">
        <v>2</v>
      </c>
      <c r="AG32">
        <v>2</v>
      </c>
      <c r="AH32">
        <v>2</v>
      </c>
      <c r="AI32">
        <v>16</v>
      </c>
      <c r="AJ32">
        <v>2</v>
      </c>
      <c r="AK32">
        <v>10</v>
      </c>
      <c r="AL32">
        <v>4</v>
      </c>
      <c r="AM32">
        <v>26</v>
      </c>
      <c r="AN32">
        <v>6</v>
      </c>
      <c r="AO32">
        <v>91</v>
      </c>
      <c r="AP32">
        <v>7</v>
      </c>
      <c r="AQ32">
        <v>156</v>
      </c>
      <c r="AR32">
        <v>0.3991031390134529</v>
      </c>
      <c r="AS32">
        <v>0</v>
      </c>
      <c r="AT32">
        <v>0.30044843049327352</v>
      </c>
      <c r="AU32">
        <v>8.9686098654708519E-3</v>
      </c>
      <c r="AV32">
        <v>7.1748878923766815E-2</v>
      </c>
      <c r="AW32">
        <v>0.11659192825112109</v>
      </c>
      <c r="AX32">
        <v>0.40807174887892378</v>
      </c>
      <c r="AY32">
        <v>0.69955156950672648</v>
      </c>
      <c r="AZ32">
        <v>0.2914798206278027</v>
      </c>
      <c r="BA32">
        <v>0.5</v>
      </c>
      <c r="BB32">
        <v>0.7857142857142857</v>
      </c>
      <c r="BC32">
        <v>0.46666666666666667</v>
      </c>
      <c r="BD32">
        <v>0.80717488789237657</v>
      </c>
      <c r="BE32">
        <v>4</v>
      </c>
      <c r="BF32">
        <v>0.63988896006833218</v>
      </c>
      <c r="BG32">
        <v>0.61</v>
      </c>
      <c r="BH32" t="s">
        <v>86</v>
      </c>
      <c r="BI32">
        <v>0.64</v>
      </c>
      <c r="BJ32" t="s">
        <v>86</v>
      </c>
      <c r="BK32" s="2">
        <f t="shared" si="0"/>
        <v>-3.0000000000000027E-2</v>
      </c>
      <c r="BL32" t="b">
        <f t="shared" si="1"/>
        <v>1</v>
      </c>
    </row>
    <row r="33" spans="1:64" x14ac:dyDescent="0.35">
      <c r="A33" t="s">
        <v>171</v>
      </c>
      <c r="B33" t="s">
        <v>167</v>
      </c>
      <c r="C33">
        <v>2018</v>
      </c>
      <c r="D33" t="s">
        <v>168</v>
      </c>
      <c r="E33" t="s">
        <v>169</v>
      </c>
      <c r="F33" t="s">
        <v>66</v>
      </c>
      <c r="G33" t="s">
        <v>101</v>
      </c>
      <c r="H33" t="s">
        <v>170</v>
      </c>
      <c r="I33" t="s">
        <v>170</v>
      </c>
      <c r="J33" t="s">
        <v>70</v>
      </c>
      <c r="L33">
        <v>5</v>
      </c>
      <c r="M33" t="b">
        <v>0</v>
      </c>
      <c r="N33">
        <v>2</v>
      </c>
      <c r="O33">
        <v>1</v>
      </c>
      <c r="P33">
        <v>3</v>
      </c>
      <c r="Q33">
        <v>3</v>
      </c>
      <c r="R33">
        <v>0</v>
      </c>
      <c r="S33">
        <v>4</v>
      </c>
      <c r="T33">
        <v>16</v>
      </c>
      <c r="U33">
        <v>122</v>
      </c>
      <c r="V33">
        <v>63</v>
      </c>
      <c r="W33">
        <v>13</v>
      </c>
      <c r="X33">
        <v>4.8461538461538458</v>
      </c>
      <c r="Y33">
        <v>3</v>
      </c>
      <c r="Z33">
        <v>15</v>
      </c>
      <c r="AA33">
        <v>0</v>
      </c>
      <c r="AB33">
        <v>0</v>
      </c>
      <c r="AC33">
        <v>3</v>
      </c>
      <c r="AD33">
        <v>2</v>
      </c>
      <c r="AE33">
        <v>28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3</v>
      </c>
      <c r="AL33">
        <v>1</v>
      </c>
      <c r="AM33">
        <v>3</v>
      </c>
      <c r="AN33">
        <v>4</v>
      </c>
      <c r="AO33">
        <v>16</v>
      </c>
      <c r="AP33">
        <v>5</v>
      </c>
      <c r="AQ33">
        <v>43</v>
      </c>
      <c r="AR33">
        <v>0.1229508196721311</v>
      </c>
      <c r="AS33">
        <v>0</v>
      </c>
      <c r="AT33">
        <v>0.22950819672131151</v>
      </c>
      <c r="AU33">
        <v>8.1967213114754103E-3</v>
      </c>
      <c r="AV33">
        <v>0</v>
      </c>
      <c r="AW33">
        <v>2.4590163934426229E-2</v>
      </c>
      <c r="AX33">
        <v>0.13114754098360659</v>
      </c>
      <c r="AY33">
        <v>0.35245901639344263</v>
      </c>
      <c r="AZ33">
        <v>0.10655737704918029</v>
      </c>
      <c r="BA33">
        <v>0.5</v>
      </c>
      <c r="BB33">
        <v>0.64102564102564097</v>
      </c>
      <c r="BC33">
        <v>0.33333333333333331</v>
      </c>
      <c r="BD33">
        <v>0.69159836065573765</v>
      </c>
      <c r="BE33">
        <v>4</v>
      </c>
      <c r="BF33">
        <v>0.54148933375367803</v>
      </c>
      <c r="BG33">
        <v>0.54</v>
      </c>
      <c r="BH33" t="s">
        <v>71</v>
      </c>
      <c r="BI33">
        <v>0.54</v>
      </c>
      <c r="BJ33" t="s">
        <v>71</v>
      </c>
      <c r="BK33" s="2">
        <f t="shared" si="0"/>
        <v>0</v>
      </c>
      <c r="BL33" t="b">
        <f t="shared" si="1"/>
        <v>1</v>
      </c>
    </row>
    <row r="34" spans="1:64" x14ac:dyDescent="0.35">
      <c r="A34" t="s">
        <v>172</v>
      </c>
      <c r="B34" t="s">
        <v>167</v>
      </c>
      <c r="C34">
        <v>2021</v>
      </c>
      <c r="D34" t="s">
        <v>168</v>
      </c>
      <c r="E34" t="s">
        <v>169</v>
      </c>
      <c r="F34" t="s">
        <v>66</v>
      </c>
      <c r="G34" t="s">
        <v>101</v>
      </c>
      <c r="H34" t="s">
        <v>170</v>
      </c>
      <c r="I34" t="s">
        <v>170</v>
      </c>
      <c r="J34" t="s">
        <v>70</v>
      </c>
      <c r="L34">
        <v>5</v>
      </c>
      <c r="M34" t="b">
        <v>0</v>
      </c>
      <c r="N34">
        <v>3</v>
      </c>
      <c r="O34">
        <v>2</v>
      </c>
      <c r="P34">
        <v>4</v>
      </c>
      <c r="Q34">
        <v>2</v>
      </c>
      <c r="R34">
        <v>2</v>
      </c>
      <c r="S34">
        <v>4</v>
      </c>
      <c r="T34">
        <v>23</v>
      </c>
      <c r="U34">
        <v>116</v>
      </c>
      <c r="V34">
        <v>107</v>
      </c>
      <c r="W34">
        <v>20</v>
      </c>
      <c r="X34">
        <v>5.35</v>
      </c>
      <c r="Y34">
        <v>2</v>
      </c>
      <c r="Z34">
        <v>45</v>
      </c>
      <c r="AA34">
        <v>0</v>
      </c>
      <c r="AB34">
        <v>0</v>
      </c>
      <c r="AC34">
        <v>1</v>
      </c>
      <c r="AD34">
        <v>1</v>
      </c>
      <c r="AE34">
        <v>6</v>
      </c>
      <c r="AF34">
        <v>1</v>
      </c>
      <c r="AG34">
        <v>1</v>
      </c>
      <c r="AH34">
        <v>2</v>
      </c>
      <c r="AI34">
        <v>4</v>
      </c>
      <c r="AJ34">
        <v>3</v>
      </c>
      <c r="AK34">
        <v>11</v>
      </c>
      <c r="AL34">
        <v>5</v>
      </c>
      <c r="AM34">
        <v>15</v>
      </c>
      <c r="AN34">
        <v>3</v>
      </c>
      <c r="AO34">
        <v>46</v>
      </c>
      <c r="AP34">
        <v>3</v>
      </c>
      <c r="AQ34">
        <v>51</v>
      </c>
      <c r="AR34">
        <v>0.38793103448275862</v>
      </c>
      <c r="AS34">
        <v>0</v>
      </c>
      <c r="AT34">
        <v>5.1724137931034482E-2</v>
      </c>
      <c r="AU34">
        <v>8.6206896551724137E-3</v>
      </c>
      <c r="AV34">
        <v>3.4482758620689648E-2</v>
      </c>
      <c r="AW34">
        <v>0.12931034482758619</v>
      </c>
      <c r="AX34">
        <v>0.39655172413793099</v>
      </c>
      <c r="AY34">
        <v>0.43965517241379309</v>
      </c>
      <c r="AZ34">
        <v>0.26724137931034492</v>
      </c>
      <c r="BA34">
        <v>0.5</v>
      </c>
      <c r="BB34">
        <v>0.72499999999999998</v>
      </c>
      <c r="BC34">
        <v>0.2</v>
      </c>
      <c r="BD34">
        <v>0.79202586206896552</v>
      </c>
      <c r="BE34">
        <v>4</v>
      </c>
      <c r="BF34">
        <v>0.55425646551724139</v>
      </c>
      <c r="BG34">
        <v>0.56000000000000005</v>
      </c>
      <c r="BH34" t="s">
        <v>71</v>
      </c>
      <c r="BI34">
        <v>0.55000000000000004</v>
      </c>
      <c r="BJ34" t="s">
        <v>71</v>
      </c>
      <c r="BK34" s="2">
        <f t="shared" si="0"/>
        <v>1.0000000000000009E-2</v>
      </c>
      <c r="BL34" t="b">
        <f t="shared" si="1"/>
        <v>1</v>
      </c>
    </row>
    <row r="35" spans="1:64" x14ac:dyDescent="0.35">
      <c r="A35" t="s">
        <v>173</v>
      </c>
      <c r="B35" t="s">
        <v>174</v>
      </c>
      <c r="C35">
        <v>2015</v>
      </c>
      <c r="D35" t="s">
        <v>175</v>
      </c>
      <c r="E35" t="s">
        <v>176</v>
      </c>
      <c r="F35" t="s">
        <v>66</v>
      </c>
      <c r="G35" t="s">
        <v>101</v>
      </c>
      <c r="H35" t="s">
        <v>170</v>
      </c>
      <c r="I35" t="s">
        <v>177</v>
      </c>
      <c r="J35" t="s">
        <v>70</v>
      </c>
      <c r="L35">
        <v>3</v>
      </c>
      <c r="M35" t="b">
        <v>0</v>
      </c>
      <c r="N35">
        <v>1</v>
      </c>
      <c r="O35">
        <v>3</v>
      </c>
      <c r="P35">
        <v>11</v>
      </c>
      <c r="Q35">
        <v>2</v>
      </c>
      <c r="R35">
        <v>9</v>
      </c>
      <c r="S35">
        <v>6</v>
      </c>
      <c r="T35">
        <v>32</v>
      </c>
      <c r="U35">
        <v>98</v>
      </c>
      <c r="V35">
        <v>168</v>
      </c>
      <c r="W35">
        <v>26</v>
      </c>
      <c r="X35">
        <v>6.4615384615384617</v>
      </c>
      <c r="Y35">
        <v>6</v>
      </c>
      <c r="Z35">
        <v>51</v>
      </c>
      <c r="AA35">
        <v>1</v>
      </c>
      <c r="AB35">
        <v>2</v>
      </c>
      <c r="AC35">
        <v>1</v>
      </c>
      <c r="AD35">
        <v>1</v>
      </c>
      <c r="AE35">
        <v>2</v>
      </c>
      <c r="AF35">
        <v>3</v>
      </c>
      <c r="AG35">
        <v>4</v>
      </c>
      <c r="AH35">
        <v>2</v>
      </c>
      <c r="AI35">
        <v>4</v>
      </c>
      <c r="AJ35">
        <v>0</v>
      </c>
      <c r="AK35">
        <v>0</v>
      </c>
      <c r="AL35">
        <v>2</v>
      </c>
      <c r="AM35">
        <v>4</v>
      </c>
      <c r="AN35">
        <v>10</v>
      </c>
      <c r="AO35">
        <v>57</v>
      </c>
      <c r="AP35">
        <v>8</v>
      </c>
      <c r="AQ35">
        <v>55</v>
      </c>
      <c r="AR35">
        <v>0.52040816326530615</v>
      </c>
      <c r="AS35">
        <v>2.0408163265306121E-2</v>
      </c>
      <c r="AT35">
        <v>2.0408163265306121E-2</v>
      </c>
      <c r="AU35">
        <v>4.0816326530612242E-2</v>
      </c>
      <c r="AV35">
        <v>4.0816326530612242E-2</v>
      </c>
      <c r="AW35">
        <v>4.0816326530612242E-2</v>
      </c>
      <c r="AX35">
        <v>0.58163265306122447</v>
      </c>
      <c r="AY35">
        <v>0.56122448979591832</v>
      </c>
      <c r="AZ35">
        <v>0.54081632653061218</v>
      </c>
      <c r="BA35">
        <v>0.83333333333333337</v>
      </c>
      <c r="BB35">
        <v>0.91025641025641024</v>
      </c>
      <c r="BC35">
        <v>0.53333333333333333</v>
      </c>
      <c r="BD35">
        <v>0.96301020408163263</v>
      </c>
      <c r="BE35">
        <v>4</v>
      </c>
      <c r="BF35">
        <v>0.80998332025117736</v>
      </c>
      <c r="BG35">
        <v>0.83</v>
      </c>
      <c r="BH35" t="s">
        <v>164</v>
      </c>
      <c r="BI35">
        <v>0.81</v>
      </c>
      <c r="BJ35" t="s">
        <v>164</v>
      </c>
      <c r="BK35" s="2">
        <f t="shared" si="0"/>
        <v>1.9999999999999907E-2</v>
      </c>
      <c r="BL35" t="b">
        <f t="shared" si="1"/>
        <v>1</v>
      </c>
    </row>
    <row r="36" spans="1:64" x14ac:dyDescent="0.35">
      <c r="A36" t="s">
        <v>178</v>
      </c>
      <c r="B36" t="s">
        <v>174</v>
      </c>
      <c r="C36">
        <v>2018</v>
      </c>
      <c r="D36" t="s">
        <v>175</v>
      </c>
      <c r="E36" t="s">
        <v>176</v>
      </c>
      <c r="F36" t="s">
        <v>66</v>
      </c>
      <c r="G36" t="s">
        <v>101</v>
      </c>
      <c r="H36" t="s">
        <v>170</v>
      </c>
      <c r="I36" t="s">
        <v>177</v>
      </c>
      <c r="J36" t="s">
        <v>70</v>
      </c>
      <c r="L36">
        <v>3</v>
      </c>
      <c r="M36" t="b">
        <v>0</v>
      </c>
      <c r="N36">
        <v>1</v>
      </c>
      <c r="O36">
        <v>1</v>
      </c>
      <c r="P36">
        <v>6</v>
      </c>
      <c r="Q36">
        <v>4</v>
      </c>
      <c r="R36">
        <v>2</v>
      </c>
      <c r="S36">
        <v>4</v>
      </c>
      <c r="T36">
        <v>28</v>
      </c>
      <c r="U36">
        <v>157</v>
      </c>
      <c r="V36">
        <v>120</v>
      </c>
      <c r="W36">
        <v>23</v>
      </c>
      <c r="X36">
        <v>5.2173913043478262</v>
      </c>
      <c r="Y36">
        <v>2</v>
      </c>
      <c r="Z36">
        <v>14</v>
      </c>
      <c r="AA36">
        <v>1</v>
      </c>
      <c r="AB36">
        <v>4</v>
      </c>
      <c r="AC36">
        <v>2</v>
      </c>
      <c r="AD36">
        <v>2</v>
      </c>
      <c r="AE36">
        <v>19</v>
      </c>
      <c r="AF36">
        <v>1</v>
      </c>
      <c r="AG36">
        <v>4</v>
      </c>
      <c r="AH36">
        <v>1</v>
      </c>
      <c r="AI36">
        <v>6</v>
      </c>
      <c r="AJ36">
        <v>2</v>
      </c>
      <c r="AK36">
        <v>14</v>
      </c>
      <c r="AL36">
        <v>3</v>
      </c>
      <c r="AM36">
        <v>20</v>
      </c>
      <c r="AN36">
        <v>4</v>
      </c>
      <c r="AO36">
        <v>22</v>
      </c>
      <c r="AP36">
        <v>5</v>
      </c>
      <c r="AQ36">
        <v>37</v>
      </c>
      <c r="AR36">
        <v>8.9171974522292988E-2</v>
      </c>
      <c r="AS36">
        <v>2.5477707006369432E-2</v>
      </c>
      <c r="AT36">
        <v>0.12101910828025481</v>
      </c>
      <c r="AU36">
        <v>2.5477707006369432E-2</v>
      </c>
      <c r="AV36">
        <v>3.8216560509554139E-2</v>
      </c>
      <c r="AW36">
        <v>0.12738853503184711</v>
      </c>
      <c r="AX36">
        <v>0.14012738853503179</v>
      </c>
      <c r="AY36">
        <v>0.2356687898089172</v>
      </c>
      <c r="AZ36">
        <v>1.2738853503184711E-2</v>
      </c>
      <c r="BA36">
        <v>0.5</v>
      </c>
      <c r="BB36">
        <v>0.70289855072463769</v>
      </c>
      <c r="BC36">
        <v>0.33333333333333331</v>
      </c>
      <c r="BD36">
        <v>0.63296178343949039</v>
      </c>
      <c r="BE36">
        <v>4</v>
      </c>
      <c r="BF36">
        <v>0.54229841687436531</v>
      </c>
      <c r="BG36">
        <v>0.55000000000000004</v>
      </c>
      <c r="BH36" t="s">
        <v>71</v>
      </c>
      <c r="BI36">
        <v>0.54</v>
      </c>
      <c r="BJ36" t="s">
        <v>71</v>
      </c>
      <c r="BK36" s="2">
        <f t="shared" si="0"/>
        <v>1.0000000000000009E-2</v>
      </c>
      <c r="BL36" t="b">
        <f t="shared" si="1"/>
        <v>1</v>
      </c>
    </row>
    <row r="37" spans="1:64" x14ac:dyDescent="0.35">
      <c r="A37" t="s">
        <v>179</v>
      </c>
      <c r="B37" t="s">
        <v>174</v>
      </c>
      <c r="C37">
        <v>2021</v>
      </c>
      <c r="D37" t="s">
        <v>175</v>
      </c>
      <c r="E37" t="s">
        <v>176</v>
      </c>
      <c r="F37" t="s">
        <v>66</v>
      </c>
      <c r="G37" t="s">
        <v>101</v>
      </c>
      <c r="H37" t="s">
        <v>170</v>
      </c>
      <c r="I37" t="s">
        <v>177</v>
      </c>
      <c r="J37" t="s">
        <v>70</v>
      </c>
      <c r="L37">
        <v>3</v>
      </c>
      <c r="M37" t="b">
        <v>0</v>
      </c>
      <c r="N37">
        <v>3</v>
      </c>
      <c r="O37">
        <v>2</v>
      </c>
      <c r="P37">
        <v>7</v>
      </c>
      <c r="Q37">
        <v>4</v>
      </c>
      <c r="R37">
        <v>3</v>
      </c>
      <c r="S37">
        <v>4</v>
      </c>
      <c r="T37">
        <v>31</v>
      </c>
      <c r="U37">
        <v>231</v>
      </c>
      <c r="V37">
        <v>117</v>
      </c>
      <c r="W37">
        <v>22</v>
      </c>
      <c r="X37">
        <v>5.3181818181818183</v>
      </c>
      <c r="Y37">
        <v>5</v>
      </c>
      <c r="Z37">
        <v>12</v>
      </c>
      <c r="AA37">
        <v>0</v>
      </c>
      <c r="AB37">
        <v>0</v>
      </c>
      <c r="AC37">
        <v>3</v>
      </c>
      <c r="AD37">
        <v>3</v>
      </c>
      <c r="AE37">
        <v>12</v>
      </c>
      <c r="AF37">
        <v>1</v>
      </c>
      <c r="AG37">
        <v>6</v>
      </c>
      <c r="AH37">
        <v>2</v>
      </c>
      <c r="AI37">
        <v>99</v>
      </c>
      <c r="AJ37">
        <v>1</v>
      </c>
      <c r="AK37">
        <v>9</v>
      </c>
      <c r="AL37">
        <v>3</v>
      </c>
      <c r="AM37">
        <v>108</v>
      </c>
      <c r="AN37">
        <v>6</v>
      </c>
      <c r="AO37">
        <v>18</v>
      </c>
      <c r="AP37">
        <v>8</v>
      </c>
      <c r="AQ37">
        <v>24</v>
      </c>
      <c r="AR37">
        <v>5.1948051948051951E-2</v>
      </c>
      <c r="AS37">
        <v>0</v>
      </c>
      <c r="AT37">
        <v>5.1948051948051951E-2</v>
      </c>
      <c r="AU37">
        <v>2.5974025974025979E-2</v>
      </c>
      <c r="AV37">
        <v>0.42857142857142849</v>
      </c>
      <c r="AW37">
        <v>0.46753246753246752</v>
      </c>
      <c r="AX37">
        <v>7.792207792207792E-2</v>
      </c>
      <c r="AY37">
        <v>0.1038961038961039</v>
      </c>
      <c r="AZ37">
        <v>-0.38961038961038957</v>
      </c>
      <c r="BA37">
        <v>0.5</v>
      </c>
      <c r="BB37">
        <v>0.71969696969696972</v>
      </c>
      <c r="BC37">
        <v>0.53333333333333333</v>
      </c>
      <c r="BD37">
        <v>0.38149350649350661</v>
      </c>
      <c r="BE37">
        <v>4</v>
      </c>
      <c r="BF37">
        <v>0.53363095238095237</v>
      </c>
      <c r="BG37">
        <v>0.6</v>
      </c>
      <c r="BH37" t="s">
        <v>86</v>
      </c>
      <c r="BI37">
        <v>0.53</v>
      </c>
      <c r="BJ37" t="s">
        <v>71</v>
      </c>
      <c r="BK37" s="2">
        <f t="shared" si="0"/>
        <v>6.9999999999999951E-2</v>
      </c>
      <c r="BL37" t="b">
        <f t="shared" si="1"/>
        <v>0</v>
      </c>
    </row>
    <row r="38" spans="1:64" x14ac:dyDescent="0.35">
      <c r="A38" t="s">
        <v>180</v>
      </c>
      <c r="B38" t="s">
        <v>181</v>
      </c>
      <c r="C38">
        <v>2014</v>
      </c>
      <c r="D38" t="s">
        <v>182</v>
      </c>
      <c r="E38" t="s">
        <v>183</v>
      </c>
      <c r="F38" t="s">
        <v>66</v>
      </c>
      <c r="G38" t="s">
        <v>101</v>
      </c>
      <c r="H38" t="s">
        <v>184</v>
      </c>
      <c r="I38" t="s">
        <v>185</v>
      </c>
      <c r="J38" t="s">
        <v>70</v>
      </c>
      <c r="L38">
        <v>4</v>
      </c>
      <c r="M38" t="b">
        <v>0</v>
      </c>
      <c r="N38">
        <v>4</v>
      </c>
      <c r="O38">
        <v>1</v>
      </c>
      <c r="P38">
        <v>1</v>
      </c>
      <c r="Q38">
        <v>4</v>
      </c>
      <c r="R38">
        <v>-3</v>
      </c>
      <c r="S38">
        <v>2</v>
      </c>
      <c r="T38">
        <v>16</v>
      </c>
      <c r="U38">
        <v>651</v>
      </c>
      <c r="V38">
        <v>36</v>
      </c>
      <c r="W38">
        <v>10</v>
      </c>
      <c r="X38">
        <v>3.6</v>
      </c>
      <c r="Y38">
        <v>0</v>
      </c>
      <c r="Z38">
        <v>0</v>
      </c>
      <c r="AA38">
        <v>0</v>
      </c>
      <c r="AB38">
        <v>0</v>
      </c>
      <c r="AC38">
        <v>3</v>
      </c>
      <c r="AD38">
        <v>2</v>
      </c>
      <c r="AE38">
        <v>47</v>
      </c>
      <c r="AF38">
        <v>1</v>
      </c>
      <c r="AG38">
        <v>18</v>
      </c>
      <c r="AH38">
        <v>2</v>
      </c>
      <c r="AI38">
        <v>14</v>
      </c>
      <c r="AJ38">
        <v>2</v>
      </c>
      <c r="AK38">
        <v>25</v>
      </c>
      <c r="AL38">
        <v>4</v>
      </c>
      <c r="AM38">
        <v>39</v>
      </c>
      <c r="AN38">
        <v>1</v>
      </c>
      <c r="AO38">
        <v>18</v>
      </c>
      <c r="AP38">
        <v>2</v>
      </c>
      <c r="AQ38">
        <v>47</v>
      </c>
      <c r="AR38">
        <v>0</v>
      </c>
      <c r="AS38">
        <v>0</v>
      </c>
      <c r="AT38">
        <v>7.2196620583717355E-2</v>
      </c>
      <c r="AU38">
        <v>2.7649769585253461E-2</v>
      </c>
      <c r="AV38">
        <v>2.150537634408602E-2</v>
      </c>
      <c r="AW38">
        <v>5.9907834101382493E-2</v>
      </c>
      <c r="AX38">
        <v>2.7649769585253461E-2</v>
      </c>
      <c r="AY38">
        <v>7.2196620583717355E-2</v>
      </c>
      <c r="AZ38">
        <v>-3.2258064516129031E-2</v>
      </c>
      <c r="BA38">
        <v>0.16666666666666671</v>
      </c>
      <c r="BB38">
        <v>0.43333333333333329</v>
      </c>
      <c r="BC38">
        <v>0.1333333333333333</v>
      </c>
      <c r="BD38">
        <v>0.60483870967741937</v>
      </c>
      <c r="BE38">
        <v>4</v>
      </c>
      <c r="BF38">
        <v>0.33454301075268822</v>
      </c>
      <c r="BG38">
        <v>0.33</v>
      </c>
      <c r="BH38" t="s">
        <v>104</v>
      </c>
      <c r="BI38">
        <v>0.33</v>
      </c>
      <c r="BJ38" t="s">
        <v>104</v>
      </c>
      <c r="BK38" s="2">
        <f t="shared" si="0"/>
        <v>0</v>
      </c>
      <c r="BL38" t="b">
        <f t="shared" si="1"/>
        <v>1</v>
      </c>
    </row>
    <row r="39" spans="1:64" x14ac:dyDescent="0.35">
      <c r="A39" t="s">
        <v>186</v>
      </c>
      <c r="B39" t="s">
        <v>181</v>
      </c>
      <c r="C39">
        <v>2015</v>
      </c>
      <c r="D39" t="s">
        <v>182</v>
      </c>
      <c r="E39" t="s">
        <v>183</v>
      </c>
      <c r="F39" t="s">
        <v>66</v>
      </c>
      <c r="G39" t="s">
        <v>101</v>
      </c>
      <c r="H39" t="s">
        <v>184</v>
      </c>
      <c r="I39" t="s">
        <v>185</v>
      </c>
      <c r="J39" t="s">
        <v>70</v>
      </c>
      <c r="L39">
        <v>4</v>
      </c>
      <c r="M39" t="b">
        <v>0</v>
      </c>
      <c r="N39">
        <v>6</v>
      </c>
      <c r="O39">
        <v>1</v>
      </c>
      <c r="P39">
        <v>0</v>
      </c>
      <c r="Q39">
        <v>2</v>
      </c>
      <c r="R39">
        <v>-2</v>
      </c>
      <c r="S39">
        <v>1</v>
      </c>
      <c r="T39">
        <v>9</v>
      </c>
      <c r="U39">
        <v>239</v>
      </c>
      <c r="V39">
        <v>26</v>
      </c>
      <c r="W39">
        <v>7</v>
      </c>
      <c r="X39">
        <v>3.714285714285714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72</v>
      </c>
      <c r="AF39">
        <v>0</v>
      </c>
      <c r="AG39">
        <v>0</v>
      </c>
      <c r="AH39">
        <v>3</v>
      </c>
      <c r="AI39">
        <v>58</v>
      </c>
      <c r="AJ39">
        <v>1</v>
      </c>
      <c r="AK39">
        <v>2</v>
      </c>
      <c r="AL39">
        <v>4</v>
      </c>
      <c r="AM39">
        <v>60</v>
      </c>
      <c r="AN39">
        <v>0</v>
      </c>
      <c r="AO39">
        <v>0</v>
      </c>
      <c r="AP39">
        <v>1</v>
      </c>
      <c r="AQ39">
        <v>72</v>
      </c>
      <c r="AR39">
        <v>0</v>
      </c>
      <c r="AS39">
        <v>0</v>
      </c>
      <c r="AT39">
        <v>0.30125523012552302</v>
      </c>
      <c r="AU39">
        <v>0</v>
      </c>
      <c r="AV39">
        <v>0.24267782426778239</v>
      </c>
      <c r="AW39">
        <v>0.2510460251046025</v>
      </c>
      <c r="AX39">
        <v>0</v>
      </c>
      <c r="AY39">
        <v>0.30125523012552302</v>
      </c>
      <c r="AZ39">
        <v>-0.2510460251046025</v>
      </c>
      <c r="BA39">
        <v>0</v>
      </c>
      <c r="BB39">
        <v>0.45238095238095227</v>
      </c>
      <c r="BC39">
        <v>6.6666666666666666E-2</v>
      </c>
      <c r="BD39">
        <v>0.46809623430962338</v>
      </c>
      <c r="BE39">
        <v>4</v>
      </c>
      <c r="BF39">
        <v>0.2467859633393106</v>
      </c>
      <c r="BG39">
        <v>0.31</v>
      </c>
      <c r="BH39" t="s">
        <v>104</v>
      </c>
      <c r="BI39">
        <v>0.25</v>
      </c>
      <c r="BJ39" t="s">
        <v>187</v>
      </c>
      <c r="BK39" s="2">
        <f t="shared" si="0"/>
        <v>0.06</v>
      </c>
      <c r="BL39" t="b">
        <f t="shared" si="1"/>
        <v>0</v>
      </c>
    </row>
    <row r="40" spans="1:64" x14ac:dyDescent="0.35">
      <c r="A40" t="s">
        <v>188</v>
      </c>
      <c r="B40" t="s">
        <v>181</v>
      </c>
      <c r="C40">
        <v>2016</v>
      </c>
      <c r="D40" t="s">
        <v>182</v>
      </c>
      <c r="E40" t="s">
        <v>183</v>
      </c>
      <c r="F40" t="s">
        <v>66</v>
      </c>
      <c r="G40" t="s">
        <v>101</v>
      </c>
      <c r="H40" t="s">
        <v>184</v>
      </c>
      <c r="I40" t="s">
        <v>185</v>
      </c>
      <c r="J40" t="s">
        <v>70</v>
      </c>
      <c r="L40">
        <v>4</v>
      </c>
      <c r="M40" t="b">
        <v>0</v>
      </c>
      <c r="N40">
        <v>5</v>
      </c>
      <c r="O40">
        <v>1</v>
      </c>
      <c r="P40">
        <v>1</v>
      </c>
      <c r="Q40">
        <v>1</v>
      </c>
      <c r="R40">
        <v>0</v>
      </c>
      <c r="S40">
        <v>2</v>
      </c>
      <c r="T40">
        <v>15</v>
      </c>
      <c r="U40">
        <v>234</v>
      </c>
      <c r="V40">
        <v>45</v>
      </c>
      <c r="W40">
        <v>10</v>
      </c>
      <c r="X40">
        <v>4.5</v>
      </c>
      <c r="Y40">
        <v>1</v>
      </c>
      <c r="Z40">
        <v>7</v>
      </c>
      <c r="AA40">
        <v>0</v>
      </c>
      <c r="AB40">
        <v>0</v>
      </c>
      <c r="AC40">
        <v>3</v>
      </c>
      <c r="AD40">
        <v>3</v>
      </c>
      <c r="AE40">
        <v>80</v>
      </c>
      <c r="AF40">
        <v>0</v>
      </c>
      <c r="AG40">
        <v>0</v>
      </c>
      <c r="AH40">
        <v>5</v>
      </c>
      <c r="AI40">
        <v>79</v>
      </c>
      <c r="AJ40">
        <v>0</v>
      </c>
      <c r="AK40">
        <v>0</v>
      </c>
      <c r="AL40">
        <v>6</v>
      </c>
      <c r="AM40">
        <v>106</v>
      </c>
      <c r="AN40">
        <v>1</v>
      </c>
      <c r="AO40">
        <v>7</v>
      </c>
      <c r="AP40">
        <v>4</v>
      </c>
      <c r="AQ40">
        <v>87</v>
      </c>
      <c r="AR40">
        <v>2.9914529914529919E-2</v>
      </c>
      <c r="AS40">
        <v>0</v>
      </c>
      <c r="AT40">
        <v>0.34188034188034189</v>
      </c>
      <c r="AU40">
        <v>0</v>
      </c>
      <c r="AV40">
        <v>0.33760683760683757</v>
      </c>
      <c r="AW40">
        <v>0.45299145299145299</v>
      </c>
      <c r="AX40">
        <v>2.9914529914529919E-2</v>
      </c>
      <c r="AY40">
        <v>0.37179487179487181</v>
      </c>
      <c r="AZ40">
        <v>-0.42307692307692307</v>
      </c>
      <c r="BA40">
        <v>0.16666666666666671</v>
      </c>
      <c r="BB40">
        <v>0.58333333333333337</v>
      </c>
      <c r="BC40">
        <v>0.26666666666666672</v>
      </c>
      <c r="BD40">
        <v>0.36057692307692302</v>
      </c>
      <c r="BE40">
        <v>4</v>
      </c>
      <c r="BF40">
        <v>0.34431089743589738</v>
      </c>
      <c r="BG40">
        <v>0.41</v>
      </c>
      <c r="BH40" t="s">
        <v>71</v>
      </c>
      <c r="BI40">
        <v>0.34</v>
      </c>
      <c r="BJ40" t="s">
        <v>104</v>
      </c>
      <c r="BK40" s="2">
        <f t="shared" si="0"/>
        <v>6.9999999999999951E-2</v>
      </c>
      <c r="BL40" t="b">
        <f t="shared" si="1"/>
        <v>0</v>
      </c>
    </row>
    <row r="41" spans="1:64" x14ac:dyDescent="0.35">
      <c r="A41" t="s">
        <v>189</v>
      </c>
      <c r="B41" t="s">
        <v>181</v>
      </c>
      <c r="C41">
        <v>2017</v>
      </c>
      <c r="D41" t="s">
        <v>182</v>
      </c>
      <c r="E41" t="s">
        <v>183</v>
      </c>
      <c r="F41" t="s">
        <v>66</v>
      </c>
      <c r="G41" t="s">
        <v>101</v>
      </c>
      <c r="H41" t="s">
        <v>184</v>
      </c>
      <c r="I41" t="s">
        <v>185</v>
      </c>
      <c r="J41" t="s">
        <v>70</v>
      </c>
      <c r="L41">
        <v>4</v>
      </c>
      <c r="M41" t="b">
        <v>0</v>
      </c>
      <c r="N41">
        <v>5</v>
      </c>
      <c r="O41">
        <v>2</v>
      </c>
      <c r="P41">
        <v>1</v>
      </c>
      <c r="Q41">
        <v>3</v>
      </c>
      <c r="R41">
        <v>-2</v>
      </c>
      <c r="S41">
        <v>2</v>
      </c>
      <c r="T41">
        <v>13</v>
      </c>
      <c r="U41">
        <v>617</v>
      </c>
      <c r="V41">
        <v>36</v>
      </c>
      <c r="W41">
        <v>10</v>
      </c>
      <c r="X41">
        <v>3.6</v>
      </c>
      <c r="Y41">
        <v>1</v>
      </c>
      <c r="Z41">
        <v>22</v>
      </c>
      <c r="AA41">
        <v>0</v>
      </c>
      <c r="AB41">
        <v>0</v>
      </c>
      <c r="AC41">
        <v>2</v>
      </c>
      <c r="AD41">
        <v>2</v>
      </c>
      <c r="AE41">
        <v>263</v>
      </c>
      <c r="AF41">
        <v>0</v>
      </c>
      <c r="AG41">
        <v>0</v>
      </c>
      <c r="AH41">
        <v>2</v>
      </c>
      <c r="AI41">
        <v>182</v>
      </c>
      <c r="AJ41">
        <v>1</v>
      </c>
      <c r="AK41">
        <v>7</v>
      </c>
      <c r="AL41">
        <v>3</v>
      </c>
      <c r="AM41">
        <v>189</v>
      </c>
      <c r="AN41">
        <v>1</v>
      </c>
      <c r="AO41">
        <v>22</v>
      </c>
      <c r="AP41">
        <v>3</v>
      </c>
      <c r="AQ41">
        <v>285</v>
      </c>
      <c r="AR41">
        <v>3.5656401944894653E-2</v>
      </c>
      <c r="AS41">
        <v>0</v>
      </c>
      <c r="AT41">
        <v>0.42625607779578611</v>
      </c>
      <c r="AU41">
        <v>0</v>
      </c>
      <c r="AV41">
        <v>0.29497568881685582</v>
      </c>
      <c r="AW41">
        <v>0.30632090761750408</v>
      </c>
      <c r="AX41">
        <v>3.5656401944894653E-2</v>
      </c>
      <c r="AY41">
        <v>0.46191247974068073</v>
      </c>
      <c r="AZ41">
        <v>-0.27066450567260941</v>
      </c>
      <c r="BA41">
        <v>0.16666666666666671</v>
      </c>
      <c r="BB41">
        <v>0.43333333333333329</v>
      </c>
      <c r="BC41">
        <v>0.2</v>
      </c>
      <c r="BD41">
        <v>0.45583468395461912</v>
      </c>
      <c r="BE41">
        <v>4</v>
      </c>
      <c r="BF41">
        <v>0.31395867098865482</v>
      </c>
      <c r="BG41">
        <v>0.36</v>
      </c>
      <c r="BH41" t="s">
        <v>104</v>
      </c>
      <c r="BI41">
        <v>0.31</v>
      </c>
      <c r="BJ41" t="s">
        <v>104</v>
      </c>
      <c r="BK41" s="2">
        <f t="shared" si="0"/>
        <v>4.9999999999999989E-2</v>
      </c>
      <c r="BL41" t="b">
        <f t="shared" si="1"/>
        <v>1</v>
      </c>
    </row>
    <row r="42" spans="1:64" x14ac:dyDescent="0.35">
      <c r="A42" t="s">
        <v>190</v>
      </c>
      <c r="B42" t="s">
        <v>181</v>
      </c>
      <c r="C42">
        <v>2020</v>
      </c>
      <c r="D42" t="s">
        <v>182</v>
      </c>
      <c r="E42" t="s">
        <v>183</v>
      </c>
      <c r="F42" t="s">
        <v>66</v>
      </c>
      <c r="G42" t="s">
        <v>101</v>
      </c>
      <c r="H42" t="s">
        <v>184</v>
      </c>
      <c r="I42" t="s">
        <v>185</v>
      </c>
      <c r="J42" t="s">
        <v>70</v>
      </c>
      <c r="L42">
        <v>4</v>
      </c>
      <c r="M42" t="b">
        <v>0</v>
      </c>
      <c r="N42">
        <v>3</v>
      </c>
      <c r="O42">
        <v>1</v>
      </c>
      <c r="P42">
        <v>3</v>
      </c>
      <c r="Q42">
        <v>1</v>
      </c>
      <c r="R42">
        <v>2</v>
      </c>
      <c r="S42">
        <v>4</v>
      </c>
      <c r="T42">
        <v>23</v>
      </c>
      <c r="U42">
        <v>6208</v>
      </c>
      <c r="V42">
        <v>74</v>
      </c>
      <c r="W42">
        <v>16</v>
      </c>
      <c r="X42">
        <v>4.625</v>
      </c>
      <c r="Y42">
        <v>2</v>
      </c>
      <c r="Z42">
        <v>40</v>
      </c>
      <c r="AA42">
        <v>0</v>
      </c>
      <c r="AB42">
        <v>0</v>
      </c>
      <c r="AC42">
        <v>1</v>
      </c>
      <c r="AD42">
        <v>1</v>
      </c>
      <c r="AE42">
        <v>2533</v>
      </c>
      <c r="AF42">
        <v>1</v>
      </c>
      <c r="AG42">
        <v>1</v>
      </c>
      <c r="AH42">
        <v>6</v>
      </c>
      <c r="AI42">
        <v>2372</v>
      </c>
      <c r="AJ42">
        <v>1</v>
      </c>
      <c r="AK42">
        <v>1</v>
      </c>
      <c r="AL42">
        <v>7</v>
      </c>
      <c r="AM42">
        <v>2373</v>
      </c>
      <c r="AN42">
        <v>3</v>
      </c>
      <c r="AO42">
        <v>41</v>
      </c>
      <c r="AP42">
        <v>3</v>
      </c>
      <c r="AQ42">
        <v>2573</v>
      </c>
      <c r="AR42">
        <v>6.4432989690721646E-3</v>
      </c>
      <c r="AS42">
        <v>0</v>
      </c>
      <c r="AT42">
        <v>0.40802190721649478</v>
      </c>
      <c r="AU42">
        <v>1.6108247422680409E-4</v>
      </c>
      <c r="AV42">
        <v>0.38208762886597941</v>
      </c>
      <c r="AW42">
        <v>0.38224871134020622</v>
      </c>
      <c r="AX42">
        <v>6.604381443298969E-3</v>
      </c>
      <c r="AY42">
        <v>0.41446520618556698</v>
      </c>
      <c r="AZ42">
        <v>-0.37564432989690721</v>
      </c>
      <c r="BA42">
        <v>0.5</v>
      </c>
      <c r="BB42">
        <v>0.60416666666666663</v>
      </c>
      <c r="BC42">
        <v>0.2</v>
      </c>
      <c r="BD42">
        <v>0.39022229381443302</v>
      </c>
      <c r="BE42">
        <v>4</v>
      </c>
      <c r="BF42">
        <v>0.42359724012027489</v>
      </c>
      <c r="BG42">
        <v>0.48</v>
      </c>
      <c r="BH42" t="s">
        <v>71</v>
      </c>
      <c r="BI42">
        <v>0.42</v>
      </c>
      <c r="BJ42" t="s">
        <v>71</v>
      </c>
      <c r="BK42" s="2">
        <f t="shared" si="0"/>
        <v>0.06</v>
      </c>
      <c r="BL42" t="b">
        <f t="shared" si="1"/>
        <v>1</v>
      </c>
    </row>
    <row r="43" spans="1:64" x14ac:dyDescent="0.35">
      <c r="A43" t="s">
        <v>191</v>
      </c>
      <c r="B43" t="s">
        <v>192</v>
      </c>
      <c r="C43">
        <v>2014</v>
      </c>
      <c r="D43" t="s">
        <v>193</v>
      </c>
      <c r="E43" t="s">
        <v>194</v>
      </c>
      <c r="F43" t="s">
        <v>66</v>
      </c>
      <c r="G43" t="s">
        <v>101</v>
      </c>
      <c r="H43" t="s">
        <v>195</v>
      </c>
      <c r="I43" t="s">
        <v>196</v>
      </c>
      <c r="J43" t="s">
        <v>70</v>
      </c>
      <c r="L43">
        <v>3</v>
      </c>
      <c r="M43" t="b">
        <v>0</v>
      </c>
      <c r="N43">
        <v>1</v>
      </c>
      <c r="O43">
        <v>3</v>
      </c>
      <c r="P43">
        <v>9</v>
      </c>
      <c r="Q43">
        <v>3</v>
      </c>
      <c r="R43">
        <v>6</v>
      </c>
      <c r="S43">
        <v>6</v>
      </c>
      <c r="T43">
        <v>29</v>
      </c>
      <c r="U43">
        <v>695</v>
      </c>
      <c r="V43">
        <v>133</v>
      </c>
      <c r="W43">
        <v>21</v>
      </c>
      <c r="X43">
        <v>6.333333333333333</v>
      </c>
      <c r="Y43">
        <v>5</v>
      </c>
      <c r="Z43">
        <v>145</v>
      </c>
      <c r="AA43">
        <v>3</v>
      </c>
      <c r="AB43">
        <v>46</v>
      </c>
      <c r="AC43">
        <v>3</v>
      </c>
      <c r="AD43">
        <v>3</v>
      </c>
      <c r="AE43">
        <v>124</v>
      </c>
      <c r="AF43">
        <v>1</v>
      </c>
      <c r="AG43">
        <v>23</v>
      </c>
      <c r="AH43">
        <v>0</v>
      </c>
      <c r="AI43">
        <v>0</v>
      </c>
      <c r="AJ43">
        <v>1</v>
      </c>
      <c r="AK43">
        <v>5</v>
      </c>
      <c r="AL43">
        <v>1</v>
      </c>
      <c r="AM43">
        <v>5</v>
      </c>
      <c r="AN43">
        <v>9</v>
      </c>
      <c r="AO43">
        <v>214</v>
      </c>
      <c r="AP43">
        <v>11</v>
      </c>
      <c r="AQ43">
        <v>315</v>
      </c>
      <c r="AR43">
        <v>0.20863309352517989</v>
      </c>
      <c r="AS43">
        <v>6.6187050359712229E-2</v>
      </c>
      <c r="AT43">
        <v>0.17841726618705039</v>
      </c>
      <c r="AU43">
        <v>3.3093525179856108E-2</v>
      </c>
      <c r="AV43">
        <v>0</v>
      </c>
      <c r="AW43">
        <v>7.1942446043165471E-3</v>
      </c>
      <c r="AX43">
        <v>0.30791366906474821</v>
      </c>
      <c r="AY43">
        <v>0.45323741007194251</v>
      </c>
      <c r="AZ43">
        <v>0.30071942446043171</v>
      </c>
      <c r="BA43">
        <v>0.83333333333333337</v>
      </c>
      <c r="BB43">
        <v>0.88888888888888884</v>
      </c>
      <c r="BC43">
        <v>0.73333333333333328</v>
      </c>
      <c r="BD43">
        <v>0.81294964028776973</v>
      </c>
      <c r="BE43">
        <v>4</v>
      </c>
      <c r="BF43">
        <v>0.81712629896083133</v>
      </c>
      <c r="BG43">
        <v>0.83</v>
      </c>
      <c r="BH43" t="s">
        <v>164</v>
      </c>
      <c r="BI43">
        <v>0.82</v>
      </c>
      <c r="BJ43" t="s">
        <v>164</v>
      </c>
      <c r="BK43" s="2">
        <f t="shared" si="0"/>
        <v>1.0000000000000009E-2</v>
      </c>
      <c r="BL43" t="b">
        <f t="shared" si="1"/>
        <v>1</v>
      </c>
    </row>
    <row r="44" spans="1:64" x14ac:dyDescent="0.35">
      <c r="A44" t="s">
        <v>197</v>
      </c>
      <c r="B44" t="s">
        <v>192</v>
      </c>
      <c r="C44">
        <v>2015</v>
      </c>
      <c r="D44" t="s">
        <v>193</v>
      </c>
      <c r="E44" t="s">
        <v>194</v>
      </c>
      <c r="F44" t="s">
        <v>66</v>
      </c>
      <c r="G44" t="s">
        <v>101</v>
      </c>
      <c r="H44" t="s">
        <v>195</v>
      </c>
      <c r="I44" t="s">
        <v>196</v>
      </c>
      <c r="J44" t="s">
        <v>70</v>
      </c>
      <c r="L44">
        <v>3</v>
      </c>
      <c r="M44" t="b">
        <v>0</v>
      </c>
      <c r="N44">
        <v>1</v>
      </c>
      <c r="O44">
        <v>2</v>
      </c>
      <c r="P44">
        <v>13</v>
      </c>
      <c r="Q44">
        <v>1</v>
      </c>
      <c r="R44">
        <v>12</v>
      </c>
      <c r="S44">
        <v>7</v>
      </c>
      <c r="T44">
        <v>41</v>
      </c>
      <c r="U44">
        <v>1628</v>
      </c>
      <c r="V44">
        <v>170</v>
      </c>
      <c r="W44">
        <v>26</v>
      </c>
      <c r="X44">
        <v>6.5384615384615383</v>
      </c>
      <c r="Y44">
        <v>7</v>
      </c>
      <c r="Z44">
        <v>423</v>
      </c>
      <c r="AA44">
        <v>3</v>
      </c>
      <c r="AB44">
        <v>40</v>
      </c>
      <c r="AC44">
        <v>7</v>
      </c>
      <c r="AD44">
        <v>6</v>
      </c>
      <c r="AE44">
        <v>205</v>
      </c>
      <c r="AF44">
        <v>3</v>
      </c>
      <c r="AG44">
        <v>408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13</v>
      </c>
      <c r="AO44">
        <v>871</v>
      </c>
      <c r="AP44">
        <v>16</v>
      </c>
      <c r="AQ44">
        <v>668</v>
      </c>
      <c r="AR44">
        <v>0.25982800982800991</v>
      </c>
      <c r="AS44">
        <v>2.4570024570024569E-2</v>
      </c>
      <c r="AT44">
        <v>0.12592137592137589</v>
      </c>
      <c r="AU44">
        <v>0.25061425061425058</v>
      </c>
      <c r="AV44">
        <v>0</v>
      </c>
      <c r="AW44">
        <v>0</v>
      </c>
      <c r="AX44">
        <v>0.53501228501228504</v>
      </c>
      <c r="AY44">
        <v>0.41031941031941033</v>
      </c>
      <c r="AZ44">
        <v>0.53501228501228504</v>
      </c>
      <c r="BA44">
        <v>1</v>
      </c>
      <c r="BB44">
        <v>0.92307692307692302</v>
      </c>
      <c r="BC44">
        <v>1.0666666666666671</v>
      </c>
      <c r="BD44">
        <v>0.95938267813267808</v>
      </c>
      <c r="BE44">
        <v>4</v>
      </c>
      <c r="BF44">
        <v>0.98728156696906688</v>
      </c>
      <c r="BG44">
        <v>0.98</v>
      </c>
      <c r="BH44" t="s">
        <v>164</v>
      </c>
      <c r="BI44">
        <v>0.99</v>
      </c>
      <c r="BJ44" t="s">
        <v>164</v>
      </c>
      <c r="BK44" s="2">
        <f t="shared" si="0"/>
        <v>-1.0000000000000009E-2</v>
      </c>
      <c r="BL44" t="b">
        <f t="shared" si="1"/>
        <v>1</v>
      </c>
    </row>
    <row r="45" spans="1:64" x14ac:dyDescent="0.35">
      <c r="A45" t="s">
        <v>198</v>
      </c>
      <c r="B45" t="s">
        <v>192</v>
      </c>
      <c r="C45">
        <v>2016</v>
      </c>
      <c r="D45" t="s">
        <v>193</v>
      </c>
      <c r="E45" t="s">
        <v>194</v>
      </c>
      <c r="F45" t="s">
        <v>66</v>
      </c>
      <c r="G45" t="s">
        <v>101</v>
      </c>
      <c r="H45" t="s">
        <v>195</v>
      </c>
      <c r="I45" t="s">
        <v>196</v>
      </c>
      <c r="J45" t="s">
        <v>70</v>
      </c>
      <c r="L45">
        <v>3</v>
      </c>
      <c r="M45" t="b">
        <v>0</v>
      </c>
      <c r="N45">
        <v>1</v>
      </c>
      <c r="O45">
        <v>4</v>
      </c>
      <c r="P45">
        <v>15</v>
      </c>
      <c r="Q45">
        <v>2</v>
      </c>
      <c r="R45">
        <v>13</v>
      </c>
      <c r="S45">
        <v>7</v>
      </c>
      <c r="T45">
        <v>39</v>
      </c>
      <c r="U45">
        <v>775</v>
      </c>
      <c r="V45">
        <v>200</v>
      </c>
      <c r="W45">
        <v>30</v>
      </c>
      <c r="X45">
        <v>6.666666666666667</v>
      </c>
      <c r="Y45">
        <v>6</v>
      </c>
      <c r="Z45">
        <v>121</v>
      </c>
      <c r="AA45">
        <v>3</v>
      </c>
      <c r="AB45">
        <v>77</v>
      </c>
      <c r="AC45">
        <v>6</v>
      </c>
      <c r="AD45">
        <v>6</v>
      </c>
      <c r="AE45">
        <v>136</v>
      </c>
      <c r="AF45">
        <v>2</v>
      </c>
      <c r="AG45">
        <v>24</v>
      </c>
      <c r="AH45">
        <v>0</v>
      </c>
      <c r="AI45">
        <v>0</v>
      </c>
      <c r="AJ45">
        <v>1</v>
      </c>
      <c r="AK45">
        <v>4</v>
      </c>
      <c r="AL45">
        <v>1</v>
      </c>
      <c r="AM45">
        <v>4</v>
      </c>
      <c r="AN45">
        <v>11</v>
      </c>
      <c r="AO45">
        <v>222</v>
      </c>
      <c r="AP45">
        <v>15</v>
      </c>
      <c r="AQ45">
        <v>334</v>
      </c>
      <c r="AR45">
        <v>0.15612903225806449</v>
      </c>
      <c r="AS45">
        <v>9.9354838709677415E-2</v>
      </c>
      <c r="AT45">
        <v>0.1754838709677419</v>
      </c>
      <c r="AU45">
        <v>3.0967741935483871E-2</v>
      </c>
      <c r="AV45">
        <v>0</v>
      </c>
      <c r="AW45">
        <v>5.1612903225806452E-3</v>
      </c>
      <c r="AX45">
        <v>0.28645161290322579</v>
      </c>
      <c r="AY45">
        <v>0.43096774193548387</v>
      </c>
      <c r="AZ45">
        <v>0.28129032258064512</v>
      </c>
      <c r="BA45">
        <v>1</v>
      </c>
      <c r="BB45">
        <v>0.94444444444444453</v>
      </c>
      <c r="BC45">
        <v>1</v>
      </c>
      <c r="BD45">
        <v>0.8008064516129032</v>
      </c>
      <c r="BE45">
        <v>4</v>
      </c>
      <c r="BF45">
        <v>0.93631272401433696</v>
      </c>
      <c r="BG45">
        <v>0.95</v>
      </c>
      <c r="BH45" t="s">
        <v>164</v>
      </c>
      <c r="BI45">
        <v>0.94</v>
      </c>
      <c r="BJ45" t="s">
        <v>164</v>
      </c>
      <c r="BK45" s="2">
        <f t="shared" si="0"/>
        <v>1.0000000000000009E-2</v>
      </c>
      <c r="BL45" t="b">
        <f t="shared" si="1"/>
        <v>1</v>
      </c>
    </row>
    <row r="46" spans="1:64" x14ac:dyDescent="0.35">
      <c r="A46" t="s">
        <v>199</v>
      </c>
      <c r="B46" t="s">
        <v>192</v>
      </c>
      <c r="C46">
        <v>2017</v>
      </c>
      <c r="D46" t="s">
        <v>193</v>
      </c>
      <c r="E46" t="s">
        <v>194</v>
      </c>
      <c r="F46" t="s">
        <v>66</v>
      </c>
      <c r="G46" t="s">
        <v>101</v>
      </c>
      <c r="H46" t="s">
        <v>195</v>
      </c>
      <c r="I46" t="s">
        <v>196</v>
      </c>
      <c r="J46" t="s">
        <v>70</v>
      </c>
      <c r="L46">
        <v>3</v>
      </c>
      <c r="M46" t="b">
        <v>0</v>
      </c>
      <c r="N46">
        <v>1</v>
      </c>
      <c r="O46">
        <v>2</v>
      </c>
      <c r="P46">
        <v>11</v>
      </c>
      <c r="Q46">
        <v>4</v>
      </c>
      <c r="R46">
        <v>7</v>
      </c>
      <c r="S46">
        <v>6</v>
      </c>
      <c r="T46">
        <v>33</v>
      </c>
      <c r="U46">
        <v>3387</v>
      </c>
      <c r="V46">
        <v>161</v>
      </c>
      <c r="W46">
        <v>26</v>
      </c>
      <c r="X46">
        <v>6.1923076923076934</v>
      </c>
      <c r="Y46">
        <v>5</v>
      </c>
      <c r="Z46">
        <v>252</v>
      </c>
      <c r="AA46">
        <v>1</v>
      </c>
      <c r="AB46">
        <v>54</v>
      </c>
      <c r="AC46">
        <v>6</v>
      </c>
      <c r="AD46">
        <v>6</v>
      </c>
      <c r="AE46">
        <v>116</v>
      </c>
      <c r="AF46">
        <v>1</v>
      </c>
      <c r="AG46">
        <v>312</v>
      </c>
      <c r="AH46">
        <v>0</v>
      </c>
      <c r="AI46">
        <v>0</v>
      </c>
      <c r="AJ46">
        <v>2</v>
      </c>
      <c r="AK46">
        <v>41</v>
      </c>
      <c r="AL46">
        <v>2</v>
      </c>
      <c r="AM46">
        <v>41</v>
      </c>
      <c r="AN46">
        <v>7</v>
      </c>
      <c r="AO46">
        <v>618</v>
      </c>
      <c r="AP46">
        <v>12</v>
      </c>
      <c r="AQ46">
        <v>422</v>
      </c>
      <c r="AR46">
        <v>7.4402125775022143E-2</v>
      </c>
      <c r="AS46">
        <v>1.5943312666076171E-2</v>
      </c>
      <c r="AT46">
        <v>3.4248597578978447E-2</v>
      </c>
      <c r="AU46">
        <v>9.211691762621789E-2</v>
      </c>
      <c r="AV46">
        <v>0</v>
      </c>
      <c r="AW46">
        <v>1.2105107764983761E-2</v>
      </c>
      <c r="AX46">
        <v>0.1824623560673162</v>
      </c>
      <c r="AY46">
        <v>0.12459403602007681</v>
      </c>
      <c r="AZ46">
        <v>0.17035724830233251</v>
      </c>
      <c r="BA46">
        <v>0.83333333333333337</v>
      </c>
      <c r="BB46">
        <v>0.86538461538461553</v>
      </c>
      <c r="BC46">
        <v>0.8</v>
      </c>
      <c r="BD46">
        <v>0.73147328018895785</v>
      </c>
      <c r="BE46">
        <v>4</v>
      </c>
      <c r="BF46">
        <v>0.8075478072267267</v>
      </c>
      <c r="BG46">
        <v>0.8</v>
      </c>
      <c r="BH46" t="s">
        <v>164</v>
      </c>
      <c r="BI46">
        <v>0.81</v>
      </c>
      <c r="BJ46" t="s">
        <v>164</v>
      </c>
      <c r="BK46" s="2">
        <f t="shared" si="0"/>
        <v>-1.0000000000000009E-2</v>
      </c>
      <c r="BL46" t="b">
        <f t="shared" si="1"/>
        <v>1</v>
      </c>
    </row>
    <row r="47" spans="1:64" x14ac:dyDescent="0.35">
      <c r="A47" t="s">
        <v>200</v>
      </c>
      <c r="B47" t="s">
        <v>192</v>
      </c>
      <c r="C47">
        <v>2020</v>
      </c>
      <c r="D47" t="s">
        <v>193</v>
      </c>
      <c r="E47" t="s">
        <v>194</v>
      </c>
      <c r="F47" t="s">
        <v>66</v>
      </c>
      <c r="G47" t="s">
        <v>101</v>
      </c>
      <c r="H47" t="s">
        <v>195</v>
      </c>
      <c r="I47" t="s">
        <v>196</v>
      </c>
      <c r="J47" t="s">
        <v>70</v>
      </c>
      <c r="L47">
        <v>3</v>
      </c>
      <c r="M47" t="b">
        <v>0</v>
      </c>
      <c r="N47">
        <v>4</v>
      </c>
      <c r="O47">
        <v>2</v>
      </c>
      <c r="P47">
        <v>2</v>
      </c>
      <c r="Q47">
        <v>3</v>
      </c>
      <c r="R47">
        <v>-1</v>
      </c>
      <c r="S47">
        <v>3</v>
      </c>
      <c r="T47">
        <v>14</v>
      </c>
      <c r="U47">
        <v>247</v>
      </c>
      <c r="V47">
        <v>56</v>
      </c>
      <c r="W47">
        <v>12</v>
      </c>
      <c r="X47">
        <v>4.666666666666667</v>
      </c>
      <c r="Y47">
        <v>1</v>
      </c>
      <c r="Z47">
        <v>8</v>
      </c>
      <c r="AA47">
        <v>0</v>
      </c>
      <c r="AB47">
        <v>0</v>
      </c>
      <c r="AC47">
        <v>3</v>
      </c>
      <c r="AD47">
        <v>2</v>
      </c>
      <c r="AE47">
        <v>72</v>
      </c>
      <c r="AF47">
        <v>1</v>
      </c>
      <c r="AG47">
        <v>2</v>
      </c>
      <c r="AH47">
        <v>2</v>
      </c>
      <c r="AI47">
        <v>41</v>
      </c>
      <c r="AJ47">
        <v>1</v>
      </c>
      <c r="AK47">
        <v>7</v>
      </c>
      <c r="AL47">
        <v>3</v>
      </c>
      <c r="AM47">
        <v>48</v>
      </c>
      <c r="AN47">
        <v>2</v>
      </c>
      <c r="AO47">
        <v>10</v>
      </c>
      <c r="AP47">
        <v>3</v>
      </c>
      <c r="AQ47">
        <v>80</v>
      </c>
      <c r="AR47">
        <v>3.2388663967611343E-2</v>
      </c>
      <c r="AS47">
        <v>0</v>
      </c>
      <c r="AT47">
        <v>0.291497975708502</v>
      </c>
      <c r="AU47">
        <v>8.0971659919028341E-3</v>
      </c>
      <c r="AV47">
        <v>0.16599190283400811</v>
      </c>
      <c r="AW47">
        <v>0.19433198380566799</v>
      </c>
      <c r="AX47">
        <v>4.048582995951417E-2</v>
      </c>
      <c r="AY47">
        <v>0.32388663967611342</v>
      </c>
      <c r="AZ47">
        <v>-0.15384615384615391</v>
      </c>
      <c r="BA47">
        <v>0.33333333333333331</v>
      </c>
      <c r="BB47">
        <v>0.61111111111111116</v>
      </c>
      <c r="BC47">
        <v>0.2</v>
      </c>
      <c r="BD47">
        <v>0.52884615384615374</v>
      </c>
      <c r="BE47">
        <v>4</v>
      </c>
      <c r="BF47">
        <v>0.41832264957264947</v>
      </c>
      <c r="BG47">
        <v>0.44</v>
      </c>
      <c r="BH47" t="s">
        <v>71</v>
      </c>
      <c r="BI47">
        <v>0.42</v>
      </c>
      <c r="BJ47" t="s">
        <v>71</v>
      </c>
      <c r="BK47" s="2">
        <f t="shared" si="0"/>
        <v>2.0000000000000018E-2</v>
      </c>
      <c r="BL47" t="b">
        <f t="shared" si="1"/>
        <v>1</v>
      </c>
    </row>
    <row r="48" spans="1:64" x14ac:dyDescent="0.35">
      <c r="A48" t="s">
        <v>201</v>
      </c>
      <c r="B48" t="s">
        <v>202</v>
      </c>
      <c r="C48">
        <v>2016</v>
      </c>
      <c r="D48" t="s">
        <v>203</v>
      </c>
      <c r="E48" t="s">
        <v>204</v>
      </c>
      <c r="F48" t="s">
        <v>66</v>
      </c>
      <c r="G48" t="s">
        <v>101</v>
      </c>
      <c r="H48" t="s">
        <v>184</v>
      </c>
      <c r="I48" t="s">
        <v>101</v>
      </c>
      <c r="J48" t="s">
        <v>70</v>
      </c>
      <c r="L48">
        <v>4</v>
      </c>
      <c r="M48" t="b">
        <v>0</v>
      </c>
      <c r="N48">
        <v>3</v>
      </c>
      <c r="O48">
        <v>2</v>
      </c>
      <c r="P48">
        <v>4</v>
      </c>
      <c r="Q48">
        <v>4</v>
      </c>
      <c r="R48">
        <v>0</v>
      </c>
      <c r="S48">
        <v>4</v>
      </c>
      <c r="T48">
        <v>24</v>
      </c>
      <c r="U48">
        <v>1378</v>
      </c>
      <c r="V48">
        <v>87</v>
      </c>
      <c r="W48">
        <v>18</v>
      </c>
      <c r="X48">
        <v>4.833333333333333</v>
      </c>
      <c r="Y48">
        <v>2</v>
      </c>
      <c r="Z48">
        <v>78</v>
      </c>
      <c r="AA48">
        <v>0</v>
      </c>
      <c r="AB48">
        <v>0</v>
      </c>
      <c r="AC48">
        <v>4</v>
      </c>
      <c r="AD48">
        <v>4</v>
      </c>
      <c r="AE48">
        <v>355</v>
      </c>
      <c r="AF48">
        <v>0</v>
      </c>
      <c r="AG48">
        <v>0</v>
      </c>
      <c r="AH48">
        <v>2</v>
      </c>
      <c r="AI48">
        <v>85</v>
      </c>
      <c r="AJ48">
        <v>2</v>
      </c>
      <c r="AK48">
        <v>17</v>
      </c>
      <c r="AL48">
        <v>5</v>
      </c>
      <c r="AM48">
        <v>122</v>
      </c>
      <c r="AN48">
        <v>2</v>
      </c>
      <c r="AO48">
        <v>78</v>
      </c>
      <c r="AP48">
        <v>6</v>
      </c>
      <c r="AQ48">
        <v>433</v>
      </c>
      <c r="AR48">
        <v>5.6603773584905662E-2</v>
      </c>
      <c r="AS48">
        <v>0</v>
      </c>
      <c r="AT48">
        <v>0.25761973875181421</v>
      </c>
      <c r="AU48">
        <v>0</v>
      </c>
      <c r="AV48">
        <v>6.1683599419448468E-2</v>
      </c>
      <c r="AW48">
        <v>8.8534107402031936E-2</v>
      </c>
      <c r="AX48">
        <v>5.6603773584905662E-2</v>
      </c>
      <c r="AY48">
        <v>0.31422351233671991</v>
      </c>
      <c r="AZ48">
        <v>-3.1930333817126268E-2</v>
      </c>
      <c r="BA48">
        <v>0.5</v>
      </c>
      <c r="BB48">
        <v>0.63888888888888884</v>
      </c>
      <c r="BC48">
        <v>0.4</v>
      </c>
      <c r="BD48">
        <v>0.60504354136429606</v>
      </c>
      <c r="BE48">
        <v>4</v>
      </c>
      <c r="BF48">
        <v>0.53598310756329626</v>
      </c>
      <c r="BG48">
        <v>0.55000000000000004</v>
      </c>
      <c r="BH48" t="s">
        <v>71</v>
      </c>
      <c r="BI48">
        <v>0.54</v>
      </c>
      <c r="BJ48" t="s">
        <v>71</v>
      </c>
      <c r="BK48" s="2">
        <f t="shared" si="0"/>
        <v>1.0000000000000009E-2</v>
      </c>
      <c r="BL48" t="b">
        <f t="shared" si="1"/>
        <v>1</v>
      </c>
    </row>
    <row r="49" spans="1:64" x14ac:dyDescent="0.35">
      <c r="A49" t="s">
        <v>205</v>
      </c>
      <c r="B49" t="s">
        <v>202</v>
      </c>
      <c r="C49">
        <v>2019</v>
      </c>
      <c r="D49" t="s">
        <v>203</v>
      </c>
      <c r="E49" t="s">
        <v>204</v>
      </c>
      <c r="F49" t="s">
        <v>66</v>
      </c>
      <c r="G49" t="s">
        <v>101</v>
      </c>
      <c r="H49" t="s">
        <v>184</v>
      </c>
      <c r="I49" t="s">
        <v>101</v>
      </c>
      <c r="J49" t="s">
        <v>70</v>
      </c>
      <c r="L49">
        <v>4</v>
      </c>
      <c r="M49" t="b">
        <v>0</v>
      </c>
      <c r="N49">
        <v>1</v>
      </c>
      <c r="O49">
        <v>2</v>
      </c>
      <c r="P49">
        <v>7</v>
      </c>
      <c r="Q49">
        <v>6</v>
      </c>
      <c r="R49">
        <v>1</v>
      </c>
      <c r="S49">
        <v>5</v>
      </c>
      <c r="T49">
        <v>32</v>
      </c>
      <c r="U49">
        <v>1328</v>
      </c>
      <c r="V49">
        <v>125</v>
      </c>
      <c r="W49">
        <v>22</v>
      </c>
      <c r="X49">
        <v>5.6818181818181817</v>
      </c>
      <c r="Y49">
        <v>2</v>
      </c>
      <c r="Z49">
        <v>27</v>
      </c>
      <c r="AA49">
        <v>0</v>
      </c>
      <c r="AB49">
        <v>0</v>
      </c>
      <c r="AC49">
        <v>3</v>
      </c>
      <c r="AD49">
        <v>3</v>
      </c>
      <c r="AE49">
        <v>286</v>
      </c>
      <c r="AF49">
        <v>0</v>
      </c>
      <c r="AG49">
        <v>0</v>
      </c>
      <c r="AH49">
        <v>4</v>
      </c>
      <c r="AI49">
        <v>110</v>
      </c>
      <c r="AJ49">
        <v>2</v>
      </c>
      <c r="AK49">
        <v>35</v>
      </c>
      <c r="AL49">
        <v>6</v>
      </c>
      <c r="AM49">
        <v>145</v>
      </c>
      <c r="AN49">
        <v>2</v>
      </c>
      <c r="AO49">
        <v>27</v>
      </c>
      <c r="AP49">
        <v>5</v>
      </c>
      <c r="AQ49">
        <v>313</v>
      </c>
      <c r="AR49">
        <v>2.0331325301204819E-2</v>
      </c>
      <c r="AS49">
        <v>0</v>
      </c>
      <c r="AT49">
        <v>0.21536144578313249</v>
      </c>
      <c r="AU49">
        <v>0</v>
      </c>
      <c r="AV49">
        <v>8.2831325301204822E-2</v>
      </c>
      <c r="AW49">
        <v>0.1091867469879518</v>
      </c>
      <c r="AX49">
        <v>2.0331325301204819E-2</v>
      </c>
      <c r="AY49">
        <v>0.23569277108433731</v>
      </c>
      <c r="AZ49">
        <v>-8.8855421686746983E-2</v>
      </c>
      <c r="BA49">
        <v>0.66666666666666663</v>
      </c>
      <c r="BB49">
        <v>0.78030303030303028</v>
      </c>
      <c r="BC49">
        <v>0.33333333333333331</v>
      </c>
      <c r="BD49">
        <v>0.56946536144578308</v>
      </c>
      <c r="BE49">
        <v>4</v>
      </c>
      <c r="BF49">
        <v>0.58744209793720337</v>
      </c>
      <c r="BG49">
        <v>0.6</v>
      </c>
      <c r="BH49" t="s">
        <v>86</v>
      </c>
      <c r="BI49">
        <v>0.59</v>
      </c>
      <c r="BJ49" t="s">
        <v>71</v>
      </c>
      <c r="BK49" s="2">
        <f t="shared" si="0"/>
        <v>1.0000000000000009E-2</v>
      </c>
      <c r="BL49" t="b">
        <f t="shared" si="1"/>
        <v>0</v>
      </c>
    </row>
    <row r="50" spans="1:64" x14ac:dyDescent="0.35">
      <c r="A50" t="s">
        <v>206</v>
      </c>
      <c r="B50" t="s">
        <v>202</v>
      </c>
      <c r="C50">
        <v>2020</v>
      </c>
      <c r="D50" t="s">
        <v>203</v>
      </c>
      <c r="E50" t="s">
        <v>204</v>
      </c>
      <c r="F50" t="s">
        <v>66</v>
      </c>
      <c r="G50" t="s">
        <v>101</v>
      </c>
      <c r="H50" t="s">
        <v>184</v>
      </c>
      <c r="I50" t="s">
        <v>101</v>
      </c>
      <c r="J50" t="s">
        <v>70</v>
      </c>
      <c r="L50">
        <v>4</v>
      </c>
      <c r="M50" t="b">
        <v>0</v>
      </c>
      <c r="N50">
        <v>1</v>
      </c>
      <c r="O50">
        <v>1</v>
      </c>
      <c r="P50">
        <v>4</v>
      </c>
      <c r="Q50">
        <v>5</v>
      </c>
      <c r="R50">
        <v>-1</v>
      </c>
      <c r="S50">
        <v>4</v>
      </c>
      <c r="T50">
        <v>35</v>
      </c>
      <c r="U50">
        <v>718</v>
      </c>
      <c r="V50">
        <v>131</v>
      </c>
      <c r="W50">
        <v>24</v>
      </c>
      <c r="X50">
        <v>5.458333333333333</v>
      </c>
      <c r="Y50">
        <v>1</v>
      </c>
      <c r="Z50">
        <v>7</v>
      </c>
      <c r="AA50">
        <v>0</v>
      </c>
      <c r="AB50">
        <v>0</v>
      </c>
      <c r="AC50">
        <v>1</v>
      </c>
      <c r="AD50">
        <v>1</v>
      </c>
      <c r="AE50">
        <v>52</v>
      </c>
      <c r="AF50">
        <v>1</v>
      </c>
      <c r="AG50">
        <v>4</v>
      </c>
      <c r="AH50">
        <v>4</v>
      </c>
      <c r="AI50">
        <v>115</v>
      </c>
      <c r="AJ50">
        <v>3</v>
      </c>
      <c r="AK50">
        <v>48</v>
      </c>
      <c r="AL50">
        <v>7</v>
      </c>
      <c r="AM50">
        <v>163</v>
      </c>
      <c r="AN50">
        <v>2</v>
      </c>
      <c r="AO50">
        <v>11</v>
      </c>
      <c r="AP50">
        <v>2</v>
      </c>
      <c r="AQ50">
        <v>59</v>
      </c>
      <c r="AR50">
        <v>9.7493036211699167E-3</v>
      </c>
      <c r="AS50">
        <v>0</v>
      </c>
      <c r="AT50">
        <v>7.2423398328690811E-2</v>
      </c>
      <c r="AU50">
        <v>5.5710306406685237E-3</v>
      </c>
      <c r="AV50">
        <v>0.16016713091922011</v>
      </c>
      <c r="AW50">
        <v>0.2270194986072423</v>
      </c>
      <c r="AX50">
        <v>1.532033426183844E-2</v>
      </c>
      <c r="AY50">
        <v>8.2172701949860719E-2</v>
      </c>
      <c r="AZ50">
        <v>-0.2116991643454039</v>
      </c>
      <c r="BA50">
        <v>0.5</v>
      </c>
      <c r="BB50">
        <v>0.74305555555555547</v>
      </c>
      <c r="BC50">
        <v>0.1333333333333333</v>
      </c>
      <c r="BD50">
        <v>0.49268802228412251</v>
      </c>
      <c r="BE50">
        <v>4</v>
      </c>
      <c r="BF50">
        <v>0.46726922779325281</v>
      </c>
      <c r="BG50">
        <v>0.49</v>
      </c>
      <c r="BH50" t="s">
        <v>71</v>
      </c>
      <c r="BI50">
        <v>0.47</v>
      </c>
      <c r="BJ50" t="s">
        <v>71</v>
      </c>
      <c r="BK50" s="2">
        <f t="shared" si="0"/>
        <v>2.0000000000000018E-2</v>
      </c>
      <c r="BL50" t="b">
        <f t="shared" si="1"/>
        <v>1</v>
      </c>
    </row>
    <row r="51" spans="1:64" x14ac:dyDescent="0.35">
      <c r="A51" t="s">
        <v>207</v>
      </c>
      <c r="B51" t="s">
        <v>208</v>
      </c>
      <c r="C51">
        <v>2014</v>
      </c>
      <c r="D51" t="s">
        <v>209</v>
      </c>
      <c r="E51" t="s">
        <v>210</v>
      </c>
      <c r="F51" t="s">
        <v>66</v>
      </c>
      <c r="G51" t="s">
        <v>101</v>
      </c>
      <c r="H51" t="s">
        <v>211</v>
      </c>
      <c r="I51" t="s">
        <v>212</v>
      </c>
      <c r="J51" t="s">
        <v>70</v>
      </c>
      <c r="L51">
        <v>3</v>
      </c>
      <c r="M51" t="b">
        <v>0</v>
      </c>
      <c r="N51">
        <v>2</v>
      </c>
      <c r="O51">
        <v>1</v>
      </c>
      <c r="P51">
        <v>3</v>
      </c>
      <c r="Q51">
        <v>4</v>
      </c>
      <c r="R51">
        <v>-1</v>
      </c>
      <c r="S51">
        <v>4</v>
      </c>
      <c r="T51">
        <v>22</v>
      </c>
      <c r="U51">
        <v>1550</v>
      </c>
      <c r="V51">
        <v>72</v>
      </c>
      <c r="W51">
        <v>13</v>
      </c>
      <c r="X51">
        <v>5.5384615384615383</v>
      </c>
      <c r="Y51">
        <v>0</v>
      </c>
      <c r="Z51">
        <v>0</v>
      </c>
      <c r="AA51">
        <v>0</v>
      </c>
      <c r="AB51">
        <v>0</v>
      </c>
      <c r="AC51">
        <v>2</v>
      </c>
      <c r="AD51">
        <v>2</v>
      </c>
      <c r="AE51">
        <v>28</v>
      </c>
      <c r="AF51">
        <v>1</v>
      </c>
      <c r="AG51">
        <v>25</v>
      </c>
      <c r="AH51">
        <v>0</v>
      </c>
      <c r="AI51">
        <v>0</v>
      </c>
      <c r="AJ51">
        <v>1</v>
      </c>
      <c r="AK51">
        <v>12</v>
      </c>
      <c r="AL51">
        <v>2</v>
      </c>
      <c r="AM51">
        <v>162</v>
      </c>
      <c r="AN51">
        <v>1</v>
      </c>
      <c r="AO51">
        <v>25</v>
      </c>
      <c r="AP51">
        <v>2</v>
      </c>
      <c r="AQ51">
        <v>28</v>
      </c>
      <c r="AR51">
        <v>0</v>
      </c>
      <c r="AS51">
        <v>0</v>
      </c>
      <c r="AT51">
        <v>1.806451612903226E-2</v>
      </c>
      <c r="AU51">
        <v>1.6129032258064519E-2</v>
      </c>
      <c r="AV51">
        <v>0</v>
      </c>
      <c r="AW51">
        <v>0.1045161290322581</v>
      </c>
      <c r="AX51">
        <v>1.6129032258064519E-2</v>
      </c>
      <c r="AY51">
        <v>1.806451612903226E-2</v>
      </c>
      <c r="AZ51">
        <v>-8.8387096774193555E-2</v>
      </c>
      <c r="BA51">
        <v>0.5</v>
      </c>
      <c r="BB51">
        <v>0.75641025641025639</v>
      </c>
      <c r="BC51">
        <v>0.1333333333333333</v>
      </c>
      <c r="BD51">
        <v>0.56975806451612898</v>
      </c>
      <c r="BE51">
        <v>4</v>
      </c>
      <c r="BF51">
        <v>0.4898754135649297</v>
      </c>
      <c r="BG51">
        <v>0.5</v>
      </c>
      <c r="BH51" t="s">
        <v>71</v>
      </c>
      <c r="BI51">
        <v>0.49</v>
      </c>
      <c r="BJ51" t="s">
        <v>71</v>
      </c>
      <c r="BK51" s="2">
        <f t="shared" si="0"/>
        <v>1.0000000000000009E-2</v>
      </c>
      <c r="BL51" t="b">
        <f t="shared" si="1"/>
        <v>1</v>
      </c>
    </row>
    <row r="52" spans="1:64" x14ac:dyDescent="0.35">
      <c r="A52" t="s">
        <v>213</v>
      </c>
      <c r="B52" t="s">
        <v>208</v>
      </c>
      <c r="C52">
        <v>2021</v>
      </c>
      <c r="D52" t="s">
        <v>209</v>
      </c>
      <c r="E52" t="s">
        <v>210</v>
      </c>
      <c r="F52" t="s">
        <v>66</v>
      </c>
      <c r="G52" t="s">
        <v>101</v>
      </c>
      <c r="H52" t="s">
        <v>211</v>
      </c>
      <c r="I52" t="s">
        <v>212</v>
      </c>
      <c r="J52" t="s">
        <v>70</v>
      </c>
      <c r="L52">
        <v>3</v>
      </c>
      <c r="M52" t="b">
        <v>0</v>
      </c>
      <c r="N52">
        <v>3</v>
      </c>
      <c r="O52">
        <v>1</v>
      </c>
      <c r="P52">
        <v>1</v>
      </c>
      <c r="Q52">
        <v>1</v>
      </c>
      <c r="R52">
        <v>0</v>
      </c>
      <c r="S52">
        <v>4</v>
      </c>
      <c r="T52">
        <v>17</v>
      </c>
      <c r="U52">
        <v>162</v>
      </c>
      <c r="V52">
        <v>71</v>
      </c>
      <c r="W52">
        <v>13</v>
      </c>
      <c r="X52">
        <v>5.4615384615384617</v>
      </c>
      <c r="Y52">
        <v>1</v>
      </c>
      <c r="Z52">
        <v>4</v>
      </c>
      <c r="AA52">
        <v>0</v>
      </c>
      <c r="AB52">
        <v>0</v>
      </c>
      <c r="AC52">
        <v>4</v>
      </c>
      <c r="AD52">
        <v>4</v>
      </c>
      <c r="AE52">
        <v>53</v>
      </c>
      <c r="AF52">
        <v>1</v>
      </c>
      <c r="AG52">
        <v>3</v>
      </c>
      <c r="AH52">
        <v>2</v>
      </c>
      <c r="AI52">
        <v>5</v>
      </c>
      <c r="AJ52">
        <v>1</v>
      </c>
      <c r="AK52">
        <v>8</v>
      </c>
      <c r="AL52">
        <v>3</v>
      </c>
      <c r="AM52">
        <v>13</v>
      </c>
      <c r="AN52">
        <v>2</v>
      </c>
      <c r="AO52">
        <v>7</v>
      </c>
      <c r="AP52">
        <v>5</v>
      </c>
      <c r="AQ52">
        <v>57</v>
      </c>
      <c r="AR52">
        <v>2.469135802469136E-2</v>
      </c>
      <c r="AS52">
        <v>0</v>
      </c>
      <c r="AT52">
        <v>0.3271604938271605</v>
      </c>
      <c r="AU52">
        <v>1.8518518518518521E-2</v>
      </c>
      <c r="AV52">
        <v>3.0864197530864199E-2</v>
      </c>
      <c r="AW52">
        <v>8.0246913580246909E-2</v>
      </c>
      <c r="AX52">
        <v>4.3209876543209867E-2</v>
      </c>
      <c r="AY52">
        <v>0.35185185185185192</v>
      </c>
      <c r="AZ52">
        <v>-3.7037037037037028E-2</v>
      </c>
      <c r="BA52">
        <v>0.5</v>
      </c>
      <c r="BB52">
        <v>0.74358974358974361</v>
      </c>
      <c r="BC52">
        <v>0.33333333333333331</v>
      </c>
      <c r="BD52">
        <v>0.60185185185185186</v>
      </c>
      <c r="BE52">
        <v>4</v>
      </c>
      <c r="BF52">
        <v>0.54469373219373218</v>
      </c>
      <c r="BG52">
        <v>0.51</v>
      </c>
      <c r="BH52" t="s">
        <v>71</v>
      </c>
      <c r="BI52">
        <v>0.54</v>
      </c>
      <c r="BJ52" t="s">
        <v>71</v>
      </c>
      <c r="BK52" s="2">
        <f t="shared" si="0"/>
        <v>-3.0000000000000027E-2</v>
      </c>
      <c r="BL52" t="b">
        <f t="shared" si="1"/>
        <v>1</v>
      </c>
    </row>
    <row r="53" spans="1:64" x14ac:dyDescent="0.35">
      <c r="A53" t="s">
        <v>214</v>
      </c>
      <c r="B53" t="s">
        <v>215</v>
      </c>
      <c r="C53">
        <v>2014</v>
      </c>
      <c r="D53" t="s">
        <v>216</v>
      </c>
      <c r="E53" t="s">
        <v>217</v>
      </c>
      <c r="F53" t="s">
        <v>66</v>
      </c>
      <c r="G53" t="s">
        <v>101</v>
      </c>
      <c r="H53" t="s">
        <v>184</v>
      </c>
      <c r="I53" t="s">
        <v>218</v>
      </c>
      <c r="J53" t="s">
        <v>70</v>
      </c>
      <c r="L53">
        <v>3</v>
      </c>
      <c r="M53" t="b">
        <v>0</v>
      </c>
      <c r="N53">
        <v>1</v>
      </c>
      <c r="O53">
        <v>2</v>
      </c>
      <c r="P53">
        <v>10</v>
      </c>
      <c r="Q53">
        <v>4</v>
      </c>
      <c r="R53">
        <v>6</v>
      </c>
      <c r="S53">
        <v>6</v>
      </c>
      <c r="T53">
        <v>42</v>
      </c>
      <c r="U53">
        <v>1603</v>
      </c>
      <c r="V53">
        <v>179</v>
      </c>
      <c r="W53">
        <v>31</v>
      </c>
      <c r="X53">
        <v>5.774193548387097</v>
      </c>
      <c r="Y53">
        <v>7</v>
      </c>
      <c r="Z53">
        <v>156</v>
      </c>
      <c r="AA53">
        <v>2</v>
      </c>
      <c r="AB53">
        <v>26</v>
      </c>
      <c r="AC53">
        <v>3</v>
      </c>
      <c r="AD53">
        <v>3</v>
      </c>
      <c r="AE53">
        <v>100</v>
      </c>
      <c r="AF53">
        <v>3</v>
      </c>
      <c r="AG53">
        <v>61</v>
      </c>
      <c r="AH53">
        <v>0</v>
      </c>
      <c r="AI53">
        <v>0</v>
      </c>
      <c r="AJ53">
        <v>2</v>
      </c>
      <c r="AK53">
        <v>27</v>
      </c>
      <c r="AL53">
        <v>2</v>
      </c>
      <c r="AM53">
        <v>27</v>
      </c>
      <c r="AN53">
        <v>12</v>
      </c>
      <c r="AO53">
        <v>243</v>
      </c>
      <c r="AP53">
        <v>12</v>
      </c>
      <c r="AQ53">
        <v>282</v>
      </c>
      <c r="AR53">
        <v>9.7317529631940111E-2</v>
      </c>
      <c r="AS53">
        <v>1.6219588271990021E-2</v>
      </c>
      <c r="AT53">
        <v>6.2383031815346227E-2</v>
      </c>
      <c r="AU53">
        <v>3.8053649407361202E-2</v>
      </c>
      <c r="AV53">
        <v>0</v>
      </c>
      <c r="AW53">
        <v>1.6843418590143482E-2</v>
      </c>
      <c r="AX53">
        <v>0.15159076731129131</v>
      </c>
      <c r="AY53">
        <v>0.17592014971927639</v>
      </c>
      <c r="AZ53">
        <v>0.13474734872114791</v>
      </c>
      <c r="BA53">
        <v>0.83333333333333337</v>
      </c>
      <c r="BB53">
        <v>0.79569892473118287</v>
      </c>
      <c r="BC53">
        <v>0.8</v>
      </c>
      <c r="BD53">
        <v>0.70921709295071744</v>
      </c>
      <c r="BE53">
        <v>4</v>
      </c>
      <c r="BF53">
        <v>0.78456233775380846</v>
      </c>
      <c r="BG53">
        <v>0.78</v>
      </c>
      <c r="BH53" t="s">
        <v>86</v>
      </c>
      <c r="BI53">
        <v>0.78</v>
      </c>
      <c r="BJ53" t="s">
        <v>86</v>
      </c>
      <c r="BK53" s="2">
        <f t="shared" si="0"/>
        <v>0</v>
      </c>
      <c r="BL53" t="b">
        <f t="shared" si="1"/>
        <v>1</v>
      </c>
    </row>
    <row r="54" spans="1:64" x14ac:dyDescent="0.35">
      <c r="A54" t="s">
        <v>219</v>
      </c>
      <c r="B54" t="s">
        <v>215</v>
      </c>
      <c r="C54">
        <v>2018</v>
      </c>
      <c r="D54" t="s">
        <v>216</v>
      </c>
      <c r="E54" t="s">
        <v>217</v>
      </c>
      <c r="F54" t="s">
        <v>66</v>
      </c>
      <c r="G54" t="s">
        <v>101</v>
      </c>
      <c r="H54" t="s">
        <v>184</v>
      </c>
      <c r="I54" t="s">
        <v>218</v>
      </c>
      <c r="J54" t="s">
        <v>70</v>
      </c>
      <c r="L54">
        <v>3</v>
      </c>
      <c r="M54" t="b">
        <v>0</v>
      </c>
      <c r="N54">
        <v>1</v>
      </c>
      <c r="O54">
        <v>2</v>
      </c>
      <c r="P54">
        <v>10</v>
      </c>
      <c r="Q54">
        <v>5</v>
      </c>
      <c r="R54">
        <v>5</v>
      </c>
      <c r="S54">
        <v>6</v>
      </c>
      <c r="T54">
        <v>38</v>
      </c>
      <c r="U54">
        <v>910</v>
      </c>
      <c r="V54">
        <v>150</v>
      </c>
      <c r="W54">
        <v>24</v>
      </c>
      <c r="X54">
        <v>6.25</v>
      </c>
      <c r="Y54">
        <v>6</v>
      </c>
      <c r="Z54">
        <v>116</v>
      </c>
      <c r="AA54">
        <v>0</v>
      </c>
      <c r="AB54">
        <v>0</v>
      </c>
      <c r="AC54">
        <v>3</v>
      </c>
      <c r="AD54">
        <v>2</v>
      </c>
      <c r="AE54">
        <v>88</v>
      </c>
      <c r="AF54">
        <v>1</v>
      </c>
      <c r="AG54">
        <v>33</v>
      </c>
      <c r="AH54">
        <v>1</v>
      </c>
      <c r="AI54">
        <v>13</v>
      </c>
      <c r="AJ54">
        <v>1</v>
      </c>
      <c r="AK54">
        <v>6</v>
      </c>
      <c r="AL54">
        <v>2</v>
      </c>
      <c r="AM54">
        <v>19</v>
      </c>
      <c r="AN54">
        <v>7</v>
      </c>
      <c r="AO54">
        <v>149</v>
      </c>
      <c r="AP54">
        <v>8</v>
      </c>
      <c r="AQ54">
        <v>204</v>
      </c>
      <c r="AR54">
        <v>0.12747252747252749</v>
      </c>
      <c r="AS54">
        <v>0</v>
      </c>
      <c r="AT54">
        <v>9.6703296703296707E-2</v>
      </c>
      <c r="AU54">
        <v>3.6263736263736267E-2</v>
      </c>
      <c r="AV54">
        <v>1.428571428571429E-2</v>
      </c>
      <c r="AW54">
        <v>2.0879120879120881E-2</v>
      </c>
      <c r="AX54">
        <v>0.16373626373626371</v>
      </c>
      <c r="AY54">
        <v>0.22417582417582421</v>
      </c>
      <c r="AZ54">
        <v>0.14285714285714279</v>
      </c>
      <c r="BA54">
        <v>0.83333333333333337</v>
      </c>
      <c r="BB54">
        <v>0.875</v>
      </c>
      <c r="BC54">
        <v>0.53333333333333333</v>
      </c>
      <c r="BD54">
        <v>0.71428571428571419</v>
      </c>
      <c r="BE54">
        <v>4</v>
      </c>
      <c r="BF54">
        <v>0.73898809523809517</v>
      </c>
      <c r="BG54">
        <v>0.74</v>
      </c>
      <c r="BH54" t="s">
        <v>86</v>
      </c>
      <c r="BI54">
        <v>0.74</v>
      </c>
      <c r="BJ54" t="s">
        <v>86</v>
      </c>
      <c r="BK54" s="2">
        <f t="shared" si="0"/>
        <v>0</v>
      </c>
      <c r="BL54" t="b">
        <f t="shared" si="1"/>
        <v>1</v>
      </c>
    </row>
    <row r="55" spans="1:64" x14ac:dyDescent="0.35">
      <c r="A55" t="s">
        <v>220</v>
      </c>
      <c r="B55" t="s">
        <v>215</v>
      </c>
      <c r="C55">
        <v>2021</v>
      </c>
      <c r="D55" t="s">
        <v>216</v>
      </c>
      <c r="E55" t="s">
        <v>217</v>
      </c>
      <c r="F55" t="s">
        <v>66</v>
      </c>
      <c r="G55" t="s">
        <v>101</v>
      </c>
      <c r="H55" t="s">
        <v>184</v>
      </c>
      <c r="I55" t="s">
        <v>218</v>
      </c>
      <c r="J55" t="s">
        <v>70</v>
      </c>
      <c r="L55">
        <v>3</v>
      </c>
      <c r="M55" t="b">
        <v>0</v>
      </c>
      <c r="N55">
        <v>1</v>
      </c>
      <c r="O55">
        <v>2</v>
      </c>
      <c r="P55">
        <v>10</v>
      </c>
      <c r="Q55">
        <v>2</v>
      </c>
      <c r="R55">
        <v>8</v>
      </c>
      <c r="S55">
        <v>6</v>
      </c>
      <c r="T55">
        <v>31</v>
      </c>
      <c r="U55">
        <v>671</v>
      </c>
      <c r="V55">
        <v>140</v>
      </c>
      <c r="W55">
        <v>23</v>
      </c>
      <c r="X55">
        <v>6.0869565217391308</v>
      </c>
      <c r="Y55">
        <v>5</v>
      </c>
      <c r="Z55">
        <v>127</v>
      </c>
      <c r="AA55">
        <v>1</v>
      </c>
      <c r="AB55">
        <v>2</v>
      </c>
      <c r="AC55">
        <v>5</v>
      </c>
      <c r="AD55">
        <v>4</v>
      </c>
      <c r="AE55">
        <v>60</v>
      </c>
      <c r="AF55">
        <v>2</v>
      </c>
      <c r="AG55">
        <v>213</v>
      </c>
      <c r="AH55">
        <v>0</v>
      </c>
      <c r="AI55">
        <v>0</v>
      </c>
      <c r="AJ55">
        <v>1</v>
      </c>
      <c r="AK55">
        <v>4</v>
      </c>
      <c r="AL55">
        <v>1</v>
      </c>
      <c r="AM55">
        <v>4</v>
      </c>
      <c r="AN55">
        <v>8</v>
      </c>
      <c r="AO55">
        <v>342</v>
      </c>
      <c r="AP55">
        <v>10</v>
      </c>
      <c r="AQ55">
        <v>189</v>
      </c>
      <c r="AR55">
        <v>0.1892697466467958</v>
      </c>
      <c r="AS55">
        <v>2.980625931445604E-3</v>
      </c>
      <c r="AT55">
        <v>8.9418777943368111E-2</v>
      </c>
      <c r="AU55">
        <v>0.31743666169895679</v>
      </c>
      <c r="AV55">
        <v>0</v>
      </c>
      <c r="AW55">
        <v>5.9612518628912071E-3</v>
      </c>
      <c r="AX55">
        <v>0.50968703427719819</v>
      </c>
      <c r="AY55">
        <v>0.28166915052160951</v>
      </c>
      <c r="AZ55">
        <v>0.50372578241430699</v>
      </c>
      <c r="BA55">
        <v>0.83333333333333337</v>
      </c>
      <c r="BB55">
        <v>0.84782608695652184</v>
      </c>
      <c r="BC55">
        <v>0.66666666666666663</v>
      </c>
      <c r="BD55">
        <v>0.9398286140089418</v>
      </c>
      <c r="BE55">
        <v>4</v>
      </c>
      <c r="BF55">
        <v>0.82191367524136594</v>
      </c>
      <c r="BG55">
        <v>0.85</v>
      </c>
      <c r="BH55" t="s">
        <v>164</v>
      </c>
      <c r="BI55">
        <v>0.82</v>
      </c>
      <c r="BJ55" t="s">
        <v>164</v>
      </c>
      <c r="BK55" s="2">
        <f t="shared" si="0"/>
        <v>3.0000000000000027E-2</v>
      </c>
      <c r="BL55" t="b">
        <f t="shared" si="1"/>
        <v>1</v>
      </c>
    </row>
    <row r="56" spans="1:64" x14ac:dyDescent="0.35">
      <c r="A56" t="s">
        <v>221</v>
      </c>
      <c r="B56" t="s">
        <v>222</v>
      </c>
      <c r="C56">
        <v>2014</v>
      </c>
      <c r="D56" t="s">
        <v>223</v>
      </c>
      <c r="E56" t="s">
        <v>224</v>
      </c>
      <c r="F56" t="s">
        <v>66</v>
      </c>
      <c r="G56" t="s">
        <v>101</v>
      </c>
      <c r="H56" t="s">
        <v>211</v>
      </c>
      <c r="I56" t="s">
        <v>225</v>
      </c>
      <c r="J56" t="s">
        <v>70</v>
      </c>
      <c r="L56">
        <v>3</v>
      </c>
      <c r="M56" t="b">
        <v>0</v>
      </c>
      <c r="N56">
        <v>1</v>
      </c>
      <c r="O56">
        <v>4</v>
      </c>
      <c r="P56">
        <v>9</v>
      </c>
      <c r="Q56">
        <v>3</v>
      </c>
      <c r="R56">
        <v>6</v>
      </c>
      <c r="S56">
        <v>6</v>
      </c>
      <c r="T56">
        <v>30</v>
      </c>
      <c r="U56">
        <v>855</v>
      </c>
      <c r="V56">
        <v>150</v>
      </c>
      <c r="W56">
        <v>25</v>
      </c>
      <c r="X56">
        <v>6</v>
      </c>
      <c r="Y56">
        <v>3</v>
      </c>
      <c r="Z56">
        <v>63</v>
      </c>
      <c r="AA56">
        <v>1</v>
      </c>
      <c r="AB56">
        <v>28</v>
      </c>
      <c r="AC56">
        <v>4</v>
      </c>
      <c r="AD56">
        <v>4</v>
      </c>
      <c r="AE56">
        <v>113</v>
      </c>
      <c r="AF56">
        <v>2</v>
      </c>
      <c r="AG56">
        <v>35</v>
      </c>
      <c r="AH56">
        <v>0</v>
      </c>
      <c r="AI56">
        <v>0</v>
      </c>
      <c r="AJ56">
        <v>3</v>
      </c>
      <c r="AK56">
        <v>32</v>
      </c>
      <c r="AL56">
        <v>3</v>
      </c>
      <c r="AM56">
        <v>32</v>
      </c>
      <c r="AN56">
        <v>6</v>
      </c>
      <c r="AO56">
        <v>126</v>
      </c>
      <c r="AP56">
        <v>8</v>
      </c>
      <c r="AQ56">
        <v>204</v>
      </c>
      <c r="AR56">
        <v>7.3684210526315783E-2</v>
      </c>
      <c r="AS56">
        <v>3.2748538011695909E-2</v>
      </c>
      <c r="AT56">
        <v>0.13216374269005851</v>
      </c>
      <c r="AU56">
        <v>4.0935672514619881E-2</v>
      </c>
      <c r="AV56">
        <v>0</v>
      </c>
      <c r="AW56">
        <v>3.7426900584795322E-2</v>
      </c>
      <c r="AX56">
        <v>0.14736842105263159</v>
      </c>
      <c r="AY56">
        <v>0.2385964912280702</v>
      </c>
      <c r="AZ56">
        <v>0.1099415204678362</v>
      </c>
      <c r="BA56">
        <v>0.83333333333333337</v>
      </c>
      <c r="BB56">
        <v>0.83333333333333337</v>
      </c>
      <c r="BC56">
        <v>0.53333333333333333</v>
      </c>
      <c r="BD56">
        <v>0.69371345029239762</v>
      </c>
      <c r="BE56">
        <v>4</v>
      </c>
      <c r="BF56">
        <v>0.72342836257309939</v>
      </c>
      <c r="BG56">
        <v>0.74</v>
      </c>
      <c r="BH56" t="s">
        <v>86</v>
      </c>
      <c r="BI56">
        <v>0.72</v>
      </c>
      <c r="BJ56" t="s">
        <v>86</v>
      </c>
      <c r="BK56" s="2">
        <f t="shared" si="0"/>
        <v>2.0000000000000018E-2</v>
      </c>
      <c r="BL56" t="b">
        <f t="shared" si="1"/>
        <v>1</v>
      </c>
    </row>
    <row r="57" spans="1:64" x14ac:dyDescent="0.35">
      <c r="A57" t="s">
        <v>226</v>
      </c>
      <c r="B57" t="s">
        <v>222</v>
      </c>
      <c r="C57">
        <v>2017</v>
      </c>
      <c r="D57" t="s">
        <v>223</v>
      </c>
      <c r="E57" t="s">
        <v>224</v>
      </c>
      <c r="F57" t="s">
        <v>66</v>
      </c>
      <c r="G57" t="s">
        <v>101</v>
      </c>
      <c r="H57" t="s">
        <v>211</v>
      </c>
      <c r="I57" t="s">
        <v>225</v>
      </c>
      <c r="J57" t="s">
        <v>70</v>
      </c>
      <c r="L57">
        <v>3</v>
      </c>
      <c r="M57" t="b">
        <v>0</v>
      </c>
      <c r="N57">
        <v>1</v>
      </c>
      <c r="O57">
        <v>4</v>
      </c>
      <c r="P57">
        <v>7</v>
      </c>
      <c r="Q57">
        <v>3</v>
      </c>
      <c r="R57">
        <v>4</v>
      </c>
      <c r="S57">
        <v>6</v>
      </c>
      <c r="T57">
        <v>25</v>
      </c>
      <c r="U57">
        <v>411</v>
      </c>
      <c r="V57">
        <v>109</v>
      </c>
      <c r="W57">
        <v>19</v>
      </c>
      <c r="X57">
        <v>5.7368421052631584</v>
      </c>
      <c r="Y57">
        <v>2</v>
      </c>
      <c r="Z57">
        <v>32</v>
      </c>
      <c r="AA57">
        <v>2</v>
      </c>
      <c r="AB57">
        <v>18</v>
      </c>
      <c r="AC57">
        <v>7</v>
      </c>
      <c r="AD57">
        <v>7</v>
      </c>
      <c r="AE57">
        <v>128</v>
      </c>
      <c r="AF57">
        <v>1</v>
      </c>
      <c r="AG57">
        <v>14</v>
      </c>
      <c r="AH57">
        <v>1</v>
      </c>
      <c r="AI57">
        <v>10</v>
      </c>
      <c r="AJ57">
        <v>0</v>
      </c>
      <c r="AK57">
        <v>0</v>
      </c>
      <c r="AL57">
        <v>2</v>
      </c>
      <c r="AM57">
        <v>26</v>
      </c>
      <c r="AN57">
        <v>5</v>
      </c>
      <c r="AO57">
        <v>64</v>
      </c>
      <c r="AP57">
        <v>11</v>
      </c>
      <c r="AQ57">
        <v>178</v>
      </c>
      <c r="AR57">
        <v>7.785888077858881E-2</v>
      </c>
      <c r="AS57">
        <v>4.3795620437956213E-2</v>
      </c>
      <c r="AT57">
        <v>0.31143552311435518</v>
      </c>
      <c r="AU57">
        <v>3.4063260340632603E-2</v>
      </c>
      <c r="AV57">
        <v>2.4330900243309E-2</v>
      </c>
      <c r="AW57">
        <v>6.3260340632603412E-2</v>
      </c>
      <c r="AX57">
        <v>0.15571776155717759</v>
      </c>
      <c r="AY57">
        <v>0.43309002433090033</v>
      </c>
      <c r="AZ57">
        <v>9.2457420924574207E-2</v>
      </c>
      <c r="BA57">
        <v>0.83333333333333337</v>
      </c>
      <c r="BB57">
        <v>0.78947368421052644</v>
      </c>
      <c r="BC57">
        <v>0.73333333333333328</v>
      </c>
      <c r="BD57">
        <v>0.68278588807785889</v>
      </c>
      <c r="BE57">
        <v>4</v>
      </c>
      <c r="BF57">
        <v>0.75973155973876305</v>
      </c>
      <c r="BG57">
        <v>0.8</v>
      </c>
      <c r="BH57" t="s">
        <v>164</v>
      </c>
      <c r="BI57">
        <v>0.76</v>
      </c>
      <c r="BJ57" t="s">
        <v>86</v>
      </c>
      <c r="BK57" s="2">
        <f t="shared" si="0"/>
        <v>4.0000000000000036E-2</v>
      </c>
      <c r="BL57" t="b">
        <f t="shared" si="1"/>
        <v>0</v>
      </c>
    </row>
    <row r="58" spans="1:64" x14ac:dyDescent="0.35">
      <c r="A58" t="s">
        <v>227</v>
      </c>
      <c r="B58" t="s">
        <v>222</v>
      </c>
      <c r="C58">
        <v>2021</v>
      </c>
      <c r="D58" t="s">
        <v>223</v>
      </c>
      <c r="E58" t="s">
        <v>224</v>
      </c>
      <c r="F58" t="s">
        <v>66</v>
      </c>
      <c r="G58" t="s">
        <v>101</v>
      </c>
      <c r="H58" t="s">
        <v>211</v>
      </c>
      <c r="I58" t="s">
        <v>225</v>
      </c>
      <c r="J58" t="s">
        <v>70</v>
      </c>
      <c r="L58">
        <v>3</v>
      </c>
      <c r="M58" t="b">
        <v>0</v>
      </c>
      <c r="N58">
        <v>1</v>
      </c>
      <c r="O58">
        <v>2</v>
      </c>
      <c r="P58">
        <v>7</v>
      </c>
      <c r="Q58">
        <v>3</v>
      </c>
      <c r="R58">
        <v>4</v>
      </c>
      <c r="S58">
        <v>6</v>
      </c>
      <c r="T58">
        <v>36</v>
      </c>
      <c r="U58">
        <v>377</v>
      </c>
      <c r="V58">
        <v>145</v>
      </c>
      <c r="W58">
        <v>28</v>
      </c>
      <c r="X58">
        <v>5.1785714285714288</v>
      </c>
      <c r="Y58">
        <v>4</v>
      </c>
      <c r="Z58">
        <v>14</v>
      </c>
      <c r="AA58">
        <v>1</v>
      </c>
      <c r="AB58">
        <v>3</v>
      </c>
      <c r="AC58">
        <v>6</v>
      </c>
      <c r="AD58">
        <v>6</v>
      </c>
      <c r="AE58">
        <v>95</v>
      </c>
      <c r="AF58">
        <v>2</v>
      </c>
      <c r="AG58">
        <v>9</v>
      </c>
      <c r="AH58">
        <v>1</v>
      </c>
      <c r="AI58">
        <v>4</v>
      </c>
      <c r="AJ58">
        <v>3</v>
      </c>
      <c r="AK58">
        <v>18</v>
      </c>
      <c r="AL58">
        <v>4</v>
      </c>
      <c r="AM58">
        <v>22</v>
      </c>
      <c r="AN58">
        <v>7</v>
      </c>
      <c r="AO58">
        <v>26</v>
      </c>
      <c r="AP58">
        <v>11</v>
      </c>
      <c r="AQ58">
        <v>112</v>
      </c>
      <c r="AR58">
        <v>3.7135278514588858E-2</v>
      </c>
      <c r="AS58">
        <v>7.9575596816976128E-3</v>
      </c>
      <c r="AT58">
        <v>0.25198938992042441</v>
      </c>
      <c r="AU58">
        <v>2.387267904509284E-2</v>
      </c>
      <c r="AV58">
        <v>1.061007957559682E-2</v>
      </c>
      <c r="AW58">
        <v>5.8355437665782488E-2</v>
      </c>
      <c r="AX58">
        <v>6.8965517241379309E-2</v>
      </c>
      <c r="AY58">
        <v>0.29708222811671092</v>
      </c>
      <c r="AZ58">
        <v>1.0610079575596809E-2</v>
      </c>
      <c r="BA58">
        <v>0.83333333333333337</v>
      </c>
      <c r="BB58">
        <v>0.69642857142857151</v>
      </c>
      <c r="BC58">
        <v>0.73333333333333328</v>
      </c>
      <c r="BD58">
        <v>0.63163129973474796</v>
      </c>
      <c r="BE58">
        <v>4</v>
      </c>
      <c r="BF58">
        <v>0.72368163445749656</v>
      </c>
      <c r="BG58">
        <v>0.7</v>
      </c>
      <c r="BH58" t="s">
        <v>86</v>
      </c>
      <c r="BI58">
        <v>0.72</v>
      </c>
      <c r="BJ58" t="s">
        <v>86</v>
      </c>
      <c r="BK58" s="2">
        <f t="shared" si="0"/>
        <v>-2.0000000000000018E-2</v>
      </c>
      <c r="BL58" t="b">
        <f t="shared" si="1"/>
        <v>1</v>
      </c>
    </row>
    <row r="59" spans="1:64" x14ac:dyDescent="0.35">
      <c r="A59" t="s">
        <v>228</v>
      </c>
      <c r="B59" t="s">
        <v>229</v>
      </c>
      <c r="C59">
        <v>2014</v>
      </c>
      <c r="D59" t="s">
        <v>230</v>
      </c>
      <c r="E59" t="s">
        <v>231</v>
      </c>
      <c r="F59" t="s">
        <v>66</v>
      </c>
      <c r="G59" t="s">
        <v>101</v>
      </c>
      <c r="H59" t="s">
        <v>184</v>
      </c>
      <c r="I59" t="s">
        <v>218</v>
      </c>
      <c r="J59" t="s">
        <v>70</v>
      </c>
      <c r="L59">
        <v>2</v>
      </c>
      <c r="M59" t="b">
        <v>0</v>
      </c>
      <c r="N59">
        <v>1</v>
      </c>
      <c r="O59">
        <v>1</v>
      </c>
      <c r="P59">
        <v>7</v>
      </c>
      <c r="Q59">
        <v>1</v>
      </c>
      <c r="R59">
        <v>6</v>
      </c>
      <c r="S59">
        <v>5</v>
      </c>
      <c r="T59">
        <v>23</v>
      </c>
      <c r="U59">
        <v>252</v>
      </c>
      <c r="V59">
        <v>128</v>
      </c>
      <c r="W59">
        <v>20</v>
      </c>
      <c r="X59">
        <v>6.4</v>
      </c>
      <c r="Y59">
        <v>3</v>
      </c>
      <c r="Z59">
        <v>24</v>
      </c>
      <c r="AA59">
        <v>0</v>
      </c>
      <c r="AB59">
        <v>0</v>
      </c>
      <c r="AC59">
        <v>2</v>
      </c>
      <c r="AD59">
        <v>2</v>
      </c>
      <c r="AE59">
        <v>21</v>
      </c>
      <c r="AF59">
        <v>3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6</v>
      </c>
      <c r="AO59">
        <v>124</v>
      </c>
      <c r="AP59">
        <v>5</v>
      </c>
      <c r="AQ59">
        <v>45</v>
      </c>
      <c r="AR59">
        <v>9.5238095238095233E-2</v>
      </c>
      <c r="AS59">
        <v>0</v>
      </c>
      <c r="AT59">
        <v>8.3333333333333329E-2</v>
      </c>
      <c r="AU59">
        <v>0.3968253968253968</v>
      </c>
      <c r="AV59">
        <v>0</v>
      </c>
      <c r="AW59">
        <v>0</v>
      </c>
      <c r="AX59">
        <v>0.49206349206349198</v>
      </c>
      <c r="AY59">
        <v>0.1785714285714286</v>
      </c>
      <c r="AZ59">
        <v>0.49206349206349198</v>
      </c>
      <c r="BA59">
        <v>0.66666666666666663</v>
      </c>
      <c r="BB59">
        <v>0.9</v>
      </c>
      <c r="BC59">
        <v>0.33333333333333331</v>
      </c>
      <c r="BD59">
        <v>0.93253968253968256</v>
      </c>
      <c r="BE59">
        <v>4</v>
      </c>
      <c r="BF59">
        <v>0.70813492063492067</v>
      </c>
      <c r="BG59">
        <v>0.74</v>
      </c>
      <c r="BH59" t="s">
        <v>86</v>
      </c>
      <c r="BI59">
        <v>0.71</v>
      </c>
      <c r="BJ59" t="s">
        <v>86</v>
      </c>
      <c r="BK59" s="2">
        <f t="shared" si="0"/>
        <v>3.0000000000000027E-2</v>
      </c>
      <c r="BL59" t="b">
        <f t="shared" si="1"/>
        <v>1</v>
      </c>
    </row>
    <row r="60" spans="1:64" x14ac:dyDescent="0.35">
      <c r="A60" t="s">
        <v>232</v>
      </c>
      <c r="B60" t="s">
        <v>229</v>
      </c>
      <c r="C60">
        <v>2021</v>
      </c>
      <c r="D60" t="s">
        <v>230</v>
      </c>
      <c r="E60" t="s">
        <v>231</v>
      </c>
      <c r="F60" t="s">
        <v>66</v>
      </c>
      <c r="G60" t="s">
        <v>101</v>
      </c>
      <c r="H60" t="s">
        <v>184</v>
      </c>
      <c r="I60" t="s">
        <v>218</v>
      </c>
      <c r="J60" t="s">
        <v>70</v>
      </c>
      <c r="L60">
        <v>2</v>
      </c>
      <c r="M60" t="b">
        <v>0</v>
      </c>
      <c r="N60">
        <v>1</v>
      </c>
      <c r="O60">
        <v>2</v>
      </c>
      <c r="P60">
        <v>10</v>
      </c>
      <c r="Q60">
        <v>3</v>
      </c>
      <c r="R60">
        <v>7</v>
      </c>
      <c r="S60">
        <v>6</v>
      </c>
      <c r="T60">
        <v>36</v>
      </c>
      <c r="U60">
        <v>1023</v>
      </c>
      <c r="V60">
        <v>172</v>
      </c>
      <c r="W60">
        <v>28</v>
      </c>
      <c r="X60">
        <v>6.1428571428571432</v>
      </c>
      <c r="Y60">
        <v>2</v>
      </c>
      <c r="Z60">
        <v>21</v>
      </c>
      <c r="AA60">
        <v>2</v>
      </c>
      <c r="AB60">
        <v>6</v>
      </c>
      <c r="AC60">
        <v>5</v>
      </c>
      <c r="AD60">
        <v>4</v>
      </c>
      <c r="AE60">
        <v>460</v>
      </c>
      <c r="AF60">
        <v>4</v>
      </c>
      <c r="AG60">
        <v>38</v>
      </c>
      <c r="AH60">
        <v>0</v>
      </c>
      <c r="AI60">
        <v>0</v>
      </c>
      <c r="AJ60">
        <v>1</v>
      </c>
      <c r="AK60">
        <v>3</v>
      </c>
      <c r="AL60">
        <v>1</v>
      </c>
      <c r="AM60">
        <v>3</v>
      </c>
      <c r="AN60">
        <v>8</v>
      </c>
      <c r="AO60">
        <v>65</v>
      </c>
      <c r="AP60">
        <v>8</v>
      </c>
      <c r="AQ60">
        <v>487</v>
      </c>
      <c r="AR60">
        <v>2.0527859237536659E-2</v>
      </c>
      <c r="AS60">
        <v>5.8651026392961877E-3</v>
      </c>
      <c r="AT60">
        <v>0.44965786901270771</v>
      </c>
      <c r="AU60">
        <v>3.7145650048875857E-2</v>
      </c>
      <c r="AV60">
        <v>0</v>
      </c>
      <c r="AW60">
        <v>2.9325513196480938E-3</v>
      </c>
      <c r="AX60">
        <v>6.3538611925708699E-2</v>
      </c>
      <c r="AY60">
        <v>0.47605083088954059</v>
      </c>
      <c r="AZ60">
        <v>6.0606060606060608E-2</v>
      </c>
      <c r="BA60">
        <v>0.83333333333333337</v>
      </c>
      <c r="BB60">
        <v>0.85714285714285721</v>
      </c>
      <c r="BC60">
        <v>0.53333333333333333</v>
      </c>
      <c r="BD60">
        <v>0.66287878787878785</v>
      </c>
      <c r="BE60">
        <v>4</v>
      </c>
      <c r="BF60">
        <v>0.72167207792207799</v>
      </c>
      <c r="BG60">
        <v>0.73</v>
      </c>
      <c r="BH60" t="s">
        <v>86</v>
      </c>
      <c r="BI60">
        <v>0.72</v>
      </c>
      <c r="BJ60" t="s">
        <v>86</v>
      </c>
      <c r="BK60" s="2">
        <f t="shared" si="0"/>
        <v>1.0000000000000009E-2</v>
      </c>
      <c r="BL60" t="b">
        <f t="shared" si="1"/>
        <v>1</v>
      </c>
    </row>
    <row r="61" spans="1:64" x14ac:dyDescent="0.35">
      <c r="A61" t="s">
        <v>233</v>
      </c>
      <c r="B61" t="s">
        <v>234</v>
      </c>
      <c r="C61">
        <v>2015</v>
      </c>
      <c r="D61" t="s">
        <v>235</v>
      </c>
      <c r="E61" t="s">
        <v>236</v>
      </c>
      <c r="F61" t="s">
        <v>66</v>
      </c>
      <c r="G61" t="s">
        <v>101</v>
      </c>
      <c r="H61" t="s">
        <v>211</v>
      </c>
      <c r="I61" t="s">
        <v>237</v>
      </c>
      <c r="J61" t="s">
        <v>70</v>
      </c>
      <c r="L61">
        <v>3</v>
      </c>
      <c r="M61" t="b">
        <v>0</v>
      </c>
      <c r="N61">
        <v>1</v>
      </c>
      <c r="O61">
        <v>6</v>
      </c>
      <c r="P61">
        <v>15</v>
      </c>
      <c r="Q61">
        <v>2</v>
      </c>
      <c r="R61">
        <v>13</v>
      </c>
      <c r="S61">
        <v>7</v>
      </c>
      <c r="T61">
        <v>38</v>
      </c>
      <c r="U61">
        <v>1178</v>
      </c>
      <c r="V61">
        <v>162</v>
      </c>
      <c r="W61">
        <v>23</v>
      </c>
      <c r="X61">
        <v>7.0434782608695654</v>
      </c>
      <c r="Y61">
        <v>6</v>
      </c>
      <c r="Z61">
        <v>108</v>
      </c>
      <c r="AA61">
        <v>6</v>
      </c>
      <c r="AB61">
        <v>214</v>
      </c>
      <c r="AC61">
        <v>2</v>
      </c>
      <c r="AD61">
        <v>2</v>
      </c>
      <c r="AE61">
        <v>51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10</v>
      </c>
      <c r="AL61">
        <v>1</v>
      </c>
      <c r="AM61">
        <v>10</v>
      </c>
      <c r="AN61">
        <v>12</v>
      </c>
      <c r="AO61">
        <v>322</v>
      </c>
      <c r="AP61">
        <v>14</v>
      </c>
      <c r="AQ61">
        <v>373</v>
      </c>
      <c r="AR61">
        <v>9.1680814940577254E-2</v>
      </c>
      <c r="AS61">
        <v>0.18166383701188449</v>
      </c>
      <c r="AT61">
        <v>4.32937181663837E-2</v>
      </c>
      <c r="AU61">
        <v>0</v>
      </c>
      <c r="AV61">
        <v>0</v>
      </c>
      <c r="AW61">
        <v>8.4889643463497456E-3</v>
      </c>
      <c r="AX61">
        <v>0.27334465195246183</v>
      </c>
      <c r="AY61">
        <v>0.31663837011884549</v>
      </c>
      <c r="AZ61">
        <v>0.26485568760611211</v>
      </c>
      <c r="BA61">
        <v>1</v>
      </c>
      <c r="BB61">
        <v>1.007246376811594</v>
      </c>
      <c r="BC61">
        <v>0.93333333333333335</v>
      </c>
      <c r="BD61">
        <v>0.79053480475381999</v>
      </c>
      <c r="BE61">
        <v>4</v>
      </c>
      <c r="BF61">
        <v>0.93277862872468686</v>
      </c>
      <c r="BG61">
        <v>0.93</v>
      </c>
      <c r="BH61" t="s">
        <v>164</v>
      </c>
      <c r="BI61">
        <v>0.93</v>
      </c>
      <c r="BJ61" t="s">
        <v>164</v>
      </c>
      <c r="BK61" s="2">
        <f t="shared" si="0"/>
        <v>0</v>
      </c>
      <c r="BL61" t="b">
        <f t="shared" si="1"/>
        <v>1</v>
      </c>
    </row>
    <row r="62" spans="1:64" x14ac:dyDescent="0.35">
      <c r="A62" t="s">
        <v>238</v>
      </c>
      <c r="B62" t="s">
        <v>234</v>
      </c>
      <c r="C62">
        <v>2019</v>
      </c>
      <c r="D62" t="s">
        <v>235</v>
      </c>
      <c r="E62" t="s">
        <v>236</v>
      </c>
      <c r="F62" t="s">
        <v>66</v>
      </c>
      <c r="G62" t="s">
        <v>101</v>
      </c>
      <c r="H62" t="s">
        <v>211</v>
      </c>
      <c r="I62" t="s">
        <v>237</v>
      </c>
      <c r="J62" t="s">
        <v>70</v>
      </c>
      <c r="L62">
        <v>3</v>
      </c>
      <c r="M62" t="b">
        <v>0</v>
      </c>
      <c r="N62">
        <v>1</v>
      </c>
      <c r="O62">
        <v>4</v>
      </c>
      <c r="P62">
        <v>10</v>
      </c>
      <c r="Q62">
        <v>4</v>
      </c>
      <c r="R62">
        <v>6</v>
      </c>
      <c r="S62">
        <v>6</v>
      </c>
      <c r="T62">
        <v>28</v>
      </c>
      <c r="U62">
        <v>461</v>
      </c>
      <c r="V62">
        <v>145</v>
      </c>
      <c r="W62">
        <v>22</v>
      </c>
      <c r="X62">
        <v>6.5909090909090908</v>
      </c>
      <c r="Y62">
        <v>3</v>
      </c>
      <c r="Z62">
        <v>35</v>
      </c>
      <c r="AA62">
        <v>2</v>
      </c>
      <c r="AB62">
        <v>38</v>
      </c>
      <c r="AC62">
        <v>7</v>
      </c>
      <c r="AD62">
        <v>7</v>
      </c>
      <c r="AE62">
        <v>58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1</v>
      </c>
      <c r="AM62">
        <v>1</v>
      </c>
      <c r="AN62">
        <v>5</v>
      </c>
      <c r="AO62">
        <v>73</v>
      </c>
      <c r="AP62">
        <v>12</v>
      </c>
      <c r="AQ62">
        <v>131</v>
      </c>
      <c r="AR62">
        <v>7.5921908893709325E-2</v>
      </c>
      <c r="AS62">
        <v>8.2429501084598705E-2</v>
      </c>
      <c r="AT62">
        <v>0.12581344902386121</v>
      </c>
      <c r="AU62">
        <v>0</v>
      </c>
      <c r="AV62">
        <v>0</v>
      </c>
      <c r="AW62">
        <v>2.1691973969631241E-3</v>
      </c>
      <c r="AX62">
        <v>0.15835140997830799</v>
      </c>
      <c r="AY62">
        <v>0.2841648590021692</v>
      </c>
      <c r="AZ62">
        <v>0.1561822125813449</v>
      </c>
      <c r="BA62">
        <v>0.83333333333333337</v>
      </c>
      <c r="BB62">
        <v>0.93181818181818177</v>
      </c>
      <c r="BC62">
        <v>0.8</v>
      </c>
      <c r="BD62">
        <v>0.7226138828633405</v>
      </c>
      <c r="BE62">
        <v>4</v>
      </c>
      <c r="BF62">
        <v>0.82194134950371389</v>
      </c>
      <c r="BG62">
        <v>0.82</v>
      </c>
      <c r="BH62" t="s">
        <v>164</v>
      </c>
      <c r="BI62">
        <v>0.82</v>
      </c>
      <c r="BJ62" t="s">
        <v>164</v>
      </c>
      <c r="BK62" s="2">
        <f t="shared" si="0"/>
        <v>0</v>
      </c>
      <c r="BL62" t="b">
        <f t="shared" si="1"/>
        <v>1</v>
      </c>
    </row>
    <row r="63" spans="1:64" x14ac:dyDescent="0.35">
      <c r="A63" t="s">
        <v>239</v>
      </c>
      <c r="B63" t="s">
        <v>234</v>
      </c>
      <c r="C63">
        <v>2022</v>
      </c>
      <c r="D63" t="s">
        <v>235</v>
      </c>
      <c r="E63" t="s">
        <v>236</v>
      </c>
      <c r="F63" t="s">
        <v>66</v>
      </c>
      <c r="G63" t="s">
        <v>101</v>
      </c>
      <c r="H63" t="s">
        <v>211</v>
      </c>
      <c r="I63" t="s">
        <v>237</v>
      </c>
      <c r="J63" t="s">
        <v>70</v>
      </c>
      <c r="L63">
        <v>3</v>
      </c>
      <c r="M63" t="b">
        <v>0</v>
      </c>
      <c r="N63">
        <v>1</v>
      </c>
      <c r="O63">
        <v>7</v>
      </c>
      <c r="P63">
        <v>18</v>
      </c>
      <c r="Q63">
        <v>1</v>
      </c>
      <c r="R63">
        <v>17</v>
      </c>
      <c r="S63">
        <v>7</v>
      </c>
      <c r="T63">
        <v>50</v>
      </c>
      <c r="U63">
        <v>896</v>
      </c>
      <c r="V63">
        <v>236</v>
      </c>
      <c r="W63">
        <v>36</v>
      </c>
      <c r="X63">
        <v>6.5555555555555554</v>
      </c>
      <c r="Y63">
        <v>6</v>
      </c>
      <c r="Z63">
        <v>180</v>
      </c>
      <c r="AA63">
        <v>6</v>
      </c>
      <c r="AB63">
        <v>261</v>
      </c>
      <c r="AC63">
        <v>7</v>
      </c>
      <c r="AD63">
        <v>6</v>
      </c>
      <c r="AE63">
        <v>81</v>
      </c>
      <c r="AF63">
        <v>2</v>
      </c>
      <c r="AG63">
        <v>44</v>
      </c>
      <c r="AH63">
        <v>1</v>
      </c>
      <c r="AI63">
        <v>3</v>
      </c>
      <c r="AJ63">
        <v>1</v>
      </c>
      <c r="AK63">
        <v>8</v>
      </c>
      <c r="AL63">
        <v>2</v>
      </c>
      <c r="AM63">
        <v>11</v>
      </c>
      <c r="AN63">
        <v>14</v>
      </c>
      <c r="AO63">
        <v>485</v>
      </c>
      <c r="AP63">
        <v>18</v>
      </c>
      <c r="AQ63">
        <v>522</v>
      </c>
      <c r="AR63">
        <v>0.20089285714285721</v>
      </c>
      <c r="AS63">
        <v>0.29129464285714279</v>
      </c>
      <c r="AT63">
        <v>9.0401785714285712E-2</v>
      </c>
      <c r="AU63">
        <v>4.9107142857142863E-2</v>
      </c>
      <c r="AV63">
        <v>3.348214285714286E-3</v>
      </c>
      <c r="AW63">
        <v>1.2276785714285711E-2</v>
      </c>
      <c r="AX63">
        <v>0.5412946428571429</v>
      </c>
      <c r="AY63">
        <v>0.5825892857142857</v>
      </c>
      <c r="AZ63">
        <v>0.52901785714285721</v>
      </c>
      <c r="BA63">
        <v>1</v>
      </c>
      <c r="BB63">
        <v>0.92592592592592593</v>
      </c>
      <c r="BC63">
        <v>1.2</v>
      </c>
      <c r="BD63">
        <v>0.9556361607142857</v>
      </c>
      <c r="BE63">
        <v>4</v>
      </c>
      <c r="BF63">
        <v>1.0203905216600531</v>
      </c>
      <c r="BG63">
        <v>1</v>
      </c>
      <c r="BH63" t="s">
        <v>164</v>
      </c>
      <c r="BI63">
        <v>1</v>
      </c>
      <c r="BJ63" t="s">
        <v>164</v>
      </c>
      <c r="BK63" s="2">
        <f t="shared" si="0"/>
        <v>0</v>
      </c>
      <c r="BL63" t="b">
        <f t="shared" si="1"/>
        <v>1</v>
      </c>
    </row>
    <row r="64" spans="1:64" x14ac:dyDescent="0.35">
      <c r="A64" t="s">
        <v>240</v>
      </c>
      <c r="B64" t="s">
        <v>241</v>
      </c>
      <c r="C64">
        <v>2015</v>
      </c>
      <c r="D64" t="s">
        <v>242</v>
      </c>
      <c r="E64" t="s">
        <v>243</v>
      </c>
      <c r="F64" t="s">
        <v>66</v>
      </c>
      <c r="G64" t="s">
        <v>101</v>
      </c>
      <c r="H64" t="s">
        <v>211</v>
      </c>
      <c r="I64" t="s">
        <v>244</v>
      </c>
      <c r="J64" t="s">
        <v>70</v>
      </c>
      <c r="L64">
        <v>3</v>
      </c>
      <c r="M64" t="b">
        <v>0</v>
      </c>
      <c r="N64">
        <v>1</v>
      </c>
      <c r="O64">
        <v>4</v>
      </c>
      <c r="P64">
        <v>9</v>
      </c>
      <c r="Q64">
        <v>3</v>
      </c>
      <c r="R64">
        <v>6</v>
      </c>
      <c r="S64">
        <v>6</v>
      </c>
      <c r="T64">
        <v>23</v>
      </c>
      <c r="U64">
        <v>979</v>
      </c>
      <c r="V64">
        <v>108</v>
      </c>
      <c r="W64">
        <v>19</v>
      </c>
      <c r="X64">
        <v>5.6842105263157894</v>
      </c>
      <c r="Y64">
        <v>1</v>
      </c>
      <c r="Z64">
        <v>6</v>
      </c>
      <c r="AA64">
        <v>3</v>
      </c>
      <c r="AB64">
        <v>34</v>
      </c>
      <c r="AC64">
        <v>3</v>
      </c>
      <c r="AD64">
        <v>3</v>
      </c>
      <c r="AE64">
        <v>93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8</v>
      </c>
      <c r="AL64">
        <v>1</v>
      </c>
      <c r="AM64">
        <v>8</v>
      </c>
      <c r="AN64">
        <v>4</v>
      </c>
      <c r="AO64">
        <v>40</v>
      </c>
      <c r="AP64">
        <v>7</v>
      </c>
      <c r="AQ64">
        <v>133</v>
      </c>
      <c r="AR64">
        <v>6.1287027579162408E-3</v>
      </c>
      <c r="AS64">
        <v>3.472931562819203E-2</v>
      </c>
      <c r="AT64">
        <v>9.4994892747701731E-2</v>
      </c>
      <c r="AU64">
        <v>0</v>
      </c>
      <c r="AV64">
        <v>0</v>
      </c>
      <c r="AW64">
        <v>8.171603677221655E-3</v>
      </c>
      <c r="AX64">
        <v>4.0858018386108273E-2</v>
      </c>
      <c r="AY64">
        <v>0.13585291113381001</v>
      </c>
      <c r="AZ64">
        <v>3.268641470888662E-2</v>
      </c>
      <c r="BA64">
        <v>0.83333333333333337</v>
      </c>
      <c r="BB64">
        <v>0.7807017543859649</v>
      </c>
      <c r="BC64">
        <v>0.46666666666666667</v>
      </c>
      <c r="BD64">
        <v>0.64542900919305402</v>
      </c>
      <c r="BE64">
        <v>4</v>
      </c>
      <c r="BF64">
        <v>0.68153269089475477</v>
      </c>
      <c r="BG64">
        <v>0.67</v>
      </c>
      <c r="BH64" t="s">
        <v>86</v>
      </c>
      <c r="BI64">
        <v>0.68</v>
      </c>
      <c r="BJ64" t="s">
        <v>86</v>
      </c>
      <c r="BK64" s="2">
        <f t="shared" si="0"/>
        <v>-1.0000000000000009E-2</v>
      </c>
      <c r="BL64" t="b">
        <f t="shared" si="1"/>
        <v>1</v>
      </c>
    </row>
    <row r="65" spans="1:64" x14ac:dyDescent="0.35">
      <c r="A65" t="s">
        <v>245</v>
      </c>
      <c r="B65" t="s">
        <v>241</v>
      </c>
      <c r="C65">
        <v>2019</v>
      </c>
      <c r="D65" t="s">
        <v>242</v>
      </c>
      <c r="E65" t="s">
        <v>243</v>
      </c>
      <c r="F65" t="s">
        <v>66</v>
      </c>
      <c r="G65" t="s">
        <v>101</v>
      </c>
      <c r="H65" t="s">
        <v>211</v>
      </c>
      <c r="I65" t="s">
        <v>244</v>
      </c>
      <c r="J65" t="s">
        <v>70</v>
      </c>
      <c r="L65">
        <v>3</v>
      </c>
      <c r="M65" t="b">
        <v>0</v>
      </c>
      <c r="N65">
        <v>1</v>
      </c>
      <c r="O65">
        <v>3</v>
      </c>
      <c r="P65">
        <v>9</v>
      </c>
      <c r="Q65">
        <v>1</v>
      </c>
      <c r="R65">
        <v>8</v>
      </c>
      <c r="S65">
        <v>6</v>
      </c>
      <c r="T65">
        <v>21</v>
      </c>
      <c r="U65">
        <v>264</v>
      </c>
      <c r="V65">
        <v>121</v>
      </c>
      <c r="W65">
        <v>18</v>
      </c>
      <c r="X65">
        <v>6.7222222222222223</v>
      </c>
      <c r="Y65">
        <v>3</v>
      </c>
      <c r="Z65">
        <v>22</v>
      </c>
      <c r="AA65">
        <v>1</v>
      </c>
      <c r="AB65">
        <v>9</v>
      </c>
      <c r="AC65">
        <v>5</v>
      </c>
      <c r="AD65">
        <v>5</v>
      </c>
      <c r="AE65">
        <v>61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4</v>
      </c>
      <c r="AO65">
        <v>31</v>
      </c>
      <c r="AP65">
        <v>9</v>
      </c>
      <c r="AQ65">
        <v>92</v>
      </c>
      <c r="AR65">
        <v>8.3333333333333329E-2</v>
      </c>
      <c r="AS65">
        <v>3.4090909090909088E-2</v>
      </c>
      <c r="AT65">
        <v>0.23106060606060599</v>
      </c>
      <c r="AU65">
        <v>0</v>
      </c>
      <c r="AV65">
        <v>0</v>
      </c>
      <c r="AW65">
        <v>0</v>
      </c>
      <c r="AX65">
        <v>0.1174242424242424</v>
      </c>
      <c r="AY65">
        <v>0.34848484848484851</v>
      </c>
      <c r="AZ65">
        <v>0.1174242424242424</v>
      </c>
      <c r="BA65">
        <v>0.83333333333333337</v>
      </c>
      <c r="BB65">
        <v>0.95370370370370372</v>
      </c>
      <c r="BC65">
        <v>0.6</v>
      </c>
      <c r="BD65">
        <v>0.69839015151515149</v>
      </c>
      <c r="BE65">
        <v>4</v>
      </c>
      <c r="BF65">
        <v>0.77135679713804717</v>
      </c>
      <c r="BG65">
        <v>0.76</v>
      </c>
      <c r="BH65" t="s">
        <v>86</v>
      </c>
      <c r="BI65">
        <v>0.77</v>
      </c>
      <c r="BJ65" t="s">
        <v>86</v>
      </c>
      <c r="BK65" s="2">
        <f t="shared" si="0"/>
        <v>-1.0000000000000009E-2</v>
      </c>
      <c r="BL65" t="b">
        <f t="shared" si="1"/>
        <v>1</v>
      </c>
    </row>
    <row r="66" spans="1:64" x14ac:dyDescent="0.35">
      <c r="A66" t="s">
        <v>246</v>
      </c>
      <c r="B66" t="s">
        <v>241</v>
      </c>
      <c r="C66">
        <v>2022</v>
      </c>
      <c r="D66" t="s">
        <v>242</v>
      </c>
      <c r="E66" t="s">
        <v>243</v>
      </c>
      <c r="F66" t="s">
        <v>66</v>
      </c>
      <c r="G66" t="s">
        <v>101</v>
      </c>
      <c r="H66" t="s">
        <v>211</v>
      </c>
      <c r="I66" t="s">
        <v>244</v>
      </c>
      <c r="J66" t="s">
        <v>70</v>
      </c>
      <c r="L66">
        <v>3</v>
      </c>
      <c r="M66" t="b">
        <v>0</v>
      </c>
      <c r="N66">
        <v>1</v>
      </c>
      <c r="O66">
        <v>1</v>
      </c>
      <c r="P66">
        <v>7</v>
      </c>
      <c r="Q66">
        <v>2</v>
      </c>
      <c r="R66">
        <v>5</v>
      </c>
      <c r="S66">
        <v>5</v>
      </c>
      <c r="T66">
        <v>35</v>
      </c>
      <c r="U66">
        <v>539</v>
      </c>
      <c r="V66">
        <v>143</v>
      </c>
      <c r="W66">
        <v>25</v>
      </c>
      <c r="X66">
        <v>5.72</v>
      </c>
      <c r="Y66">
        <v>3</v>
      </c>
      <c r="Z66">
        <v>31</v>
      </c>
      <c r="AA66">
        <v>0</v>
      </c>
      <c r="AB66">
        <v>0</v>
      </c>
      <c r="AC66">
        <v>4</v>
      </c>
      <c r="AD66">
        <v>4</v>
      </c>
      <c r="AE66">
        <v>43</v>
      </c>
      <c r="AF66">
        <v>5</v>
      </c>
      <c r="AG66">
        <v>100</v>
      </c>
      <c r="AH66">
        <v>1</v>
      </c>
      <c r="AI66">
        <v>257</v>
      </c>
      <c r="AJ66">
        <v>1</v>
      </c>
      <c r="AK66">
        <v>4</v>
      </c>
      <c r="AL66">
        <v>2</v>
      </c>
      <c r="AM66">
        <v>261</v>
      </c>
      <c r="AN66">
        <v>8</v>
      </c>
      <c r="AO66">
        <v>131</v>
      </c>
      <c r="AP66">
        <v>7</v>
      </c>
      <c r="AQ66">
        <v>74</v>
      </c>
      <c r="AR66">
        <v>5.7513914656771803E-2</v>
      </c>
      <c r="AS66">
        <v>0</v>
      </c>
      <c r="AT66">
        <v>7.9777365491651209E-2</v>
      </c>
      <c r="AU66">
        <v>0.1855287569573284</v>
      </c>
      <c r="AV66">
        <v>0.47680890538033388</v>
      </c>
      <c r="AW66">
        <v>0.48423005565862709</v>
      </c>
      <c r="AX66">
        <v>0.2430426716141002</v>
      </c>
      <c r="AY66">
        <v>0.13729128014842301</v>
      </c>
      <c r="AZ66">
        <v>-0.24118738404452689</v>
      </c>
      <c r="BA66">
        <v>0.66666666666666663</v>
      </c>
      <c r="BB66">
        <v>0.78666666666666663</v>
      </c>
      <c r="BC66">
        <v>0.46666666666666667</v>
      </c>
      <c r="BD66">
        <v>0.4742578849721707</v>
      </c>
      <c r="BE66">
        <v>4</v>
      </c>
      <c r="BF66">
        <v>0.59856447124304268</v>
      </c>
      <c r="BG66">
        <v>0.67</v>
      </c>
      <c r="BH66" t="s">
        <v>86</v>
      </c>
      <c r="BI66">
        <v>0.6</v>
      </c>
      <c r="BJ66" t="s">
        <v>86</v>
      </c>
      <c r="BK66" s="2">
        <f t="shared" si="0"/>
        <v>7.0000000000000062E-2</v>
      </c>
      <c r="BL66" t="b">
        <f t="shared" si="1"/>
        <v>1</v>
      </c>
    </row>
    <row r="67" spans="1:64" x14ac:dyDescent="0.35">
      <c r="A67" t="s">
        <v>247</v>
      </c>
      <c r="B67" t="s">
        <v>248</v>
      </c>
      <c r="C67">
        <v>2014</v>
      </c>
      <c r="D67" t="s">
        <v>249</v>
      </c>
      <c r="E67" t="s">
        <v>250</v>
      </c>
      <c r="F67" t="s">
        <v>66</v>
      </c>
      <c r="G67" t="s">
        <v>101</v>
      </c>
      <c r="H67" t="s">
        <v>211</v>
      </c>
      <c r="I67" t="s">
        <v>251</v>
      </c>
      <c r="J67" t="s">
        <v>70</v>
      </c>
      <c r="L67">
        <v>1</v>
      </c>
      <c r="M67" t="b">
        <v>1</v>
      </c>
      <c r="N67">
        <v>1</v>
      </c>
      <c r="O67">
        <v>3</v>
      </c>
      <c r="P67">
        <v>7</v>
      </c>
      <c r="Q67">
        <v>1</v>
      </c>
      <c r="R67">
        <v>6</v>
      </c>
      <c r="S67">
        <v>6</v>
      </c>
      <c r="T67">
        <v>27</v>
      </c>
      <c r="U67">
        <v>531</v>
      </c>
      <c r="V67">
        <v>105</v>
      </c>
      <c r="W67">
        <v>19</v>
      </c>
      <c r="X67">
        <v>5.5263157894736841</v>
      </c>
      <c r="Y67">
        <v>3</v>
      </c>
      <c r="Z67">
        <v>51</v>
      </c>
      <c r="AA67">
        <v>2</v>
      </c>
      <c r="AB67">
        <v>38</v>
      </c>
      <c r="AC67">
        <v>5</v>
      </c>
      <c r="AD67">
        <v>5</v>
      </c>
      <c r="AE67">
        <v>162</v>
      </c>
      <c r="AF67">
        <v>2</v>
      </c>
      <c r="AG67">
        <v>40</v>
      </c>
      <c r="AH67">
        <v>0</v>
      </c>
      <c r="AI67">
        <v>0</v>
      </c>
      <c r="AJ67">
        <v>1</v>
      </c>
      <c r="AK67">
        <v>5</v>
      </c>
      <c r="AL67">
        <v>2</v>
      </c>
      <c r="AM67">
        <v>29</v>
      </c>
      <c r="AN67">
        <v>7</v>
      </c>
      <c r="AO67">
        <v>129</v>
      </c>
      <c r="AP67">
        <v>10</v>
      </c>
      <c r="AQ67">
        <v>251</v>
      </c>
      <c r="AR67">
        <v>9.6045197740112997E-2</v>
      </c>
      <c r="AS67">
        <v>7.1563088512241052E-2</v>
      </c>
      <c r="AT67">
        <v>0.30508474576271188</v>
      </c>
      <c r="AU67">
        <v>7.5329566854990579E-2</v>
      </c>
      <c r="AV67">
        <v>0</v>
      </c>
      <c r="AW67">
        <v>5.4613935969868167E-2</v>
      </c>
      <c r="AX67">
        <v>0.24293785310734459</v>
      </c>
      <c r="AY67">
        <v>0.47269303201506591</v>
      </c>
      <c r="AZ67">
        <v>0.18832391713747651</v>
      </c>
      <c r="BA67">
        <v>0.83333333333333337</v>
      </c>
      <c r="BB67">
        <v>0.75438596491228072</v>
      </c>
      <c r="BC67">
        <v>0.66666666666666663</v>
      </c>
      <c r="BD67">
        <v>0.74270244821092268</v>
      </c>
      <c r="BE67">
        <v>4</v>
      </c>
      <c r="BF67">
        <v>0.74927210328080085</v>
      </c>
      <c r="BG67">
        <v>0.76</v>
      </c>
      <c r="BH67" t="s">
        <v>86</v>
      </c>
      <c r="BI67">
        <v>0.75</v>
      </c>
      <c r="BJ67" t="s">
        <v>86</v>
      </c>
      <c r="BK67" s="2">
        <f t="shared" ref="BK67:BK130" si="3">BG67-BI67</f>
        <v>1.0000000000000009E-2</v>
      </c>
      <c r="BL67" t="b">
        <f t="shared" ref="BL67:BL130" si="4">EXACT(BH67,BJ67)</f>
        <v>1</v>
      </c>
    </row>
    <row r="68" spans="1:64" x14ac:dyDescent="0.35">
      <c r="A68" t="s">
        <v>252</v>
      </c>
      <c r="B68" t="s">
        <v>248</v>
      </c>
      <c r="C68">
        <v>2015</v>
      </c>
      <c r="D68" t="s">
        <v>249</v>
      </c>
      <c r="E68" t="s">
        <v>250</v>
      </c>
      <c r="F68" t="s">
        <v>66</v>
      </c>
      <c r="G68" t="s">
        <v>101</v>
      </c>
      <c r="H68" t="s">
        <v>211</v>
      </c>
      <c r="I68" t="s">
        <v>251</v>
      </c>
      <c r="J68" t="s">
        <v>70</v>
      </c>
      <c r="L68">
        <v>1</v>
      </c>
      <c r="M68" t="b">
        <v>1</v>
      </c>
      <c r="N68">
        <v>1</v>
      </c>
      <c r="O68">
        <v>5</v>
      </c>
      <c r="P68">
        <v>15</v>
      </c>
      <c r="Q68">
        <v>3</v>
      </c>
      <c r="R68">
        <v>12</v>
      </c>
      <c r="S68">
        <v>7</v>
      </c>
      <c r="T68">
        <v>39</v>
      </c>
      <c r="U68">
        <v>795</v>
      </c>
      <c r="V68">
        <v>151</v>
      </c>
      <c r="W68">
        <v>24</v>
      </c>
      <c r="X68">
        <v>6.291666666666667</v>
      </c>
      <c r="Y68">
        <v>6</v>
      </c>
      <c r="Z68">
        <v>125</v>
      </c>
      <c r="AA68">
        <v>4</v>
      </c>
      <c r="AB68">
        <v>126</v>
      </c>
      <c r="AC68">
        <v>7</v>
      </c>
      <c r="AD68">
        <v>7</v>
      </c>
      <c r="AE68">
        <v>142</v>
      </c>
      <c r="AF68">
        <v>0</v>
      </c>
      <c r="AG68">
        <v>0</v>
      </c>
      <c r="AH68">
        <v>0</v>
      </c>
      <c r="AI68">
        <v>0</v>
      </c>
      <c r="AJ68">
        <v>2</v>
      </c>
      <c r="AK68">
        <v>22</v>
      </c>
      <c r="AL68">
        <v>3</v>
      </c>
      <c r="AM68">
        <v>30</v>
      </c>
      <c r="AN68">
        <v>10</v>
      </c>
      <c r="AO68">
        <v>251</v>
      </c>
      <c r="AP68">
        <v>17</v>
      </c>
      <c r="AQ68">
        <v>393</v>
      </c>
      <c r="AR68">
        <v>0.15723270440251569</v>
      </c>
      <c r="AS68">
        <v>0.15849056603773581</v>
      </c>
      <c r="AT68">
        <v>0.17861635220125779</v>
      </c>
      <c r="AU68">
        <v>0</v>
      </c>
      <c r="AV68">
        <v>0</v>
      </c>
      <c r="AW68">
        <v>3.7735849056603772E-2</v>
      </c>
      <c r="AX68">
        <v>0.31572327044025161</v>
      </c>
      <c r="AY68">
        <v>0.49433962264150938</v>
      </c>
      <c r="AZ68">
        <v>0.27798742138364779</v>
      </c>
      <c r="BA68">
        <v>1</v>
      </c>
      <c r="BB68">
        <v>0.88194444444444453</v>
      </c>
      <c r="BC68">
        <v>1.1333333333333331</v>
      </c>
      <c r="BD68">
        <v>0.79874213836477981</v>
      </c>
      <c r="BE68">
        <v>4</v>
      </c>
      <c r="BF68">
        <v>0.95350497903563936</v>
      </c>
      <c r="BG68">
        <v>0.95</v>
      </c>
      <c r="BH68" t="s">
        <v>164</v>
      </c>
      <c r="BI68">
        <v>0.95</v>
      </c>
      <c r="BJ68" t="s">
        <v>164</v>
      </c>
      <c r="BK68" s="2">
        <f t="shared" si="3"/>
        <v>0</v>
      </c>
      <c r="BL68" t="b">
        <f t="shared" si="4"/>
        <v>1</v>
      </c>
    </row>
    <row r="69" spans="1:64" x14ac:dyDescent="0.35">
      <c r="A69" t="s">
        <v>253</v>
      </c>
      <c r="B69" t="s">
        <v>248</v>
      </c>
      <c r="C69">
        <v>2016</v>
      </c>
      <c r="D69" t="s">
        <v>249</v>
      </c>
      <c r="E69" t="s">
        <v>250</v>
      </c>
      <c r="F69" t="s">
        <v>66</v>
      </c>
      <c r="G69" t="s">
        <v>101</v>
      </c>
      <c r="H69" t="s">
        <v>211</v>
      </c>
      <c r="I69" t="s">
        <v>251</v>
      </c>
      <c r="J69" t="s">
        <v>70</v>
      </c>
      <c r="L69">
        <v>1</v>
      </c>
      <c r="M69" t="b">
        <v>1</v>
      </c>
      <c r="N69">
        <v>1</v>
      </c>
      <c r="O69">
        <v>4</v>
      </c>
      <c r="P69">
        <v>5</v>
      </c>
      <c r="Q69">
        <v>2</v>
      </c>
      <c r="R69">
        <v>3</v>
      </c>
      <c r="S69">
        <v>5</v>
      </c>
      <c r="T69">
        <v>23</v>
      </c>
      <c r="U69">
        <v>1252</v>
      </c>
      <c r="V69">
        <v>106</v>
      </c>
      <c r="W69">
        <v>19</v>
      </c>
      <c r="X69">
        <v>5.5789473684210522</v>
      </c>
      <c r="Y69">
        <v>3</v>
      </c>
      <c r="Z69">
        <v>230</v>
      </c>
      <c r="AA69">
        <v>2</v>
      </c>
      <c r="AB69">
        <v>468</v>
      </c>
      <c r="AC69">
        <v>5</v>
      </c>
      <c r="AD69">
        <v>5</v>
      </c>
      <c r="AE69">
        <v>189</v>
      </c>
      <c r="AF69">
        <v>1</v>
      </c>
      <c r="AG69">
        <v>20</v>
      </c>
      <c r="AH69">
        <v>0</v>
      </c>
      <c r="AI69">
        <v>0</v>
      </c>
      <c r="AJ69">
        <v>1</v>
      </c>
      <c r="AK69">
        <v>20</v>
      </c>
      <c r="AL69">
        <v>2</v>
      </c>
      <c r="AM69">
        <v>92</v>
      </c>
      <c r="AN69">
        <v>6</v>
      </c>
      <c r="AO69">
        <v>718</v>
      </c>
      <c r="AP69">
        <v>10</v>
      </c>
      <c r="AQ69">
        <v>887</v>
      </c>
      <c r="AR69">
        <v>0.18370607028753991</v>
      </c>
      <c r="AS69">
        <v>0.37380191693290737</v>
      </c>
      <c r="AT69">
        <v>0.15095846645367411</v>
      </c>
      <c r="AU69">
        <v>1.5974440894568689E-2</v>
      </c>
      <c r="AV69">
        <v>0</v>
      </c>
      <c r="AW69">
        <v>7.3482428115015971E-2</v>
      </c>
      <c r="AX69">
        <v>0.57348242811501593</v>
      </c>
      <c r="AY69">
        <v>0.70846645367412142</v>
      </c>
      <c r="AZ69">
        <v>0.49999999999999989</v>
      </c>
      <c r="BA69">
        <v>0.66666666666666663</v>
      </c>
      <c r="BB69">
        <v>0.76315789473684204</v>
      </c>
      <c r="BC69">
        <v>0.66666666666666663</v>
      </c>
      <c r="BD69">
        <v>0.9375</v>
      </c>
      <c r="BE69">
        <v>4</v>
      </c>
      <c r="BF69">
        <v>0.75849780701754388</v>
      </c>
      <c r="BG69">
        <v>0.78</v>
      </c>
      <c r="BH69" t="s">
        <v>86</v>
      </c>
      <c r="BI69">
        <v>0.76</v>
      </c>
      <c r="BJ69" t="s">
        <v>86</v>
      </c>
      <c r="BK69" s="2">
        <f t="shared" si="3"/>
        <v>2.0000000000000018E-2</v>
      </c>
      <c r="BL69" t="b">
        <f t="shared" si="4"/>
        <v>1</v>
      </c>
    </row>
    <row r="70" spans="1:64" x14ac:dyDescent="0.35">
      <c r="A70" t="s">
        <v>254</v>
      </c>
      <c r="B70" t="s">
        <v>248</v>
      </c>
      <c r="C70">
        <v>2017</v>
      </c>
      <c r="D70" t="s">
        <v>249</v>
      </c>
      <c r="E70" t="s">
        <v>250</v>
      </c>
      <c r="F70" t="s">
        <v>66</v>
      </c>
      <c r="G70" t="s">
        <v>101</v>
      </c>
      <c r="H70" t="s">
        <v>211</v>
      </c>
      <c r="I70" t="s">
        <v>251</v>
      </c>
      <c r="J70" t="s">
        <v>70</v>
      </c>
      <c r="L70">
        <v>1</v>
      </c>
      <c r="M70" t="b">
        <v>1</v>
      </c>
      <c r="N70">
        <v>1</v>
      </c>
      <c r="O70">
        <v>3</v>
      </c>
      <c r="P70">
        <v>9</v>
      </c>
      <c r="Q70">
        <v>3</v>
      </c>
      <c r="R70">
        <v>6</v>
      </c>
      <c r="S70">
        <v>6</v>
      </c>
      <c r="T70">
        <v>43</v>
      </c>
      <c r="U70">
        <v>855</v>
      </c>
      <c r="V70">
        <v>156</v>
      </c>
      <c r="W70">
        <v>26</v>
      </c>
      <c r="X70">
        <v>6</v>
      </c>
      <c r="Y70">
        <v>7</v>
      </c>
      <c r="Z70">
        <v>143</v>
      </c>
      <c r="AA70">
        <v>2</v>
      </c>
      <c r="AB70">
        <v>123</v>
      </c>
      <c r="AC70">
        <v>8</v>
      </c>
      <c r="AD70">
        <v>8</v>
      </c>
      <c r="AE70">
        <v>123</v>
      </c>
      <c r="AF70">
        <v>2</v>
      </c>
      <c r="AG70">
        <v>24</v>
      </c>
      <c r="AH70">
        <v>0</v>
      </c>
      <c r="AI70">
        <v>0</v>
      </c>
      <c r="AJ70">
        <v>2</v>
      </c>
      <c r="AK70">
        <v>5</v>
      </c>
      <c r="AL70">
        <v>3</v>
      </c>
      <c r="AM70">
        <v>23</v>
      </c>
      <c r="AN70">
        <v>11</v>
      </c>
      <c r="AO70">
        <v>290</v>
      </c>
      <c r="AP70">
        <v>17</v>
      </c>
      <c r="AQ70">
        <v>389</v>
      </c>
      <c r="AR70">
        <v>0.1672514619883041</v>
      </c>
      <c r="AS70">
        <v>0.14385964912280699</v>
      </c>
      <c r="AT70">
        <v>0.14385964912280699</v>
      </c>
      <c r="AU70">
        <v>2.8070175438596488E-2</v>
      </c>
      <c r="AV70">
        <v>0</v>
      </c>
      <c r="AW70">
        <v>2.690058479532164E-2</v>
      </c>
      <c r="AX70">
        <v>0.33918128654970758</v>
      </c>
      <c r="AY70">
        <v>0.45497076023391808</v>
      </c>
      <c r="AZ70">
        <v>0.31228070175438588</v>
      </c>
      <c r="BA70">
        <v>0.83333333333333337</v>
      </c>
      <c r="BB70">
        <v>0.83333333333333337</v>
      </c>
      <c r="BC70">
        <v>1.1333333333333331</v>
      </c>
      <c r="BD70">
        <v>0.82017543859649111</v>
      </c>
      <c r="BE70">
        <v>4</v>
      </c>
      <c r="BF70">
        <v>0.90504385964912282</v>
      </c>
      <c r="BG70">
        <v>0.94</v>
      </c>
      <c r="BH70" t="s">
        <v>164</v>
      </c>
      <c r="BI70">
        <v>0.91</v>
      </c>
      <c r="BJ70" t="s">
        <v>164</v>
      </c>
      <c r="BK70" s="2">
        <f t="shared" si="3"/>
        <v>2.9999999999999916E-2</v>
      </c>
      <c r="BL70" t="b">
        <f t="shared" si="4"/>
        <v>1</v>
      </c>
    </row>
    <row r="71" spans="1:64" x14ac:dyDescent="0.35">
      <c r="A71" t="s">
        <v>255</v>
      </c>
      <c r="B71" t="s">
        <v>248</v>
      </c>
      <c r="C71">
        <v>2020</v>
      </c>
      <c r="D71" t="s">
        <v>249</v>
      </c>
      <c r="E71" t="s">
        <v>250</v>
      </c>
      <c r="F71" t="s">
        <v>66</v>
      </c>
      <c r="G71" t="s">
        <v>101</v>
      </c>
      <c r="H71" t="s">
        <v>211</v>
      </c>
      <c r="I71" t="s">
        <v>251</v>
      </c>
      <c r="J71" t="s">
        <v>70</v>
      </c>
      <c r="L71">
        <v>1</v>
      </c>
      <c r="M71" t="b">
        <v>1</v>
      </c>
      <c r="N71">
        <v>1</v>
      </c>
      <c r="O71">
        <v>2</v>
      </c>
      <c r="P71">
        <v>3</v>
      </c>
      <c r="Q71">
        <v>2</v>
      </c>
      <c r="R71">
        <v>1</v>
      </c>
      <c r="S71">
        <v>5</v>
      </c>
      <c r="T71">
        <v>18</v>
      </c>
      <c r="U71">
        <v>180</v>
      </c>
      <c r="V71">
        <v>81</v>
      </c>
      <c r="W71">
        <v>15</v>
      </c>
      <c r="X71">
        <v>5.4</v>
      </c>
      <c r="Y71">
        <v>1</v>
      </c>
      <c r="Z71">
        <v>9</v>
      </c>
      <c r="AA71">
        <v>0</v>
      </c>
      <c r="AB71">
        <v>0</v>
      </c>
      <c r="AC71">
        <v>3</v>
      </c>
      <c r="AD71">
        <v>3</v>
      </c>
      <c r="AE71">
        <v>32</v>
      </c>
      <c r="AF71">
        <v>2</v>
      </c>
      <c r="AG71">
        <v>10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3</v>
      </c>
      <c r="AO71">
        <v>19</v>
      </c>
      <c r="AP71">
        <v>4</v>
      </c>
      <c r="AQ71">
        <v>41</v>
      </c>
      <c r="AR71">
        <v>0.05</v>
      </c>
      <c r="AS71">
        <v>0</v>
      </c>
      <c r="AT71">
        <v>0.17777777777777781</v>
      </c>
      <c r="AU71">
        <v>5.5555555555555552E-2</v>
      </c>
      <c r="AV71">
        <v>0</v>
      </c>
      <c r="AW71">
        <v>0</v>
      </c>
      <c r="AX71">
        <v>0.1055555555555556</v>
      </c>
      <c r="AY71">
        <v>0.2277777777777778</v>
      </c>
      <c r="AZ71">
        <v>0.1055555555555556</v>
      </c>
      <c r="BA71">
        <v>0.66666666666666663</v>
      </c>
      <c r="BB71">
        <v>0.73333333333333339</v>
      </c>
      <c r="BC71">
        <v>0.26666666666666672</v>
      </c>
      <c r="BD71">
        <v>0.69097222222222221</v>
      </c>
      <c r="BE71">
        <v>4</v>
      </c>
      <c r="BF71">
        <v>0.58940972222222221</v>
      </c>
      <c r="BG71">
        <v>0.59</v>
      </c>
      <c r="BH71" t="s">
        <v>71</v>
      </c>
      <c r="BI71">
        <v>0.59</v>
      </c>
      <c r="BJ71" t="s">
        <v>71</v>
      </c>
      <c r="BK71" s="2">
        <f t="shared" si="3"/>
        <v>0</v>
      </c>
      <c r="BL71" t="b">
        <f t="shared" si="4"/>
        <v>1</v>
      </c>
    </row>
    <row r="72" spans="1:64" x14ac:dyDescent="0.35">
      <c r="A72" t="s">
        <v>256</v>
      </c>
      <c r="B72" t="s">
        <v>257</v>
      </c>
      <c r="C72">
        <v>2015</v>
      </c>
      <c r="D72" t="s">
        <v>258</v>
      </c>
      <c r="E72" t="s">
        <v>259</v>
      </c>
      <c r="F72" t="s">
        <v>66</v>
      </c>
      <c r="G72" t="s">
        <v>101</v>
      </c>
      <c r="H72" t="s">
        <v>102</v>
      </c>
      <c r="I72" t="s">
        <v>116</v>
      </c>
      <c r="J72" t="s">
        <v>70</v>
      </c>
      <c r="L72">
        <v>3</v>
      </c>
      <c r="M72" t="b">
        <v>0</v>
      </c>
      <c r="N72">
        <v>1</v>
      </c>
      <c r="O72">
        <v>2</v>
      </c>
      <c r="P72">
        <v>9</v>
      </c>
      <c r="Q72">
        <v>3</v>
      </c>
      <c r="R72">
        <v>6</v>
      </c>
      <c r="S72">
        <v>6</v>
      </c>
      <c r="T72">
        <v>35</v>
      </c>
      <c r="U72">
        <v>471</v>
      </c>
      <c r="V72">
        <v>149</v>
      </c>
      <c r="W72">
        <v>26</v>
      </c>
      <c r="X72">
        <v>5.7307692307692308</v>
      </c>
      <c r="Y72">
        <v>4</v>
      </c>
      <c r="Z72">
        <v>64</v>
      </c>
      <c r="AA72">
        <v>0</v>
      </c>
      <c r="AB72">
        <v>0</v>
      </c>
      <c r="AC72">
        <v>4</v>
      </c>
      <c r="AD72">
        <v>4</v>
      </c>
      <c r="AE72">
        <v>40</v>
      </c>
      <c r="AF72">
        <v>2</v>
      </c>
      <c r="AG72">
        <v>8</v>
      </c>
      <c r="AH72">
        <v>2</v>
      </c>
      <c r="AI72">
        <v>10</v>
      </c>
      <c r="AJ72">
        <v>0</v>
      </c>
      <c r="AK72">
        <v>0</v>
      </c>
      <c r="AL72">
        <v>2</v>
      </c>
      <c r="AM72">
        <v>10</v>
      </c>
      <c r="AN72">
        <v>6</v>
      </c>
      <c r="AO72">
        <v>72</v>
      </c>
      <c r="AP72">
        <v>8</v>
      </c>
      <c r="AQ72">
        <v>104</v>
      </c>
      <c r="AR72">
        <v>0.1358811040339703</v>
      </c>
      <c r="AS72">
        <v>0</v>
      </c>
      <c r="AT72">
        <v>8.4925690021231418E-2</v>
      </c>
      <c r="AU72">
        <v>1.6985138004246281E-2</v>
      </c>
      <c r="AV72">
        <v>2.1231422505307851E-2</v>
      </c>
      <c r="AW72">
        <v>2.1231422505307851E-2</v>
      </c>
      <c r="AX72">
        <v>0.15286624203821661</v>
      </c>
      <c r="AY72">
        <v>0.2208067940552017</v>
      </c>
      <c r="AZ72">
        <v>0.1316348195329087</v>
      </c>
      <c r="BA72">
        <v>0.83333333333333337</v>
      </c>
      <c r="BB72">
        <v>0.78846153846153844</v>
      </c>
      <c r="BC72">
        <v>0.53333333333333333</v>
      </c>
      <c r="BD72">
        <v>0.70727176220806787</v>
      </c>
      <c r="BE72">
        <v>4</v>
      </c>
      <c r="BF72">
        <v>0.71559999183406831</v>
      </c>
      <c r="BG72">
        <v>0.72</v>
      </c>
      <c r="BH72" t="s">
        <v>86</v>
      </c>
      <c r="BI72">
        <v>0.72</v>
      </c>
      <c r="BJ72" t="s">
        <v>86</v>
      </c>
      <c r="BK72" s="2">
        <f t="shared" si="3"/>
        <v>0</v>
      </c>
      <c r="BL72" t="b">
        <f t="shared" si="4"/>
        <v>1</v>
      </c>
    </row>
    <row r="73" spans="1:64" x14ac:dyDescent="0.35">
      <c r="A73" t="s">
        <v>260</v>
      </c>
      <c r="B73" t="s">
        <v>257</v>
      </c>
      <c r="C73">
        <v>2019</v>
      </c>
      <c r="D73" t="s">
        <v>258</v>
      </c>
      <c r="E73" t="s">
        <v>259</v>
      </c>
      <c r="F73" t="s">
        <v>66</v>
      </c>
      <c r="G73" t="s">
        <v>101</v>
      </c>
      <c r="H73" t="s">
        <v>102</v>
      </c>
      <c r="I73" t="s">
        <v>116</v>
      </c>
      <c r="J73" t="s">
        <v>70</v>
      </c>
      <c r="L73">
        <v>3</v>
      </c>
      <c r="M73" t="b">
        <v>0</v>
      </c>
      <c r="N73">
        <v>1</v>
      </c>
      <c r="O73">
        <v>2</v>
      </c>
      <c r="P73">
        <v>7</v>
      </c>
      <c r="Q73">
        <v>6</v>
      </c>
      <c r="R73">
        <v>1</v>
      </c>
      <c r="S73">
        <v>5</v>
      </c>
      <c r="T73">
        <v>26</v>
      </c>
      <c r="U73">
        <v>467</v>
      </c>
      <c r="V73">
        <v>108</v>
      </c>
      <c r="W73">
        <v>22</v>
      </c>
      <c r="X73">
        <v>4.9090909090909092</v>
      </c>
      <c r="Y73">
        <v>1</v>
      </c>
      <c r="Z73">
        <v>15</v>
      </c>
      <c r="AA73">
        <v>3</v>
      </c>
      <c r="AB73">
        <v>7</v>
      </c>
      <c r="AC73">
        <v>3</v>
      </c>
      <c r="AD73">
        <v>3</v>
      </c>
      <c r="AE73">
        <v>55</v>
      </c>
      <c r="AF73">
        <v>2</v>
      </c>
      <c r="AG73">
        <v>3</v>
      </c>
      <c r="AH73">
        <v>1</v>
      </c>
      <c r="AI73">
        <v>57</v>
      </c>
      <c r="AJ73">
        <v>2</v>
      </c>
      <c r="AK73">
        <v>6</v>
      </c>
      <c r="AL73">
        <v>3</v>
      </c>
      <c r="AM73">
        <v>63</v>
      </c>
      <c r="AN73">
        <v>6</v>
      </c>
      <c r="AO73">
        <v>25</v>
      </c>
      <c r="AP73">
        <v>7</v>
      </c>
      <c r="AQ73">
        <v>77</v>
      </c>
      <c r="AR73">
        <v>3.2119914346895068E-2</v>
      </c>
      <c r="AS73">
        <v>1.498929336188437E-2</v>
      </c>
      <c r="AT73">
        <v>0.1177730192719486</v>
      </c>
      <c r="AU73">
        <v>6.4239828693790149E-3</v>
      </c>
      <c r="AV73">
        <v>0.1220556745182013</v>
      </c>
      <c r="AW73">
        <v>0.13490364025695931</v>
      </c>
      <c r="AX73">
        <v>5.353319057815846E-2</v>
      </c>
      <c r="AY73">
        <v>0.16488222698072799</v>
      </c>
      <c r="AZ73">
        <v>-8.1370449678800846E-2</v>
      </c>
      <c r="BA73">
        <v>0.66666666666666663</v>
      </c>
      <c r="BB73">
        <v>0.65151515151515149</v>
      </c>
      <c r="BC73">
        <v>0.46666666666666667</v>
      </c>
      <c r="BD73">
        <v>0.57414346895074941</v>
      </c>
      <c r="BE73">
        <v>4</v>
      </c>
      <c r="BF73">
        <v>0.58974798844980858</v>
      </c>
      <c r="BG73">
        <v>0.63</v>
      </c>
      <c r="BH73" t="s">
        <v>86</v>
      </c>
      <c r="BI73">
        <v>0.59</v>
      </c>
      <c r="BJ73" t="s">
        <v>71</v>
      </c>
      <c r="BK73" s="2">
        <f t="shared" si="3"/>
        <v>4.0000000000000036E-2</v>
      </c>
      <c r="BL73" t="b">
        <f t="shared" si="4"/>
        <v>0</v>
      </c>
    </row>
    <row r="74" spans="1:64" x14ac:dyDescent="0.35">
      <c r="A74" t="s">
        <v>261</v>
      </c>
      <c r="B74" t="s">
        <v>262</v>
      </c>
      <c r="C74">
        <v>2015</v>
      </c>
      <c r="D74" t="s">
        <v>263</v>
      </c>
      <c r="E74" t="s">
        <v>264</v>
      </c>
      <c r="F74" t="s">
        <v>66</v>
      </c>
      <c r="G74" t="s">
        <v>101</v>
      </c>
      <c r="H74" t="s">
        <v>102</v>
      </c>
      <c r="I74" t="s">
        <v>265</v>
      </c>
      <c r="J74" t="s">
        <v>70</v>
      </c>
      <c r="L74">
        <v>2</v>
      </c>
      <c r="M74" t="b">
        <v>0</v>
      </c>
      <c r="N74">
        <v>1</v>
      </c>
      <c r="O74">
        <v>2</v>
      </c>
      <c r="P74">
        <v>13</v>
      </c>
      <c r="Q74">
        <v>2</v>
      </c>
      <c r="R74">
        <v>11</v>
      </c>
      <c r="S74">
        <v>7</v>
      </c>
      <c r="T74">
        <v>33</v>
      </c>
      <c r="U74">
        <v>1124</v>
      </c>
      <c r="V74">
        <v>164</v>
      </c>
      <c r="W74">
        <v>26</v>
      </c>
      <c r="X74">
        <v>6.3076923076923066</v>
      </c>
      <c r="Y74">
        <v>3</v>
      </c>
      <c r="Z74">
        <v>47</v>
      </c>
      <c r="AA74">
        <v>2</v>
      </c>
      <c r="AB74">
        <v>2</v>
      </c>
      <c r="AC74">
        <v>4</v>
      </c>
      <c r="AD74">
        <v>4</v>
      </c>
      <c r="AE74">
        <v>136</v>
      </c>
      <c r="AF74">
        <v>2</v>
      </c>
      <c r="AG74">
        <v>14</v>
      </c>
      <c r="AH74">
        <v>0</v>
      </c>
      <c r="AI74">
        <v>0</v>
      </c>
      <c r="AJ74">
        <v>1</v>
      </c>
      <c r="AK74">
        <v>4</v>
      </c>
      <c r="AL74">
        <v>1</v>
      </c>
      <c r="AM74">
        <v>4</v>
      </c>
      <c r="AN74">
        <v>7</v>
      </c>
      <c r="AO74">
        <v>63</v>
      </c>
      <c r="AP74">
        <v>9</v>
      </c>
      <c r="AQ74">
        <v>185</v>
      </c>
      <c r="AR74">
        <v>4.1814946619217079E-2</v>
      </c>
      <c r="AS74">
        <v>1.7793594306049819E-3</v>
      </c>
      <c r="AT74">
        <v>0.1209964412811388</v>
      </c>
      <c r="AU74">
        <v>1.245551601423488E-2</v>
      </c>
      <c r="AV74">
        <v>0</v>
      </c>
      <c r="AW74">
        <v>3.5587188612099638E-3</v>
      </c>
      <c r="AX74">
        <v>5.6049822064056939E-2</v>
      </c>
      <c r="AY74">
        <v>0.16459074733096091</v>
      </c>
      <c r="AZ74">
        <v>5.2491103202846973E-2</v>
      </c>
      <c r="BA74">
        <v>1</v>
      </c>
      <c r="BB74">
        <v>0.88461538461538447</v>
      </c>
      <c r="BC74">
        <v>0.6</v>
      </c>
      <c r="BD74">
        <v>0.65780693950177938</v>
      </c>
      <c r="BE74">
        <v>4</v>
      </c>
      <c r="BF74">
        <v>0.78560558102929101</v>
      </c>
      <c r="BG74">
        <v>0.77</v>
      </c>
      <c r="BH74" t="s">
        <v>86</v>
      </c>
      <c r="BI74">
        <v>0.79</v>
      </c>
      <c r="BJ74" t="s">
        <v>86</v>
      </c>
      <c r="BK74" s="2">
        <f t="shared" si="3"/>
        <v>-2.0000000000000018E-2</v>
      </c>
      <c r="BL74" t="b">
        <f t="shared" si="4"/>
        <v>1</v>
      </c>
    </row>
    <row r="75" spans="1:64" x14ac:dyDescent="0.35">
      <c r="A75" t="s">
        <v>266</v>
      </c>
      <c r="B75" t="s">
        <v>262</v>
      </c>
      <c r="C75">
        <v>2022</v>
      </c>
      <c r="D75" t="s">
        <v>263</v>
      </c>
      <c r="E75" t="s">
        <v>264</v>
      </c>
      <c r="F75" t="s">
        <v>66</v>
      </c>
      <c r="G75" t="s">
        <v>101</v>
      </c>
      <c r="H75" t="s">
        <v>102</v>
      </c>
      <c r="I75" t="s">
        <v>265</v>
      </c>
      <c r="J75" t="s">
        <v>70</v>
      </c>
      <c r="L75">
        <v>2</v>
      </c>
      <c r="M75" t="b">
        <v>0</v>
      </c>
      <c r="N75">
        <v>4</v>
      </c>
      <c r="O75">
        <v>3</v>
      </c>
      <c r="P75">
        <v>3</v>
      </c>
      <c r="Q75">
        <v>3</v>
      </c>
      <c r="R75">
        <v>0</v>
      </c>
      <c r="S75">
        <v>3</v>
      </c>
      <c r="T75">
        <v>31</v>
      </c>
      <c r="U75">
        <v>390</v>
      </c>
      <c r="V75">
        <v>96</v>
      </c>
      <c r="W75">
        <v>20</v>
      </c>
      <c r="X75">
        <v>4.8</v>
      </c>
      <c r="Y75">
        <v>3</v>
      </c>
      <c r="Z75">
        <v>29</v>
      </c>
      <c r="AA75">
        <v>0</v>
      </c>
      <c r="AB75">
        <v>0</v>
      </c>
      <c r="AC75">
        <v>5</v>
      </c>
      <c r="AD75">
        <v>4</v>
      </c>
      <c r="AE75">
        <v>176</v>
      </c>
      <c r="AF75">
        <v>2</v>
      </c>
      <c r="AG75">
        <v>11</v>
      </c>
      <c r="AH75">
        <v>2</v>
      </c>
      <c r="AI75">
        <v>14</v>
      </c>
      <c r="AJ75">
        <v>1</v>
      </c>
      <c r="AK75">
        <v>5</v>
      </c>
      <c r="AL75">
        <v>4</v>
      </c>
      <c r="AM75">
        <v>28</v>
      </c>
      <c r="AN75">
        <v>5</v>
      </c>
      <c r="AO75">
        <v>40</v>
      </c>
      <c r="AP75">
        <v>7</v>
      </c>
      <c r="AQ75">
        <v>205</v>
      </c>
      <c r="AR75">
        <v>7.4358974358974358E-2</v>
      </c>
      <c r="AS75">
        <v>0</v>
      </c>
      <c r="AT75">
        <v>0.45128205128205129</v>
      </c>
      <c r="AU75">
        <v>2.8205128205128209E-2</v>
      </c>
      <c r="AV75">
        <v>3.5897435897435888E-2</v>
      </c>
      <c r="AW75">
        <v>7.179487179487179E-2</v>
      </c>
      <c r="AX75">
        <v>0.1025641025641026</v>
      </c>
      <c r="AY75">
        <v>0.52564102564102566</v>
      </c>
      <c r="AZ75">
        <v>3.0769230769230771E-2</v>
      </c>
      <c r="BA75">
        <v>0.33333333333333331</v>
      </c>
      <c r="BB75">
        <v>0.6333333333333333</v>
      </c>
      <c r="BC75">
        <v>0.46666666666666667</v>
      </c>
      <c r="BD75">
        <v>0.64423076923076916</v>
      </c>
      <c r="BE75">
        <v>4</v>
      </c>
      <c r="BF75">
        <v>0.51939102564102557</v>
      </c>
      <c r="BG75">
        <v>0.53</v>
      </c>
      <c r="BH75" t="s">
        <v>71</v>
      </c>
      <c r="BI75">
        <v>0.52</v>
      </c>
      <c r="BJ75" t="s">
        <v>71</v>
      </c>
      <c r="BK75" s="2">
        <f t="shared" si="3"/>
        <v>1.0000000000000009E-2</v>
      </c>
      <c r="BL75" t="b">
        <f t="shared" si="4"/>
        <v>1</v>
      </c>
    </row>
    <row r="76" spans="1:64" x14ac:dyDescent="0.35">
      <c r="A76" t="s">
        <v>267</v>
      </c>
      <c r="B76" t="s">
        <v>268</v>
      </c>
      <c r="C76">
        <v>2014</v>
      </c>
      <c r="D76" t="s">
        <v>269</v>
      </c>
      <c r="E76" t="s">
        <v>270</v>
      </c>
      <c r="F76" t="s">
        <v>66</v>
      </c>
      <c r="G76" t="s">
        <v>101</v>
      </c>
      <c r="H76" t="s">
        <v>102</v>
      </c>
      <c r="I76" t="s">
        <v>265</v>
      </c>
      <c r="J76" t="s">
        <v>70</v>
      </c>
      <c r="L76">
        <v>2</v>
      </c>
      <c r="M76" t="b">
        <v>0</v>
      </c>
      <c r="N76">
        <v>3</v>
      </c>
      <c r="O76">
        <v>1</v>
      </c>
      <c r="P76">
        <v>5</v>
      </c>
      <c r="Q76">
        <v>4</v>
      </c>
      <c r="R76">
        <v>1</v>
      </c>
      <c r="S76">
        <v>4</v>
      </c>
      <c r="T76">
        <v>20</v>
      </c>
      <c r="U76">
        <v>593</v>
      </c>
      <c r="V76">
        <v>84</v>
      </c>
      <c r="W76">
        <v>16</v>
      </c>
      <c r="X76">
        <v>5.25</v>
      </c>
      <c r="Y76">
        <v>5</v>
      </c>
      <c r="Z76">
        <v>153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</v>
      </c>
      <c r="AG76">
        <v>5</v>
      </c>
      <c r="AH76">
        <v>1</v>
      </c>
      <c r="AI76">
        <v>149</v>
      </c>
      <c r="AJ76">
        <v>2</v>
      </c>
      <c r="AK76">
        <v>53</v>
      </c>
      <c r="AL76">
        <v>3</v>
      </c>
      <c r="AM76">
        <v>202</v>
      </c>
      <c r="AN76">
        <v>7</v>
      </c>
      <c r="AO76">
        <v>158</v>
      </c>
      <c r="AP76">
        <v>5</v>
      </c>
      <c r="AQ76">
        <v>153</v>
      </c>
      <c r="AR76">
        <v>0.25801011804384488</v>
      </c>
      <c r="AS76">
        <v>0</v>
      </c>
      <c r="AT76">
        <v>0</v>
      </c>
      <c r="AU76">
        <v>8.4317032040472171E-3</v>
      </c>
      <c r="AV76">
        <v>0.25126475548060712</v>
      </c>
      <c r="AW76">
        <v>0.34064080944350761</v>
      </c>
      <c r="AX76">
        <v>0.26644182124789212</v>
      </c>
      <c r="AY76">
        <v>0.25801011804384488</v>
      </c>
      <c r="AZ76">
        <v>-7.4198988195615545E-2</v>
      </c>
      <c r="BA76">
        <v>0.5</v>
      </c>
      <c r="BB76">
        <v>0.70833333333333337</v>
      </c>
      <c r="BC76">
        <v>0.33333333333333331</v>
      </c>
      <c r="BD76">
        <v>0.57862563237774023</v>
      </c>
      <c r="BE76">
        <v>4</v>
      </c>
      <c r="BF76">
        <v>0.53007307476110177</v>
      </c>
      <c r="BG76">
        <v>0.56999999999999995</v>
      </c>
      <c r="BH76" t="s">
        <v>71</v>
      </c>
      <c r="BI76">
        <v>0.53</v>
      </c>
      <c r="BJ76" t="s">
        <v>71</v>
      </c>
      <c r="BK76" s="2">
        <f t="shared" si="3"/>
        <v>3.9999999999999925E-2</v>
      </c>
      <c r="BL76" t="b">
        <f t="shared" si="4"/>
        <v>1</v>
      </c>
    </row>
    <row r="77" spans="1:64" x14ac:dyDescent="0.35">
      <c r="A77" t="s">
        <v>271</v>
      </c>
      <c r="B77" t="s">
        <v>268</v>
      </c>
      <c r="C77">
        <v>2021</v>
      </c>
      <c r="D77" t="s">
        <v>269</v>
      </c>
      <c r="E77" t="s">
        <v>270</v>
      </c>
      <c r="F77" t="s">
        <v>66</v>
      </c>
      <c r="G77" t="s">
        <v>101</v>
      </c>
      <c r="H77" t="s">
        <v>102</v>
      </c>
      <c r="I77" t="s">
        <v>265</v>
      </c>
      <c r="J77" t="s">
        <v>70</v>
      </c>
      <c r="L77">
        <v>2</v>
      </c>
      <c r="M77" t="b">
        <v>0</v>
      </c>
      <c r="N77">
        <v>4</v>
      </c>
      <c r="O77">
        <v>1</v>
      </c>
      <c r="P77">
        <v>1</v>
      </c>
      <c r="Q77">
        <v>2</v>
      </c>
      <c r="R77">
        <v>-1</v>
      </c>
      <c r="S77">
        <v>3</v>
      </c>
      <c r="T77">
        <v>15</v>
      </c>
      <c r="U77">
        <v>219</v>
      </c>
      <c r="V77">
        <v>61</v>
      </c>
      <c r="W77">
        <v>14</v>
      </c>
      <c r="X77">
        <v>4.3571428571428568</v>
      </c>
      <c r="Y77">
        <v>1</v>
      </c>
      <c r="Z77">
        <v>19</v>
      </c>
      <c r="AA77">
        <v>0</v>
      </c>
      <c r="AB77">
        <v>0</v>
      </c>
      <c r="AC77">
        <v>3</v>
      </c>
      <c r="AD77">
        <v>3</v>
      </c>
      <c r="AE77">
        <v>63</v>
      </c>
      <c r="AF77">
        <v>4</v>
      </c>
      <c r="AG77">
        <v>15</v>
      </c>
      <c r="AH77">
        <v>1</v>
      </c>
      <c r="AI77">
        <v>42</v>
      </c>
      <c r="AJ77">
        <v>1</v>
      </c>
      <c r="AK77">
        <v>4</v>
      </c>
      <c r="AL77">
        <v>2</v>
      </c>
      <c r="AM77">
        <v>46</v>
      </c>
      <c r="AN77">
        <v>5</v>
      </c>
      <c r="AO77">
        <v>34</v>
      </c>
      <c r="AP77">
        <v>4</v>
      </c>
      <c r="AQ77">
        <v>82</v>
      </c>
      <c r="AR77">
        <v>8.6757990867579904E-2</v>
      </c>
      <c r="AS77">
        <v>0</v>
      </c>
      <c r="AT77">
        <v>0.28767123287671231</v>
      </c>
      <c r="AU77">
        <v>6.8493150684931503E-2</v>
      </c>
      <c r="AV77">
        <v>0.19178082191780821</v>
      </c>
      <c r="AW77">
        <v>0.21004566210045661</v>
      </c>
      <c r="AX77">
        <v>0.15525114155251141</v>
      </c>
      <c r="AY77">
        <v>0.37442922374429222</v>
      </c>
      <c r="AZ77">
        <v>-5.4794520547945202E-2</v>
      </c>
      <c r="BA77">
        <v>0.33333333333333331</v>
      </c>
      <c r="BB77">
        <v>0.55952380952380942</v>
      </c>
      <c r="BC77">
        <v>0.26666666666666672</v>
      </c>
      <c r="BD77">
        <v>0.59075342465753422</v>
      </c>
      <c r="BE77">
        <v>4</v>
      </c>
      <c r="BF77">
        <v>0.43756930854533588</v>
      </c>
      <c r="BG77">
        <v>0.47</v>
      </c>
      <c r="BH77" t="s">
        <v>71</v>
      </c>
      <c r="BI77">
        <v>0.44</v>
      </c>
      <c r="BJ77" t="s">
        <v>71</v>
      </c>
      <c r="BK77" s="2">
        <f t="shared" si="3"/>
        <v>2.9999999999999971E-2</v>
      </c>
      <c r="BL77" t="b">
        <f t="shared" si="4"/>
        <v>1</v>
      </c>
    </row>
    <row r="78" spans="1:64" x14ac:dyDescent="0.35">
      <c r="A78" t="s">
        <v>272</v>
      </c>
      <c r="B78" t="s">
        <v>273</v>
      </c>
      <c r="C78">
        <v>2015</v>
      </c>
      <c r="D78" t="s">
        <v>274</v>
      </c>
      <c r="E78" t="s">
        <v>275</v>
      </c>
      <c r="F78" t="s">
        <v>66</v>
      </c>
      <c r="G78" t="s">
        <v>101</v>
      </c>
      <c r="H78" t="s">
        <v>150</v>
      </c>
      <c r="I78" t="s">
        <v>150</v>
      </c>
      <c r="J78" t="s">
        <v>70</v>
      </c>
      <c r="L78">
        <v>3</v>
      </c>
      <c r="M78" t="b">
        <v>0</v>
      </c>
      <c r="N78">
        <v>1</v>
      </c>
      <c r="O78">
        <v>4</v>
      </c>
      <c r="P78">
        <v>8</v>
      </c>
      <c r="Q78">
        <v>0</v>
      </c>
      <c r="R78">
        <v>8</v>
      </c>
      <c r="S78">
        <v>6</v>
      </c>
      <c r="T78">
        <v>16</v>
      </c>
      <c r="U78">
        <v>347</v>
      </c>
      <c r="V78">
        <v>91</v>
      </c>
      <c r="W78">
        <v>14</v>
      </c>
      <c r="X78">
        <v>6.5</v>
      </c>
      <c r="Y78">
        <v>3</v>
      </c>
      <c r="Z78">
        <v>110</v>
      </c>
      <c r="AA78">
        <v>2</v>
      </c>
      <c r="AB78">
        <v>42</v>
      </c>
      <c r="AC78">
        <v>4</v>
      </c>
      <c r="AD78">
        <v>4</v>
      </c>
      <c r="AE78">
        <v>87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5</v>
      </c>
      <c r="AO78">
        <v>152</v>
      </c>
      <c r="AP78">
        <v>9</v>
      </c>
      <c r="AQ78">
        <v>239</v>
      </c>
      <c r="AR78">
        <v>0.31700288184438041</v>
      </c>
      <c r="AS78">
        <v>0.1210374639769452</v>
      </c>
      <c r="AT78">
        <v>0.25072046109510088</v>
      </c>
      <c r="AU78">
        <v>0</v>
      </c>
      <c r="AV78">
        <v>0</v>
      </c>
      <c r="AW78">
        <v>0</v>
      </c>
      <c r="AX78">
        <v>0.43804034582132573</v>
      </c>
      <c r="AY78">
        <v>0.68876080691642649</v>
      </c>
      <c r="AZ78">
        <v>0.43804034582132573</v>
      </c>
      <c r="BA78">
        <v>0.83333333333333337</v>
      </c>
      <c r="BB78">
        <v>0.91666666666666663</v>
      </c>
      <c r="BC78">
        <v>0.6</v>
      </c>
      <c r="BD78">
        <v>0.89877521613832856</v>
      </c>
      <c r="BE78">
        <v>4</v>
      </c>
      <c r="BF78">
        <v>0.81219380403458219</v>
      </c>
      <c r="BG78">
        <v>0.83</v>
      </c>
      <c r="BH78" t="s">
        <v>164</v>
      </c>
      <c r="BI78">
        <v>0.81</v>
      </c>
      <c r="BJ78" t="s">
        <v>164</v>
      </c>
      <c r="BK78" s="2">
        <f t="shared" si="3"/>
        <v>1.9999999999999907E-2</v>
      </c>
      <c r="BL78" t="b">
        <f t="shared" si="4"/>
        <v>1</v>
      </c>
    </row>
    <row r="79" spans="1:64" x14ac:dyDescent="0.35">
      <c r="A79" t="s">
        <v>276</v>
      </c>
      <c r="B79" t="s">
        <v>273</v>
      </c>
      <c r="C79">
        <v>2018</v>
      </c>
      <c r="D79" t="s">
        <v>274</v>
      </c>
      <c r="E79" t="s">
        <v>275</v>
      </c>
      <c r="F79" t="s">
        <v>66</v>
      </c>
      <c r="G79" t="s">
        <v>101</v>
      </c>
      <c r="H79" t="s">
        <v>150</v>
      </c>
      <c r="I79" t="s">
        <v>150</v>
      </c>
      <c r="J79" t="s">
        <v>70</v>
      </c>
      <c r="L79">
        <v>3</v>
      </c>
      <c r="M79" t="b">
        <v>0</v>
      </c>
      <c r="N79">
        <v>1</v>
      </c>
      <c r="O79">
        <v>2</v>
      </c>
      <c r="P79">
        <v>4</v>
      </c>
      <c r="Q79">
        <v>2</v>
      </c>
      <c r="R79">
        <v>2</v>
      </c>
      <c r="S79">
        <v>5</v>
      </c>
      <c r="T79">
        <v>21</v>
      </c>
      <c r="U79">
        <v>289</v>
      </c>
      <c r="V79">
        <v>89</v>
      </c>
      <c r="W79">
        <v>16</v>
      </c>
      <c r="X79">
        <v>5.5625</v>
      </c>
      <c r="Y79">
        <v>3</v>
      </c>
      <c r="Z79">
        <v>22</v>
      </c>
      <c r="AA79">
        <v>1</v>
      </c>
      <c r="AB79">
        <v>8</v>
      </c>
      <c r="AC79">
        <v>3</v>
      </c>
      <c r="AD79">
        <v>3</v>
      </c>
      <c r="AE79">
        <v>62</v>
      </c>
      <c r="AF79">
        <v>2</v>
      </c>
      <c r="AG79">
        <v>85</v>
      </c>
      <c r="AH79">
        <v>1</v>
      </c>
      <c r="AI79">
        <v>12</v>
      </c>
      <c r="AJ79">
        <v>0</v>
      </c>
      <c r="AK79">
        <v>0</v>
      </c>
      <c r="AL79">
        <v>1</v>
      </c>
      <c r="AM79">
        <v>12</v>
      </c>
      <c r="AN79">
        <v>6</v>
      </c>
      <c r="AO79">
        <v>115</v>
      </c>
      <c r="AP79">
        <v>7</v>
      </c>
      <c r="AQ79">
        <v>92</v>
      </c>
      <c r="AR79">
        <v>7.6124567474048443E-2</v>
      </c>
      <c r="AS79">
        <v>2.768166089965398E-2</v>
      </c>
      <c r="AT79">
        <v>0.21453287197231841</v>
      </c>
      <c r="AU79">
        <v>0.29411764705882348</v>
      </c>
      <c r="AV79">
        <v>4.1522491349480967E-2</v>
      </c>
      <c r="AW79">
        <v>4.1522491349480967E-2</v>
      </c>
      <c r="AX79">
        <v>0.39792387543252589</v>
      </c>
      <c r="AY79">
        <v>0.31833910034602081</v>
      </c>
      <c r="AZ79">
        <v>0.356401384083045</v>
      </c>
      <c r="BA79">
        <v>0.66666666666666663</v>
      </c>
      <c r="BB79">
        <v>0.76041666666666663</v>
      </c>
      <c r="BC79">
        <v>0.46666666666666667</v>
      </c>
      <c r="BD79">
        <v>0.847750865051903</v>
      </c>
      <c r="BE79">
        <v>4</v>
      </c>
      <c r="BF79">
        <v>0.68537521626297571</v>
      </c>
      <c r="BG79">
        <v>0.69</v>
      </c>
      <c r="BH79" t="s">
        <v>86</v>
      </c>
      <c r="BI79">
        <v>0.69</v>
      </c>
      <c r="BJ79" t="s">
        <v>86</v>
      </c>
      <c r="BK79" s="2">
        <f t="shared" si="3"/>
        <v>0</v>
      </c>
      <c r="BL79" t="b">
        <f t="shared" si="4"/>
        <v>1</v>
      </c>
    </row>
    <row r="80" spans="1:64" x14ac:dyDescent="0.35">
      <c r="A80" t="s">
        <v>277</v>
      </c>
      <c r="B80" t="s">
        <v>273</v>
      </c>
      <c r="C80">
        <v>2021</v>
      </c>
      <c r="D80" t="s">
        <v>274</v>
      </c>
      <c r="E80" t="s">
        <v>275</v>
      </c>
      <c r="F80" t="s">
        <v>66</v>
      </c>
      <c r="G80" t="s">
        <v>101</v>
      </c>
      <c r="H80" t="s">
        <v>150</v>
      </c>
      <c r="I80" t="s">
        <v>150</v>
      </c>
      <c r="J80" t="s">
        <v>70</v>
      </c>
      <c r="L80">
        <v>3</v>
      </c>
      <c r="M80" t="b">
        <v>0</v>
      </c>
      <c r="N80">
        <v>1</v>
      </c>
      <c r="O80">
        <v>2</v>
      </c>
      <c r="P80">
        <v>9</v>
      </c>
      <c r="Q80">
        <v>0</v>
      </c>
      <c r="R80">
        <v>9</v>
      </c>
      <c r="S80">
        <v>6</v>
      </c>
      <c r="T80">
        <v>22</v>
      </c>
      <c r="U80">
        <v>377</v>
      </c>
      <c r="V80">
        <v>121</v>
      </c>
      <c r="W80">
        <v>19</v>
      </c>
      <c r="X80">
        <v>6.3684210526315788</v>
      </c>
      <c r="Y80">
        <v>4</v>
      </c>
      <c r="Z80">
        <v>97</v>
      </c>
      <c r="AA80">
        <v>1</v>
      </c>
      <c r="AB80">
        <v>17</v>
      </c>
      <c r="AC80">
        <v>4</v>
      </c>
      <c r="AD80">
        <v>4</v>
      </c>
      <c r="AE80">
        <v>84</v>
      </c>
      <c r="AF80">
        <v>1</v>
      </c>
      <c r="AG80">
        <v>21</v>
      </c>
      <c r="AH80">
        <v>0</v>
      </c>
      <c r="AI80">
        <v>0</v>
      </c>
      <c r="AJ80">
        <v>1</v>
      </c>
      <c r="AK80">
        <v>1</v>
      </c>
      <c r="AL80">
        <v>1</v>
      </c>
      <c r="AM80">
        <v>1</v>
      </c>
      <c r="AN80">
        <v>6</v>
      </c>
      <c r="AO80">
        <v>135</v>
      </c>
      <c r="AP80">
        <v>9</v>
      </c>
      <c r="AQ80">
        <v>198</v>
      </c>
      <c r="AR80">
        <v>0.2572944297082228</v>
      </c>
      <c r="AS80">
        <v>4.5092838196286469E-2</v>
      </c>
      <c r="AT80">
        <v>0.22281167108753319</v>
      </c>
      <c r="AU80">
        <v>5.5702917771883291E-2</v>
      </c>
      <c r="AV80">
        <v>0</v>
      </c>
      <c r="AW80">
        <v>2.6525198938992041E-3</v>
      </c>
      <c r="AX80">
        <v>0.35809018567639261</v>
      </c>
      <c r="AY80">
        <v>0.5251989389920424</v>
      </c>
      <c r="AZ80">
        <v>0.35543766578249342</v>
      </c>
      <c r="BA80">
        <v>0.83333333333333337</v>
      </c>
      <c r="BB80">
        <v>0.89473684210526316</v>
      </c>
      <c r="BC80">
        <v>0.6</v>
      </c>
      <c r="BD80">
        <v>0.84714854111405835</v>
      </c>
      <c r="BE80">
        <v>4</v>
      </c>
      <c r="BF80">
        <v>0.79380467913816366</v>
      </c>
      <c r="BG80">
        <v>0.81</v>
      </c>
      <c r="BH80" t="s">
        <v>164</v>
      </c>
      <c r="BI80">
        <v>0.79</v>
      </c>
      <c r="BJ80" t="s">
        <v>86</v>
      </c>
      <c r="BK80" s="2">
        <f t="shared" si="3"/>
        <v>2.0000000000000018E-2</v>
      </c>
      <c r="BL80" t="b">
        <f t="shared" si="4"/>
        <v>0</v>
      </c>
    </row>
    <row r="81" spans="1:64" x14ac:dyDescent="0.35">
      <c r="A81" t="s">
        <v>278</v>
      </c>
      <c r="B81" t="s">
        <v>279</v>
      </c>
      <c r="C81">
        <v>2014</v>
      </c>
      <c r="D81" t="s">
        <v>280</v>
      </c>
      <c r="E81" t="s">
        <v>281</v>
      </c>
      <c r="F81" t="s">
        <v>66</v>
      </c>
      <c r="G81" t="s">
        <v>101</v>
      </c>
      <c r="H81" t="s">
        <v>150</v>
      </c>
      <c r="I81" t="s">
        <v>282</v>
      </c>
      <c r="J81" t="s">
        <v>70</v>
      </c>
      <c r="L81">
        <v>2</v>
      </c>
      <c r="M81" t="b">
        <v>0</v>
      </c>
      <c r="N81">
        <v>1</v>
      </c>
      <c r="O81">
        <v>3</v>
      </c>
      <c r="P81">
        <v>10</v>
      </c>
      <c r="Q81">
        <v>2</v>
      </c>
      <c r="R81">
        <v>8</v>
      </c>
      <c r="S81">
        <v>6</v>
      </c>
      <c r="T81">
        <v>40</v>
      </c>
      <c r="U81">
        <v>1576</v>
      </c>
      <c r="V81">
        <v>180</v>
      </c>
      <c r="W81">
        <v>31</v>
      </c>
      <c r="X81">
        <v>5.806451612903226</v>
      </c>
      <c r="Y81">
        <v>4</v>
      </c>
      <c r="Z81">
        <v>120</v>
      </c>
      <c r="AA81">
        <v>2</v>
      </c>
      <c r="AB81">
        <v>28</v>
      </c>
      <c r="AC81">
        <v>6</v>
      </c>
      <c r="AD81">
        <v>6</v>
      </c>
      <c r="AE81">
        <v>293</v>
      </c>
      <c r="AF81">
        <v>2</v>
      </c>
      <c r="AG81">
        <v>66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22</v>
      </c>
      <c r="AN81">
        <v>8</v>
      </c>
      <c r="AO81">
        <v>214</v>
      </c>
      <c r="AP81">
        <v>12</v>
      </c>
      <c r="AQ81">
        <v>441</v>
      </c>
      <c r="AR81">
        <v>7.6142131979695438E-2</v>
      </c>
      <c r="AS81">
        <v>1.7766497461928939E-2</v>
      </c>
      <c r="AT81">
        <v>0.18591370558375631</v>
      </c>
      <c r="AU81">
        <v>4.1878172588832488E-2</v>
      </c>
      <c r="AV81">
        <v>0</v>
      </c>
      <c r="AW81">
        <v>1.3959390862944159E-2</v>
      </c>
      <c r="AX81">
        <v>0.13578680203045679</v>
      </c>
      <c r="AY81">
        <v>0.27982233502538068</v>
      </c>
      <c r="AZ81">
        <v>0.12182741116751269</v>
      </c>
      <c r="BA81">
        <v>0.83333333333333337</v>
      </c>
      <c r="BB81">
        <v>0.80107526881720437</v>
      </c>
      <c r="BC81">
        <v>0.8</v>
      </c>
      <c r="BD81">
        <v>0.70114213197969533</v>
      </c>
      <c r="BE81">
        <v>4</v>
      </c>
      <c r="BF81">
        <v>0.78388768353255833</v>
      </c>
      <c r="BG81">
        <v>0.8</v>
      </c>
      <c r="BH81" t="s">
        <v>164</v>
      </c>
      <c r="BI81">
        <v>0.78</v>
      </c>
      <c r="BJ81" t="s">
        <v>86</v>
      </c>
      <c r="BK81" s="2">
        <f t="shared" si="3"/>
        <v>2.0000000000000018E-2</v>
      </c>
      <c r="BL81" t="b">
        <f t="shared" si="4"/>
        <v>0</v>
      </c>
    </row>
    <row r="82" spans="1:64" x14ac:dyDescent="0.35">
      <c r="A82" t="s">
        <v>283</v>
      </c>
      <c r="B82" t="s">
        <v>279</v>
      </c>
      <c r="C82">
        <v>2018</v>
      </c>
      <c r="D82" t="s">
        <v>280</v>
      </c>
      <c r="E82" t="s">
        <v>281</v>
      </c>
      <c r="F82" t="s">
        <v>66</v>
      </c>
      <c r="G82" t="s">
        <v>101</v>
      </c>
      <c r="H82" t="s">
        <v>150</v>
      </c>
      <c r="I82" t="s">
        <v>282</v>
      </c>
      <c r="J82" t="s">
        <v>70</v>
      </c>
      <c r="L82">
        <v>2</v>
      </c>
      <c r="M82" t="b">
        <v>0</v>
      </c>
      <c r="N82">
        <v>1</v>
      </c>
      <c r="O82">
        <v>2</v>
      </c>
      <c r="P82">
        <v>6</v>
      </c>
      <c r="Q82">
        <v>3</v>
      </c>
      <c r="R82">
        <v>3</v>
      </c>
      <c r="S82">
        <v>5</v>
      </c>
      <c r="T82">
        <v>29</v>
      </c>
      <c r="U82">
        <v>890</v>
      </c>
      <c r="V82">
        <v>114</v>
      </c>
      <c r="W82">
        <v>20</v>
      </c>
      <c r="X82">
        <v>5.7</v>
      </c>
      <c r="Y82">
        <v>2</v>
      </c>
      <c r="Z82">
        <v>105</v>
      </c>
      <c r="AA82">
        <v>0</v>
      </c>
      <c r="AB82">
        <v>0</v>
      </c>
      <c r="AC82">
        <v>3</v>
      </c>
      <c r="AD82">
        <v>3</v>
      </c>
      <c r="AE82">
        <v>134</v>
      </c>
      <c r="AF82">
        <v>2</v>
      </c>
      <c r="AG82">
        <v>38</v>
      </c>
      <c r="AH82">
        <v>0</v>
      </c>
      <c r="AI82">
        <v>0</v>
      </c>
      <c r="AJ82">
        <v>1</v>
      </c>
      <c r="AK82">
        <v>3</v>
      </c>
      <c r="AL82">
        <v>1</v>
      </c>
      <c r="AM82">
        <v>3</v>
      </c>
      <c r="AN82">
        <v>4</v>
      </c>
      <c r="AO82">
        <v>143</v>
      </c>
      <c r="AP82">
        <v>5</v>
      </c>
      <c r="AQ82">
        <v>239</v>
      </c>
      <c r="AR82">
        <v>0.1179775280898876</v>
      </c>
      <c r="AS82">
        <v>0</v>
      </c>
      <c r="AT82">
        <v>0.15056179775280901</v>
      </c>
      <c r="AU82">
        <v>4.2696629213483148E-2</v>
      </c>
      <c r="AV82">
        <v>0</v>
      </c>
      <c r="AW82">
        <v>3.3707865168539331E-3</v>
      </c>
      <c r="AX82">
        <v>0.16067415730337081</v>
      </c>
      <c r="AY82">
        <v>0.26853932584269657</v>
      </c>
      <c r="AZ82">
        <v>0.15730337078651679</v>
      </c>
      <c r="BA82">
        <v>0.66666666666666663</v>
      </c>
      <c r="BB82">
        <v>0.78333333333333333</v>
      </c>
      <c r="BC82">
        <v>0.33333333333333331</v>
      </c>
      <c r="BD82">
        <v>0.723314606741573</v>
      </c>
      <c r="BE82">
        <v>4</v>
      </c>
      <c r="BF82">
        <v>0.62666198501872661</v>
      </c>
      <c r="BG82">
        <v>0.64</v>
      </c>
      <c r="BH82" t="s">
        <v>86</v>
      </c>
      <c r="BI82">
        <v>0.63</v>
      </c>
      <c r="BJ82" t="s">
        <v>86</v>
      </c>
      <c r="BK82" s="2">
        <f t="shared" si="3"/>
        <v>1.0000000000000009E-2</v>
      </c>
      <c r="BL82" t="b">
        <f t="shared" si="4"/>
        <v>1</v>
      </c>
    </row>
    <row r="83" spans="1:64" x14ac:dyDescent="0.35">
      <c r="A83" t="s">
        <v>284</v>
      </c>
      <c r="B83" t="s">
        <v>279</v>
      </c>
      <c r="C83">
        <v>2021</v>
      </c>
      <c r="D83" t="s">
        <v>280</v>
      </c>
      <c r="E83" t="s">
        <v>281</v>
      </c>
      <c r="F83" t="s">
        <v>66</v>
      </c>
      <c r="G83" t="s">
        <v>101</v>
      </c>
      <c r="H83" t="s">
        <v>150</v>
      </c>
      <c r="I83" t="s">
        <v>282</v>
      </c>
      <c r="J83" t="s">
        <v>70</v>
      </c>
      <c r="L83">
        <v>2</v>
      </c>
      <c r="M83" t="b">
        <v>0</v>
      </c>
      <c r="N83">
        <v>1</v>
      </c>
      <c r="O83">
        <v>3</v>
      </c>
      <c r="P83">
        <v>10</v>
      </c>
      <c r="Q83">
        <v>0</v>
      </c>
      <c r="R83">
        <v>10</v>
      </c>
      <c r="S83">
        <v>7</v>
      </c>
      <c r="T83">
        <v>38</v>
      </c>
      <c r="U83">
        <v>504</v>
      </c>
      <c r="V83">
        <v>158</v>
      </c>
      <c r="W83">
        <v>28</v>
      </c>
      <c r="X83">
        <v>5.6428571428571432</v>
      </c>
      <c r="Y83">
        <v>4</v>
      </c>
      <c r="Z83">
        <v>122</v>
      </c>
      <c r="AA83">
        <v>2</v>
      </c>
      <c r="AB83">
        <v>17</v>
      </c>
      <c r="AC83">
        <v>7</v>
      </c>
      <c r="AD83">
        <v>6</v>
      </c>
      <c r="AE83">
        <v>60</v>
      </c>
      <c r="AF83">
        <v>1</v>
      </c>
      <c r="AG83">
        <v>86</v>
      </c>
      <c r="AH83">
        <v>0</v>
      </c>
      <c r="AI83">
        <v>0</v>
      </c>
      <c r="AJ83">
        <v>2</v>
      </c>
      <c r="AK83">
        <v>8</v>
      </c>
      <c r="AL83">
        <v>3</v>
      </c>
      <c r="AM83">
        <v>12</v>
      </c>
      <c r="AN83">
        <v>7</v>
      </c>
      <c r="AO83">
        <v>225</v>
      </c>
      <c r="AP83">
        <v>12</v>
      </c>
      <c r="AQ83">
        <v>199</v>
      </c>
      <c r="AR83">
        <v>0.24206349206349209</v>
      </c>
      <c r="AS83">
        <v>3.3730158730158728E-2</v>
      </c>
      <c r="AT83">
        <v>0.119047619047619</v>
      </c>
      <c r="AU83">
        <v>0.17063492063492061</v>
      </c>
      <c r="AV83">
        <v>0</v>
      </c>
      <c r="AW83">
        <v>2.3809523809523812E-2</v>
      </c>
      <c r="AX83">
        <v>0.44642857142857151</v>
      </c>
      <c r="AY83">
        <v>0.39484126984126983</v>
      </c>
      <c r="AZ83">
        <v>0.42261904761904773</v>
      </c>
      <c r="BA83">
        <v>1</v>
      </c>
      <c r="BB83">
        <v>0.77380952380952384</v>
      </c>
      <c r="BC83">
        <v>0.8</v>
      </c>
      <c r="BD83">
        <v>0.88913690476190477</v>
      </c>
      <c r="BE83">
        <v>4</v>
      </c>
      <c r="BF83">
        <v>0.86573660714285716</v>
      </c>
      <c r="BG83">
        <v>0.83</v>
      </c>
      <c r="BH83" t="s">
        <v>164</v>
      </c>
      <c r="BI83">
        <v>0.87</v>
      </c>
      <c r="BJ83" t="s">
        <v>164</v>
      </c>
      <c r="BK83" s="2">
        <f t="shared" si="3"/>
        <v>-4.0000000000000036E-2</v>
      </c>
      <c r="BL83" t="b">
        <f t="shared" si="4"/>
        <v>1</v>
      </c>
    </row>
    <row r="84" spans="1:64" x14ac:dyDescent="0.35">
      <c r="A84" t="s">
        <v>285</v>
      </c>
      <c r="B84" t="s">
        <v>286</v>
      </c>
      <c r="C84">
        <v>2014</v>
      </c>
      <c r="D84" t="s">
        <v>287</v>
      </c>
      <c r="E84" t="s">
        <v>288</v>
      </c>
      <c r="F84" t="s">
        <v>66</v>
      </c>
      <c r="G84" t="s">
        <v>101</v>
      </c>
      <c r="H84" t="s">
        <v>150</v>
      </c>
      <c r="I84" t="s">
        <v>150</v>
      </c>
      <c r="J84" t="s">
        <v>70</v>
      </c>
      <c r="L84">
        <v>4</v>
      </c>
      <c r="M84" t="b">
        <v>0</v>
      </c>
      <c r="N84">
        <v>1</v>
      </c>
      <c r="O84">
        <v>2</v>
      </c>
      <c r="P84">
        <v>7</v>
      </c>
      <c r="Q84">
        <v>1</v>
      </c>
      <c r="R84">
        <v>6</v>
      </c>
      <c r="S84">
        <v>6</v>
      </c>
      <c r="T84">
        <v>32</v>
      </c>
      <c r="U84">
        <v>966</v>
      </c>
      <c r="V84">
        <v>123</v>
      </c>
      <c r="W84">
        <v>22</v>
      </c>
      <c r="X84">
        <v>5.5909090909090908</v>
      </c>
      <c r="Y84">
        <v>4</v>
      </c>
      <c r="Z84">
        <v>150</v>
      </c>
      <c r="AA84">
        <v>0</v>
      </c>
      <c r="AB84">
        <v>0</v>
      </c>
      <c r="AC84">
        <v>4</v>
      </c>
      <c r="AD84">
        <v>3</v>
      </c>
      <c r="AE84">
        <v>138</v>
      </c>
      <c r="AF84">
        <v>2</v>
      </c>
      <c r="AG84">
        <v>38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6</v>
      </c>
      <c r="AO84">
        <v>188</v>
      </c>
      <c r="AP84">
        <v>7</v>
      </c>
      <c r="AQ84">
        <v>288</v>
      </c>
      <c r="AR84">
        <v>0.15527950310558999</v>
      </c>
      <c r="AS84">
        <v>0</v>
      </c>
      <c r="AT84">
        <v>0.14285714285714279</v>
      </c>
      <c r="AU84">
        <v>3.9337474120082823E-2</v>
      </c>
      <c r="AV84">
        <v>0</v>
      </c>
      <c r="AW84">
        <v>0</v>
      </c>
      <c r="AX84">
        <v>0.19461697722567289</v>
      </c>
      <c r="AY84">
        <v>0.29813664596273293</v>
      </c>
      <c r="AZ84">
        <v>0.19461697722567289</v>
      </c>
      <c r="BA84">
        <v>0.83333333333333337</v>
      </c>
      <c r="BB84">
        <v>0.76515151515151514</v>
      </c>
      <c r="BC84">
        <v>0.46666666666666667</v>
      </c>
      <c r="BD84">
        <v>0.74663561076604557</v>
      </c>
      <c r="BE84">
        <v>4</v>
      </c>
      <c r="BF84">
        <v>0.70294678147939016</v>
      </c>
      <c r="BG84">
        <v>0.7</v>
      </c>
      <c r="BH84" t="s">
        <v>86</v>
      </c>
      <c r="BI84">
        <v>0.7</v>
      </c>
      <c r="BJ84" t="s">
        <v>86</v>
      </c>
      <c r="BK84" s="2">
        <f t="shared" si="3"/>
        <v>0</v>
      </c>
      <c r="BL84" t="b">
        <f t="shared" si="4"/>
        <v>1</v>
      </c>
    </row>
    <row r="85" spans="1:64" x14ac:dyDescent="0.35">
      <c r="A85" t="s">
        <v>289</v>
      </c>
      <c r="B85" t="s">
        <v>286</v>
      </c>
      <c r="C85">
        <v>2015</v>
      </c>
      <c r="D85" t="s">
        <v>287</v>
      </c>
      <c r="E85" t="s">
        <v>288</v>
      </c>
      <c r="F85" t="s">
        <v>66</v>
      </c>
      <c r="G85" t="s">
        <v>101</v>
      </c>
      <c r="H85" t="s">
        <v>150</v>
      </c>
      <c r="I85" t="s">
        <v>150</v>
      </c>
      <c r="J85" t="s">
        <v>70</v>
      </c>
      <c r="L85">
        <v>4</v>
      </c>
      <c r="M85" t="b">
        <v>0</v>
      </c>
      <c r="N85">
        <v>1</v>
      </c>
      <c r="O85">
        <v>2</v>
      </c>
      <c r="P85">
        <v>10</v>
      </c>
      <c r="Q85">
        <v>2</v>
      </c>
      <c r="R85">
        <v>8</v>
      </c>
      <c r="S85">
        <v>6</v>
      </c>
      <c r="T85">
        <v>40</v>
      </c>
      <c r="U85">
        <v>887</v>
      </c>
      <c r="V85">
        <v>169</v>
      </c>
      <c r="W85">
        <v>27</v>
      </c>
      <c r="X85">
        <v>6.2592592592592604</v>
      </c>
      <c r="Y85">
        <v>9</v>
      </c>
      <c r="Z85">
        <v>231</v>
      </c>
      <c r="AA85">
        <v>0</v>
      </c>
      <c r="AB85">
        <v>0</v>
      </c>
      <c r="AC85">
        <v>4</v>
      </c>
      <c r="AD85">
        <v>4</v>
      </c>
      <c r="AE85">
        <v>46</v>
      </c>
      <c r="AF85">
        <v>1</v>
      </c>
      <c r="AG85">
        <v>20</v>
      </c>
      <c r="AH85">
        <v>0</v>
      </c>
      <c r="AI85">
        <v>0</v>
      </c>
      <c r="AJ85">
        <v>1</v>
      </c>
      <c r="AK85">
        <v>5</v>
      </c>
      <c r="AL85">
        <v>1</v>
      </c>
      <c r="AM85">
        <v>5</v>
      </c>
      <c r="AN85">
        <v>10</v>
      </c>
      <c r="AO85">
        <v>251</v>
      </c>
      <c r="AP85">
        <v>13</v>
      </c>
      <c r="AQ85">
        <v>277</v>
      </c>
      <c r="AR85">
        <v>0.26042841037204062</v>
      </c>
      <c r="AS85">
        <v>0</v>
      </c>
      <c r="AT85">
        <v>5.1860202931228859E-2</v>
      </c>
      <c r="AU85">
        <v>2.2547914317925591E-2</v>
      </c>
      <c r="AV85">
        <v>0</v>
      </c>
      <c r="AW85">
        <v>5.6369785794813977E-3</v>
      </c>
      <c r="AX85">
        <v>0.2829763246899662</v>
      </c>
      <c r="AY85">
        <v>0.31228861330326951</v>
      </c>
      <c r="AZ85">
        <v>0.27733934611048477</v>
      </c>
      <c r="BA85">
        <v>0.83333333333333337</v>
      </c>
      <c r="BB85">
        <v>0.87654320987654344</v>
      </c>
      <c r="BC85">
        <v>0.8666666666666667</v>
      </c>
      <c r="BD85">
        <v>0.79833709131905295</v>
      </c>
      <c r="BE85">
        <v>4</v>
      </c>
      <c r="BF85">
        <v>0.84372007529889914</v>
      </c>
      <c r="BG85">
        <v>0.88</v>
      </c>
      <c r="BH85" t="s">
        <v>164</v>
      </c>
      <c r="BI85">
        <v>0.84</v>
      </c>
      <c r="BJ85" t="s">
        <v>164</v>
      </c>
      <c r="BK85" s="2">
        <f t="shared" si="3"/>
        <v>4.0000000000000036E-2</v>
      </c>
      <c r="BL85" t="b">
        <f t="shared" si="4"/>
        <v>1</v>
      </c>
    </row>
    <row r="86" spans="1:64" x14ac:dyDescent="0.35">
      <c r="A86" t="s">
        <v>290</v>
      </c>
      <c r="B86" t="s">
        <v>286</v>
      </c>
      <c r="C86">
        <v>2016</v>
      </c>
      <c r="D86" t="s">
        <v>287</v>
      </c>
      <c r="E86" t="s">
        <v>288</v>
      </c>
      <c r="F86" t="s">
        <v>66</v>
      </c>
      <c r="G86" t="s">
        <v>101</v>
      </c>
      <c r="H86" t="s">
        <v>150</v>
      </c>
      <c r="I86" t="s">
        <v>150</v>
      </c>
      <c r="J86" t="s">
        <v>70</v>
      </c>
      <c r="L86">
        <v>4</v>
      </c>
      <c r="M86" t="b">
        <v>0</v>
      </c>
      <c r="N86">
        <v>1</v>
      </c>
      <c r="O86">
        <v>2</v>
      </c>
      <c r="P86">
        <v>9</v>
      </c>
      <c r="Q86">
        <v>1</v>
      </c>
      <c r="R86">
        <v>8</v>
      </c>
      <c r="S86">
        <v>6</v>
      </c>
      <c r="T86">
        <v>36</v>
      </c>
      <c r="U86">
        <v>551</v>
      </c>
      <c r="V86">
        <v>165</v>
      </c>
      <c r="W86">
        <v>27</v>
      </c>
      <c r="X86">
        <v>6.1111111111111107</v>
      </c>
      <c r="Y86">
        <v>6</v>
      </c>
      <c r="Z86">
        <v>112</v>
      </c>
      <c r="AA86">
        <v>0</v>
      </c>
      <c r="AB86">
        <v>0</v>
      </c>
      <c r="AC86">
        <v>4</v>
      </c>
      <c r="AD86">
        <v>4</v>
      </c>
      <c r="AE86">
        <v>47</v>
      </c>
      <c r="AF86">
        <v>2</v>
      </c>
      <c r="AG86">
        <v>13</v>
      </c>
      <c r="AH86">
        <v>0</v>
      </c>
      <c r="AI86">
        <v>0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125</v>
      </c>
      <c r="AP86">
        <v>10</v>
      </c>
      <c r="AQ86">
        <v>159</v>
      </c>
      <c r="AR86">
        <v>0.20326678765880221</v>
      </c>
      <c r="AS86">
        <v>0</v>
      </c>
      <c r="AT86">
        <v>8.5299455535390201E-2</v>
      </c>
      <c r="AU86">
        <v>2.3593466424682401E-2</v>
      </c>
      <c r="AV86">
        <v>0</v>
      </c>
      <c r="AW86">
        <v>1.814882032667877E-3</v>
      </c>
      <c r="AX86">
        <v>0.22686025408348459</v>
      </c>
      <c r="AY86">
        <v>0.28856624319419238</v>
      </c>
      <c r="AZ86">
        <v>0.22504537205081671</v>
      </c>
      <c r="BA86">
        <v>0.83333333333333337</v>
      </c>
      <c r="BB86">
        <v>0.85185185185185175</v>
      </c>
      <c r="BC86">
        <v>0.66666666666666663</v>
      </c>
      <c r="BD86">
        <v>0.76565335753176045</v>
      </c>
      <c r="BE86">
        <v>4</v>
      </c>
      <c r="BF86">
        <v>0.77937630234590305</v>
      </c>
      <c r="BG86">
        <v>0.69</v>
      </c>
      <c r="BH86" t="s">
        <v>86</v>
      </c>
      <c r="BI86">
        <v>0.78</v>
      </c>
      <c r="BJ86" t="s">
        <v>86</v>
      </c>
      <c r="BK86" s="2">
        <f t="shared" si="3"/>
        <v>-9.000000000000008E-2</v>
      </c>
      <c r="BL86" t="b">
        <f t="shared" si="4"/>
        <v>1</v>
      </c>
    </row>
    <row r="87" spans="1:64" x14ac:dyDescent="0.35">
      <c r="A87" t="s">
        <v>291</v>
      </c>
      <c r="B87" t="s">
        <v>286</v>
      </c>
      <c r="C87">
        <v>2017</v>
      </c>
      <c r="D87" t="s">
        <v>287</v>
      </c>
      <c r="E87" t="s">
        <v>288</v>
      </c>
      <c r="F87" t="s">
        <v>66</v>
      </c>
      <c r="G87" t="s">
        <v>101</v>
      </c>
      <c r="H87" t="s">
        <v>150</v>
      </c>
      <c r="I87" t="s">
        <v>150</v>
      </c>
      <c r="J87" t="s">
        <v>70</v>
      </c>
      <c r="L87">
        <v>4</v>
      </c>
      <c r="M87" t="b">
        <v>0</v>
      </c>
      <c r="N87">
        <v>2</v>
      </c>
      <c r="O87">
        <v>2</v>
      </c>
      <c r="P87">
        <v>7</v>
      </c>
      <c r="Q87">
        <v>1</v>
      </c>
      <c r="R87">
        <v>6</v>
      </c>
      <c r="S87">
        <v>5</v>
      </c>
      <c r="T87">
        <v>27</v>
      </c>
      <c r="U87">
        <v>1204</v>
      </c>
      <c r="V87">
        <v>115</v>
      </c>
      <c r="W87">
        <v>20</v>
      </c>
      <c r="X87">
        <v>5.75</v>
      </c>
      <c r="Y87">
        <v>5</v>
      </c>
      <c r="Z87">
        <v>933</v>
      </c>
      <c r="AA87">
        <v>1</v>
      </c>
      <c r="AB87">
        <v>14</v>
      </c>
      <c r="AC87">
        <v>4</v>
      </c>
      <c r="AD87">
        <v>4</v>
      </c>
      <c r="AE87">
        <v>34</v>
      </c>
      <c r="AF87">
        <v>2</v>
      </c>
      <c r="AG87">
        <v>48</v>
      </c>
      <c r="AH87">
        <v>0</v>
      </c>
      <c r="AI87">
        <v>0</v>
      </c>
      <c r="AJ87">
        <v>1</v>
      </c>
      <c r="AK87">
        <v>1</v>
      </c>
      <c r="AL87">
        <v>1</v>
      </c>
      <c r="AM87">
        <v>1</v>
      </c>
      <c r="AN87">
        <v>8</v>
      </c>
      <c r="AO87">
        <v>995</v>
      </c>
      <c r="AP87">
        <v>10</v>
      </c>
      <c r="AQ87">
        <v>981</v>
      </c>
      <c r="AR87">
        <v>0.77491694352159468</v>
      </c>
      <c r="AS87">
        <v>1.1627906976744189E-2</v>
      </c>
      <c r="AT87">
        <v>2.823920265780731E-2</v>
      </c>
      <c r="AU87">
        <v>3.9867109634551492E-2</v>
      </c>
      <c r="AV87">
        <v>0</v>
      </c>
      <c r="AW87">
        <v>8.3056478405315617E-4</v>
      </c>
      <c r="AX87">
        <v>0.82641196013289031</v>
      </c>
      <c r="AY87">
        <v>0.81478405315614622</v>
      </c>
      <c r="AZ87">
        <v>0.82558139534883712</v>
      </c>
      <c r="BA87">
        <v>0.66666666666666663</v>
      </c>
      <c r="BB87">
        <v>0.79166666666666663</v>
      </c>
      <c r="BC87">
        <v>0.66666666666666663</v>
      </c>
      <c r="BD87">
        <v>1.140988372093023</v>
      </c>
      <c r="BE87">
        <v>4</v>
      </c>
      <c r="BF87">
        <v>0.81649709302325579</v>
      </c>
      <c r="BG87">
        <v>0.77</v>
      </c>
      <c r="BH87" t="s">
        <v>86</v>
      </c>
      <c r="BI87">
        <v>0.82</v>
      </c>
      <c r="BJ87" t="s">
        <v>164</v>
      </c>
      <c r="BK87" s="2">
        <f t="shared" si="3"/>
        <v>-4.9999999999999933E-2</v>
      </c>
      <c r="BL87" t="b">
        <f t="shared" si="4"/>
        <v>0</v>
      </c>
    </row>
    <row r="88" spans="1:64" x14ac:dyDescent="0.35">
      <c r="A88" t="s">
        <v>292</v>
      </c>
      <c r="B88" t="s">
        <v>286</v>
      </c>
      <c r="C88">
        <v>2020</v>
      </c>
      <c r="D88" t="s">
        <v>287</v>
      </c>
      <c r="E88" t="s">
        <v>288</v>
      </c>
      <c r="F88" t="s">
        <v>66</v>
      </c>
      <c r="G88" t="s">
        <v>101</v>
      </c>
      <c r="H88" t="s">
        <v>150</v>
      </c>
      <c r="I88" t="s">
        <v>150</v>
      </c>
      <c r="J88" t="s">
        <v>70</v>
      </c>
      <c r="L88">
        <v>4</v>
      </c>
      <c r="M88" t="b">
        <v>0</v>
      </c>
      <c r="N88">
        <v>1</v>
      </c>
      <c r="O88">
        <v>2</v>
      </c>
      <c r="P88">
        <v>5</v>
      </c>
      <c r="Q88">
        <v>1</v>
      </c>
      <c r="R88">
        <v>4</v>
      </c>
      <c r="S88">
        <v>6</v>
      </c>
      <c r="T88">
        <v>24</v>
      </c>
      <c r="U88">
        <v>154</v>
      </c>
      <c r="V88">
        <v>97</v>
      </c>
      <c r="W88">
        <v>17</v>
      </c>
      <c r="X88">
        <v>5.7058823529411766</v>
      </c>
      <c r="Y88">
        <v>3</v>
      </c>
      <c r="Z88">
        <v>30</v>
      </c>
      <c r="AA88">
        <v>1</v>
      </c>
      <c r="AB88">
        <v>1</v>
      </c>
      <c r="AC88">
        <v>5</v>
      </c>
      <c r="AD88">
        <v>4</v>
      </c>
      <c r="AE88">
        <v>16</v>
      </c>
      <c r="AF88">
        <v>2</v>
      </c>
      <c r="AG88">
        <v>37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6</v>
      </c>
      <c r="AO88">
        <v>68</v>
      </c>
      <c r="AP88">
        <v>8</v>
      </c>
      <c r="AQ88">
        <v>47</v>
      </c>
      <c r="AR88">
        <v>0.19480519480519479</v>
      </c>
      <c r="AS88">
        <v>6.4935064935064939E-3</v>
      </c>
      <c r="AT88">
        <v>0.1038961038961039</v>
      </c>
      <c r="AU88">
        <v>0.24025974025974031</v>
      </c>
      <c r="AV88">
        <v>0</v>
      </c>
      <c r="AW88">
        <v>0</v>
      </c>
      <c r="AX88">
        <v>0.44155844155844148</v>
      </c>
      <c r="AY88">
        <v>0.30519480519480519</v>
      </c>
      <c r="AZ88">
        <v>0.44155844155844148</v>
      </c>
      <c r="BA88">
        <v>0.83333333333333337</v>
      </c>
      <c r="BB88">
        <v>0.78431372549019607</v>
      </c>
      <c r="BC88">
        <v>0.53333333333333333</v>
      </c>
      <c r="BD88">
        <v>0.90097402597402587</v>
      </c>
      <c r="BE88">
        <v>4</v>
      </c>
      <c r="BF88">
        <v>0.7629886045327221</v>
      </c>
      <c r="BG88">
        <v>0.74</v>
      </c>
      <c r="BH88" t="s">
        <v>86</v>
      </c>
      <c r="BI88">
        <v>0.76</v>
      </c>
      <c r="BJ88" t="s">
        <v>86</v>
      </c>
      <c r="BK88" s="2">
        <f t="shared" si="3"/>
        <v>-2.0000000000000018E-2</v>
      </c>
      <c r="BL88" t="b">
        <f t="shared" si="4"/>
        <v>1</v>
      </c>
    </row>
    <row r="89" spans="1:64" x14ac:dyDescent="0.35">
      <c r="A89" t="s">
        <v>293</v>
      </c>
      <c r="B89" t="s">
        <v>294</v>
      </c>
      <c r="C89">
        <v>2016</v>
      </c>
      <c r="D89" t="s">
        <v>295</v>
      </c>
      <c r="E89" t="s">
        <v>296</v>
      </c>
      <c r="F89" t="s">
        <v>66</v>
      </c>
      <c r="G89" t="s">
        <v>101</v>
      </c>
      <c r="H89" t="s">
        <v>150</v>
      </c>
      <c r="I89" t="s">
        <v>297</v>
      </c>
      <c r="J89" t="s">
        <v>70</v>
      </c>
      <c r="L89">
        <v>1</v>
      </c>
      <c r="M89" t="b">
        <v>0</v>
      </c>
      <c r="N89">
        <v>1</v>
      </c>
      <c r="O89">
        <v>5</v>
      </c>
      <c r="P89">
        <v>16</v>
      </c>
      <c r="Q89">
        <v>2</v>
      </c>
      <c r="R89">
        <v>14</v>
      </c>
      <c r="S89">
        <v>7</v>
      </c>
      <c r="T89">
        <v>49</v>
      </c>
      <c r="U89">
        <v>1054</v>
      </c>
      <c r="V89">
        <v>190</v>
      </c>
      <c r="W89">
        <v>28</v>
      </c>
      <c r="X89">
        <v>6.7857142857142856</v>
      </c>
      <c r="Y89">
        <v>10</v>
      </c>
      <c r="Z89">
        <v>262</v>
      </c>
      <c r="AA89">
        <v>4</v>
      </c>
      <c r="AB89">
        <v>119</v>
      </c>
      <c r="AC89">
        <v>7</v>
      </c>
      <c r="AD89">
        <v>7</v>
      </c>
      <c r="AE89">
        <v>126</v>
      </c>
      <c r="AF89">
        <v>1</v>
      </c>
      <c r="AG89">
        <v>25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15</v>
      </c>
      <c r="AO89">
        <v>406</v>
      </c>
      <c r="AP89">
        <v>21</v>
      </c>
      <c r="AQ89">
        <v>507</v>
      </c>
      <c r="AR89">
        <v>0.24857685009487671</v>
      </c>
      <c r="AS89">
        <v>0.1129032258064516</v>
      </c>
      <c r="AT89">
        <v>0.1195445920303605</v>
      </c>
      <c r="AU89">
        <v>2.3719165085388991E-2</v>
      </c>
      <c r="AV89">
        <v>0</v>
      </c>
      <c r="AW89">
        <v>0</v>
      </c>
      <c r="AX89">
        <v>0.38519924098671732</v>
      </c>
      <c r="AY89">
        <v>0.4810246679316888</v>
      </c>
      <c r="AZ89">
        <v>0.38519924098671732</v>
      </c>
      <c r="BA89">
        <v>1</v>
      </c>
      <c r="BB89">
        <v>0.9642857142857143</v>
      </c>
      <c r="BC89">
        <v>1.4</v>
      </c>
      <c r="BD89">
        <v>0.86574952561669827</v>
      </c>
      <c r="BE89">
        <v>4</v>
      </c>
      <c r="BF89">
        <v>1.0575088099756029</v>
      </c>
      <c r="BG89">
        <v>1</v>
      </c>
      <c r="BH89" t="s">
        <v>164</v>
      </c>
      <c r="BI89">
        <v>1</v>
      </c>
      <c r="BJ89" t="s">
        <v>164</v>
      </c>
      <c r="BK89" s="2">
        <f t="shared" si="3"/>
        <v>0</v>
      </c>
      <c r="BL89" t="b">
        <f t="shared" si="4"/>
        <v>1</v>
      </c>
    </row>
    <row r="90" spans="1:64" x14ac:dyDescent="0.35">
      <c r="A90" t="s">
        <v>298</v>
      </c>
      <c r="B90" t="s">
        <v>294</v>
      </c>
      <c r="C90">
        <v>2019</v>
      </c>
      <c r="D90" t="s">
        <v>295</v>
      </c>
      <c r="E90" t="s">
        <v>296</v>
      </c>
      <c r="F90" t="s">
        <v>66</v>
      </c>
      <c r="G90" t="s">
        <v>101</v>
      </c>
      <c r="H90" t="s">
        <v>150</v>
      </c>
      <c r="I90" t="s">
        <v>297</v>
      </c>
      <c r="J90" t="s">
        <v>70</v>
      </c>
      <c r="L90">
        <v>1</v>
      </c>
      <c r="M90" t="b">
        <v>0</v>
      </c>
      <c r="N90">
        <v>1</v>
      </c>
      <c r="O90">
        <v>3</v>
      </c>
      <c r="P90">
        <v>10</v>
      </c>
      <c r="Q90">
        <v>3</v>
      </c>
      <c r="R90">
        <v>7</v>
      </c>
      <c r="S90">
        <v>6</v>
      </c>
      <c r="T90">
        <v>31</v>
      </c>
      <c r="U90">
        <v>713</v>
      </c>
      <c r="V90">
        <v>135</v>
      </c>
      <c r="W90">
        <v>22</v>
      </c>
      <c r="X90">
        <v>6.1363636363636367</v>
      </c>
      <c r="Y90">
        <v>4</v>
      </c>
      <c r="Z90">
        <v>69</v>
      </c>
      <c r="AA90">
        <v>1</v>
      </c>
      <c r="AB90">
        <v>12</v>
      </c>
      <c r="AC90">
        <v>5</v>
      </c>
      <c r="AD90">
        <v>5</v>
      </c>
      <c r="AE90">
        <v>116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5</v>
      </c>
      <c r="AL90">
        <v>1</v>
      </c>
      <c r="AM90">
        <v>5</v>
      </c>
      <c r="AN90">
        <v>5</v>
      </c>
      <c r="AO90">
        <v>81</v>
      </c>
      <c r="AP90">
        <v>10</v>
      </c>
      <c r="AQ90">
        <v>197</v>
      </c>
      <c r="AR90">
        <v>9.6774193548387094E-2</v>
      </c>
      <c r="AS90">
        <v>1.6830294530154281E-2</v>
      </c>
      <c r="AT90">
        <v>0.16269284712482471</v>
      </c>
      <c r="AU90">
        <v>0</v>
      </c>
      <c r="AV90">
        <v>0</v>
      </c>
      <c r="AW90">
        <v>7.0126227208976164E-3</v>
      </c>
      <c r="AX90">
        <v>0.1136044880785414</v>
      </c>
      <c r="AY90">
        <v>0.27629733520336608</v>
      </c>
      <c r="AZ90">
        <v>0.1065918653576438</v>
      </c>
      <c r="BA90">
        <v>0.83333333333333337</v>
      </c>
      <c r="BB90">
        <v>0.85606060606060608</v>
      </c>
      <c r="BC90">
        <v>0.66666666666666663</v>
      </c>
      <c r="BD90">
        <v>0.69161991584852733</v>
      </c>
      <c r="BE90">
        <v>4</v>
      </c>
      <c r="BF90">
        <v>0.76192013047728335</v>
      </c>
      <c r="BG90">
        <v>0.76</v>
      </c>
      <c r="BH90" t="s">
        <v>86</v>
      </c>
      <c r="BI90">
        <v>0.76</v>
      </c>
      <c r="BJ90" t="s">
        <v>86</v>
      </c>
      <c r="BK90" s="2">
        <f t="shared" si="3"/>
        <v>0</v>
      </c>
      <c r="BL90" t="b">
        <f t="shared" si="4"/>
        <v>1</v>
      </c>
    </row>
    <row r="91" spans="1:64" x14ac:dyDescent="0.35">
      <c r="A91" t="s">
        <v>299</v>
      </c>
      <c r="B91" t="s">
        <v>294</v>
      </c>
      <c r="C91">
        <v>2022</v>
      </c>
      <c r="D91" t="s">
        <v>295</v>
      </c>
      <c r="E91" t="s">
        <v>296</v>
      </c>
      <c r="F91" t="s">
        <v>66</v>
      </c>
      <c r="G91" t="s">
        <v>101</v>
      </c>
      <c r="H91" t="s">
        <v>150</v>
      </c>
      <c r="I91" t="s">
        <v>297</v>
      </c>
      <c r="J91" t="s">
        <v>70</v>
      </c>
      <c r="L91">
        <v>1</v>
      </c>
      <c r="M91" t="b">
        <v>0</v>
      </c>
      <c r="N91">
        <v>1</v>
      </c>
      <c r="O91">
        <v>5</v>
      </c>
      <c r="P91">
        <v>15</v>
      </c>
      <c r="Q91">
        <v>0</v>
      </c>
      <c r="R91">
        <v>15</v>
      </c>
      <c r="S91">
        <v>7</v>
      </c>
      <c r="T91">
        <v>37</v>
      </c>
      <c r="U91">
        <v>697</v>
      </c>
      <c r="V91">
        <v>197</v>
      </c>
      <c r="W91">
        <v>29</v>
      </c>
      <c r="X91">
        <v>6.7931034482758621</v>
      </c>
      <c r="Y91">
        <v>6</v>
      </c>
      <c r="Z91">
        <v>319</v>
      </c>
      <c r="AA91">
        <v>3</v>
      </c>
      <c r="AB91">
        <v>37</v>
      </c>
      <c r="AC91">
        <v>7</v>
      </c>
      <c r="AD91">
        <v>7</v>
      </c>
      <c r="AE91">
        <v>159</v>
      </c>
      <c r="AF91">
        <v>1</v>
      </c>
      <c r="AG91">
        <v>2</v>
      </c>
      <c r="AH91">
        <v>0</v>
      </c>
      <c r="AI91">
        <v>0</v>
      </c>
      <c r="AJ91">
        <v>1</v>
      </c>
      <c r="AK91">
        <v>3</v>
      </c>
      <c r="AL91">
        <v>1</v>
      </c>
      <c r="AM91">
        <v>3</v>
      </c>
      <c r="AN91">
        <v>10</v>
      </c>
      <c r="AO91">
        <v>358</v>
      </c>
      <c r="AP91">
        <v>16</v>
      </c>
      <c r="AQ91">
        <v>515</v>
      </c>
      <c r="AR91">
        <v>0.45767575322812049</v>
      </c>
      <c r="AS91">
        <v>5.308464849354376E-2</v>
      </c>
      <c r="AT91">
        <v>0.22812051649928261</v>
      </c>
      <c r="AU91">
        <v>2.869440459110474E-3</v>
      </c>
      <c r="AV91">
        <v>0</v>
      </c>
      <c r="AW91">
        <v>4.30416068866571E-3</v>
      </c>
      <c r="AX91">
        <v>0.51362984218077479</v>
      </c>
      <c r="AY91">
        <v>0.73888091822094693</v>
      </c>
      <c r="AZ91">
        <v>0.50932568149210911</v>
      </c>
      <c r="BA91">
        <v>1</v>
      </c>
      <c r="BB91">
        <v>0.96551724137931039</v>
      </c>
      <c r="BC91">
        <v>1.0666666666666671</v>
      </c>
      <c r="BD91">
        <v>0.94332855093256807</v>
      </c>
      <c r="BE91">
        <v>4</v>
      </c>
      <c r="BF91">
        <v>0.99387811474463628</v>
      </c>
      <c r="BG91">
        <v>0.99</v>
      </c>
      <c r="BH91" t="s">
        <v>164</v>
      </c>
      <c r="BI91">
        <v>0.99</v>
      </c>
      <c r="BJ91" t="s">
        <v>164</v>
      </c>
      <c r="BK91" s="2">
        <f t="shared" si="3"/>
        <v>0</v>
      </c>
      <c r="BL91" t="b">
        <f t="shared" si="4"/>
        <v>1</v>
      </c>
    </row>
    <row r="92" spans="1:64" x14ac:dyDescent="0.35">
      <c r="A92" t="s">
        <v>300</v>
      </c>
      <c r="B92" t="s">
        <v>301</v>
      </c>
      <c r="C92">
        <v>2015</v>
      </c>
      <c r="D92" t="s">
        <v>302</v>
      </c>
      <c r="E92" t="s">
        <v>303</v>
      </c>
      <c r="F92" t="s">
        <v>66</v>
      </c>
      <c r="G92" t="s">
        <v>101</v>
      </c>
      <c r="H92" t="s">
        <v>150</v>
      </c>
      <c r="I92" t="s">
        <v>304</v>
      </c>
      <c r="J92" t="s">
        <v>70</v>
      </c>
      <c r="L92">
        <v>3</v>
      </c>
      <c r="M92" t="b">
        <v>1</v>
      </c>
      <c r="N92">
        <v>1</v>
      </c>
      <c r="O92">
        <v>3</v>
      </c>
      <c r="P92">
        <v>13</v>
      </c>
      <c r="Q92">
        <v>2</v>
      </c>
      <c r="R92">
        <v>11</v>
      </c>
      <c r="S92">
        <v>7</v>
      </c>
      <c r="T92">
        <v>30</v>
      </c>
      <c r="U92">
        <v>474</v>
      </c>
      <c r="V92">
        <v>146</v>
      </c>
      <c r="W92">
        <v>21</v>
      </c>
      <c r="X92">
        <v>6.9523809523809534</v>
      </c>
      <c r="Y92">
        <v>8</v>
      </c>
      <c r="Z92">
        <v>126</v>
      </c>
      <c r="AA92">
        <v>2</v>
      </c>
      <c r="AB92">
        <v>20</v>
      </c>
      <c r="AC92">
        <v>3</v>
      </c>
      <c r="AD92">
        <v>3</v>
      </c>
      <c r="AE92">
        <v>57</v>
      </c>
      <c r="AF92">
        <v>1</v>
      </c>
      <c r="AG92">
        <v>24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11</v>
      </c>
      <c r="AO92">
        <v>170</v>
      </c>
      <c r="AP92">
        <v>13</v>
      </c>
      <c r="AQ92">
        <v>203</v>
      </c>
      <c r="AR92">
        <v>0.26582278481012661</v>
      </c>
      <c r="AS92">
        <v>4.2194092827004218E-2</v>
      </c>
      <c r="AT92">
        <v>0.120253164556962</v>
      </c>
      <c r="AU92">
        <v>5.0632911392405063E-2</v>
      </c>
      <c r="AV92">
        <v>0</v>
      </c>
      <c r="AW92">
        <v>0</v>
      </c>
      <c r="AX92">
        <v>0.35864978902953593</v>
      </c>
      <c r="AY92">
        <v>0.42827004219409281</v>
      </c>
      <c r="AZ92">
        <v>0.35864978902953593</v>
      </c>
      <c r="BA92">
        <v>1</v>
      </c>
      <c r="BB92">
        <v>0.9920634920634922</v>
      </c>
      <c r="BC92">
        <v>0.8666666666666667</v>
      </c>
      <c r="BD92">
        <v>0.84915611814345993</v>
      </c>
      <c r="BE92">
        <v>4</v>
      </c>
      <c r="BF92">
        <v>0.92697156921840473</v>
      </c>
      <c r="BG92">
        <v>0.93</v>
      </c>
      <c r="BH92" t="s">
        <v>164</v>
      </c>
      <c r="BI92">
        <v>0.93</v>
      </c>
      <c r="BJ92" t="s">
        <v>164</v>
      </c>
      <c r="BK92" s="2">
        <f t="shared" si="3"/>
        <v>0</v>
      </c>
      <c r="BL92" t="b">
        <f t="shared" si="4"/>
        <v>1</v>
      </c>
    </row>
    <row r="93" spans="1:64" x14ac:dyDescent="0.35">
      <c r="A93" t="s">
        <v>305</v>
      </c>
      <c r="B93" t="s">
        <v>301</v>
      </c>
      <c r="C93">
        <v>2018</v>
      </c>
      <c r="D93" t="s">
        <v>302</v>
      </c>
      <c r="E93" t="s">
        <v>303</v>
      </c>
      <c r="F93" t="s">
        <v>66</v>
      </c>
      <c r="G93" t="s">
        <v>101</v>
      </c>
      <c r="H93" t="s">
        <v>150</v>
      </c>
      <c r="I93" t="s">
        <v>304</v>
      </c>
      <c r="J93" t="s">
        <v>70</v>
      </c>
      <c r="L93">
        <v>3</v>
      </c>
      <c r="M93" t="b">
        <v>1</v>
      </c>
      <c r="N93">
        <v>1</v>
      </c>
      <c r="O93">
        <v>5</v>
      </c>
      <c r="P93">
        <v>15</v>
      </c>
      <c r="Q93">
        <v>2</v>
      </c>
      <c r="R93">
        <v>13</v>
      </c>
      <c r="S93">
        <v>7</v>
      </c>
      <c r="T93">
        <v>50</v>
      </c>
      <c r="U93">
        <v>2485</v>
      </c>
      <c r="V93">
        <v>206</v>
      </c>
      <c r="W93">
        <v>32</v>
      </c>
      <c r="X93">
        <v>6.4375</v>
      </c>
      <c r="Y93">
        <v>9</v>
      </c>
      <c r="Z93">
        <v>439</v>
      </c>
      <c r="AA93">
        <v>3</v>
      </c>
      <c r="AB93">
        <v>210</v>
      </c>
      <c r="AC93">
        <v>5</v>
      </c>
      <c r="AD93">
        <v>5</v>
      </c>
      <c r="AE93">
        <v>354</v>
      </c>
      <c r="AF93">
        <v>2</v>
      </c>
      <c r="AG93">
        <v>80</v>
      </c>
      <c r="AH93">
        <v>0</v>
      </c>
      <c r="AI93">
        <v>0</v>
      </c>
      <c r="AJ93">
        <v>1</v>
      </c>
      <c r="AK93">
        <v>37</v>
      </c>
      <c r="AL93">
        <v>1</v>
      </c>
      <c r="AM93">
        <v>37</v>
      </c>
      <c r="AN93">
        <v>14</v>
      </c>
      <c r="AO93">
        <v>729</v>
      </c>
      <c r="AP93">
        <v>17</v>
      </c>
      <c r="AQ93">
        <v>1003</v>
      </c>
      <c r="AR93">
        <v>0.17665995975855131</v>
      </c>
      <c r="AS93">
        <v>8.4507042253521125E-2</v>
      </c>
      <c r="AT93">
        <v>0.1424547283702213</v>
      </c>
      <c r="AU93">
        <v>3.2193158953722337E-2</v>
      </c>
      <c r="AV93">
        <v>0</v>
      </c>
      <c r="AW93">
        <v>1.488933601609658E-2</v>
      </c>
      <c r="AX93">
        <v>0.29336016096579481</v>
      </c>
      <c r="AY93">
        <v>0.40362173038229382</v>
      </c>
      <c r="AZ93">
        <v>0.27847082494969821</v>
      </c>
      <c r="BA93">
        <v>1</v>
      </c>
      <c r="BB93">
        <v>0.90625</v>
      </c>
      <c r="BC93">
        <v>1.1333333333333331</v>
      </c>
      <c r="BD93">
        <v>0.79904426559356145</v>
      </c>
      <c r="BE93">
        <v>4</v>
      </c>
      <c r="BF93">
        <v>0.95965689973172363</v>
      </c>
      <c r="BG93">
        <v>0.99</v>
      </c>
      <c r="BH93" t="s">
        <v>164</v>
      </c>
      <c r="BI93">
        <v>0.96</v>
      </c>
      <c r="BJ93" t="s">
        <v>164</v>
      </c>
      <c r="BK93" s="2">
        <f t="shared" si="3"/>
        <v>3.0000000000000027E-2</v>
      </c>
      <c r="BL93" t="b">
        <f t="shared" si="4"/>
        <v>1</v>
      </c>
    </row>
    <row r="94" spans="1:64" x14ac:dyDescent="0.35">
      <c r="A94" t="s">
        <v>306</v>
      </c>
      <c r="B94" t="s">
        <v>301</v>
      </c>
      <c r="C94">
        <v>2021</v>
      </c>
      <c r="D94" t="s">
        <v>302</v>
      </c>
      <c r="E94" t="s">
        <v>303</v>
      </c>
      <c r="F94" t="s">
        <v>66</v>
      </c>
      <c r="G94" t="s">
        <v>101</v>
      </c>
      <c r="H94" t="s">
        <v>150</v>
      </c>
      <c r="I94" t="s">
        <v>304</v>
      </c>
      <c r="J94" t="s">
        <v>70</v>
      </c>
      <c r="L94">
        <v>3</v>
      </c>
      <c r="M94" t="b">
        <v>1</v>
      </c>
      <c r="N94">
        <v>1</v>
      </c>
      <c r="O94">
        <v>2</v>
      </c>
      <c r="P94">
        <v>12</v>
      </c>
      <c r="Q94">
        <v>2</v>
      </c>
      <c r="R94">
        <v>10</v>
      </c>
      <c r="S94">
        <v>7</v>
      </c>
      <c r="T94">
        <v>30</v>
      </c>
      <c r="U94">
        <v>1547</v>
      </c>
      <c r="V94">
        <v>153</v>
      </c>
      <c r="W94">
        <v>24</v>
      </c>
      <c r="X94">
        <v>6.375</v>
      </c>
      <c r="Y94">
        <v>6</v>
      </c>
      <c r="Z94">
        <v>372</v>
      </c>
      <c r="AA94">
        <v>1</v>
      </c>
      <c r="AB94">
        <v>1</v>
      </c>
      <c r="AC94">
        <v>4</v>
      </c>
      <c r="AD94">
        <v>4</v>
      </c>
      <c r="AE94">
        <v>290</v>
      </c>
      <c r="AF94">
        <v>1</v>
      </c>
      <c r="AG94">
        <v>159</v>
      </c>
      <c r="AH94">
        <v>1</v>
      </c>
      <c r="AI94">
        <v>1</v>
      </c>
      <c r="AJ94">
        <v>2</v>
      </c>
      <c r="AK94">
        <v>7</v>
      </c>
      <c r="AL94">
        <v>3</v>
      </c>
      <c r="AM94">
        <v>8</v>
      </c>
      <c r="AN94">
        <v>8</v>
      </c>
      <c r="AO94">
        <v>532</v>
      </c>
      <c r="AP94">
        <v>11</v>
      </c>
      <c r="AQ94">
        <v>663</v>
      </c>
      <c r="AR94">
        <v>0.24046541693600521</v>
      </c>
      <c r="AS94">
        <v>6.4641241111829345E-4</v>
      </c>
      <c r="AT94">
        <v>0.18745959922430511</v>
      </c>
      <c r="AU94">
        <v>0.1027795733678087</v>
      </c>
      <c r="AV94">
        <v>6.4641241111829345E-4</v>
      </c>
      <c r="AW94">
        <v>5.1712992889463476E-3</v>
      </c>
      <c r="AX94">
        <v>0.34389140271493213</v>
      </c>
      <c r="AY94">
        <v>0.42857142857142849</v>
      </c>
      <c r="AZ94">
        <v>0.3387201034259858</v>
      </c>
      <c r="BA94">
        <v>1</v>
      </c>
      <c r="BB94">
        <v>0.89583333333333337</v>
      </c>
      <c r="BC94">
        <v>0.73333333333333328</v>
      </c>
      <c r="BD94">
        <v>0.83670006464124114</v>
      </c>
      <c r="BE94">
        <v>4</v>
      </c>
      <c r="BF94">
        <v>0.86646668282697692</v>
      </c>
      <c r="BG94">
        <v>0.82</v>
      </c>
      <c r="BH94" t="s">
        <v>164</v>
      </c>
      <c r="BI94">
        <v>0.87</v>
      </c>
      <c r="BJ94" t="s">
        <v>164</v>
      </c>
      <c r="BK94" s="2">
        <f t="shared" si="3"/>
        <v>-5.0000000000000044E-2</v>
      </c>
      <c r="BL94" t="b">
        <f t="shared" si="4"/>
        <v>1</v>
      </c>
    </row>
    <row r="95" spans="1:64" x14ac:dyDescent="0.35">
      <c r="A95" t="s">
        <v>307</v>
      </c>
      <c r="B95" t="s">
        <v>308</v>
      </c>
      <c r="C95">
        <v>2015</v>
      </c>
      <c r="D95" t="s">
        <v>309</v>
      </c>
      <c r="E95" t="s">
        <v>310</v>
      </c>
      <c r="F95" t="s">
        <v>66</v>
      </c>
      <c r="G95" t="s">
        <v>101</v>
      </c>
      <c r="H95" t="s">
        <v>184</v>
      </c>
      <c r="I95" t="s">
        <v>311</v>
      </c>
      <c r="J95" t="s">
        <v>70</v>
      </c>
      <c r="L95">
        <v>2</v>
      </c>
      <c r="M95" t="b">
        <v>0</v>
      </c>
      <c r="N95">
        <v>3</v>
      </c>
      <c r="O95">
        <v>1</v>
      </c>
      <c r="P95">
        <v>2</v>
      </c>
      <c r="Q95">
        <v>6</v>
      </c>
      <c r="R95">
        <v>-4</v>
      </c>
      <c r="S95">
        <v>3</v>
      </c>
      <c r="T95">
        <v>20</v>
      </c>
      <c r="U95">
        <v>360</v>
      </c>
      <c r="V95">
        <v>61</v>
      </c>
      <c r="W95">
        <v>16</v>
      </c>
      <c r="X95">
        <v>3.8125</v>
      </c>
      <c r="Y95">
        <v>1</v>
      </c>
      <c r="Z95">
        <v>68</v>
      </c>
      <c r="AA95">
        <v>0</v>
      </c>
      <c r="AB95">
        <v>0</v>
      </c>
      <c r="AC95">
        <v>1</v>
      </c>
      <c r="AD95">
        <v>1</v>
      </c>
      <c r="AE95">
        <v>57</v>
      </c>
      <c r="AF95">
        <v>1</v>
      </c>
      <c r="AG95">
        <v>124</v>
      </c>
      <c r="AH95">
        <v>1</v>
      </c>
      <c r="AI95">
        <v>17</v>
      </c>
      <c r="AJ95">
        <v>2</v>
      </c>
      <c r="AK95">
        <v>2</v>
      </c>
      <c r="AL95">
        <v>3</v>
      </c>
      <c r="AM95">
        <v>19</v>
      </c>
      <c r="AN95">
        <v>2</v>
      </c>
      <c r="AO95">
        <v>192</v>
      </c>
      <c r="AP95">
        <v>2</v>
      </c>
      <c r="AQ95">
        <v>125</v>
      </c>
      <c r="AR95">
        <v>0.18888888888888891</v>
      </c>
      <c r="AS95">
        <v>0</v>
      </c>
      <c r="AT95">
        <v>0.1583333333333333</v>
      </c>
      <c r="AU95">
        <v>0.34444444444444439</v>
      </c>
      <c r="AV95">
        <v>4.7222222222222221E-2</v>
      </c>
      <c r="AW95">
        <v>5.2777777777777778E-2</v>
      </c>
      <c r="AX95">
        <v>0.53333333333333333</v>
      </c>
      <c r="AY95">
        <v>0.34722222222222221</v>
      </c>
      <c r="AZ95">
        <v>0.48055555555555562</v>
      </c>
      <c r="BA95">
        <v>0.33333333333333331</v>
      </c>
      <c r="BB95">
        <v>0.46875</v>
      </c>
      <c r="BC95">
        <v>0.1333333333333333</v>
      </c>
      <c r="BD95">
        <v>0.92534722222222221</v>
      </c>
      <c r="BE95">
        <v>4</v>
      </c>
      <c r="BF95">
        <v>0.46519097222222222</v>
      </c>
      <c r="BG95">
        <v>0.47</v>
      </c>
      <c r="BH95" t="s">
        <v>71</v>
      </c>
      <c r="BI95">
        <v>0.47</v>
      </c>
      <c r="BJ95" t="s">
        <v>71</v>
      </c>
      <c r="BK95" s="2">
        <f t="shared" si="3"/>
        <v>0</v>
      </c>
      <c r="BL95" t="b">
        <f t="shared" si="4"/>
        <v>1</v>
      </c>
    </row>
    <row r="96" spans="1:64" x14ac:dyDescent="0.35">
      <c r="A96" t="s">
        <v>312</v>
      </c>
      <c r="B96" t="s">
        <v>313</v>
      </c>
      <c r="C96">
        <v>2016</v>
      </c>
      <c r="D96" t="s">
        <v>314</v>
      </c>
      <c r="E96" t="s">
        <v>315</v>
      </c>
      <c r="F96" t="s">
        <v>66</v>
      </c>
      <c r="G96" t="s">
        <v>101</v>
      </c>
      <c r="H96" t="s">
        <v>170</v>
      </c>
      <c r="I96" t="s">
        <v>316</v>
      </c>
      <c r="J96" t="s">
        <v>70</v>
      </c>
      <c r="L96">
        <v>1</v>
      </c>
      <c r="M96" t="b">
        <v>0</v>
      </c>
      <c r="N96">
        <v>2</v>
      </c>
      <c r="O96">
        <v>1</v>
      </c>
      <c r="P96">
        <v>3</v>
      </c>
      <c r="Q96">
        <v>4</v>
      </c>
      <c r="R96">
        <v>-1</v>
      </c>
      <c r="S96">
        <v>4</v>
      </c>
      <c r="T96">
        <v>26</v>
      </c>
      <c r="U96">
        <v>252</v>
      </c>
      <c r="V96">
        <v>71</v>
      </c>
      <c r="W96">
        <v>17</v>
      </c>
      <c r="X96">
        <v>4.1764705882352944</v>
      </c>
      <c r="Y96">
        <v>2</v>
      </c>
      <c r="Z96">
        <v>59</v>
      </c>
      <c r="AA96">
        <v>0</v>
      </c>
      <c r="AB96">
        <v>0</v>
      </c>
      <c r="AC96">
        <v>1</v>
      </c>
      <c r="AD96">
        <v>1</v>
      </c>
      <c r="AE96">
        <v>16</v>
      </c>
      <c r="AF96">
        <v>3</v>
      </c>
      <c r="AG96">
        <v>12</v>
      </c>
      <c r="AH96">
        <v>3</v>
      </c>
      <c r="AI96">
        <v>17</v>
      </c>
      <c r="AJ96">
        <v>3</v>
      </c>
      <c r="AK96">
        <v>13</v>
      </c>
      <c r="AL96">
        <v>6</v>
      </c>
      <c r="AM96">
        <v>30</v>
      </c>
      <c r="AN96">
        <v>5</v>
      </c>
      <c r="AO96">
        <v>71</v>
      </c>
      <c r="AP96">
        <v>3</v>
      </c>
      <c r="AQ96">
        <v>75</v>
      </c>
      <c r="AR96">
        <v>0.2341269841269841</v>
      </c>
      <c r="AS96">
        <v>0</v>
      </c>
      <c r="AT96">
        <v>6.3492063492063489E-2</v>
      </c>
      <c r="AU96">
        <v>4.7619047619047623E-2</v>
      </c>
      <c r="AV96">
        <v>6.7460317460317457E-2</v>
      </c>
      <c r="AW96">
        <v>0.119047619047619</v>
      </c>
      <c r="AX96">
        <v>0.28174603174603169</v>
      </c>
      <c r="AY96">
        <v>0.29761904761904762</v>
      </c>
      <c r="AZ96">
        <v>0.1626984126984127</v>
      </c>
      <c r="BA96">
        <v>0.5</v>
      </c>
      <c r="BB96">
        <v>0.52941176470588236</v>
      </c>
      <c r="BC96">
        <v>0.2</v>
      </c>
      <c r="BD96">
        <v>0.72668650793650791</v>
      </c>
      <c r="BE96">
        <v>4</v>
      </c>
      <c r="BF96">
        <v>0.48902456816059758</v>
      </c>
      <c r="BG96">
        <v>0.49</v>
      </c>
      <c r="BH96" t="s">
        <v>71</v>
      </c>
      <c r="BI96">
        <v>0.49</v>
      </c>
      <c r="BJ96" t="s">
        <v>71</v>
      </c>
      <c r="BK96" s="2">
        <f t="shared" si="3"/>
        <v>0</v>
      </c>
      <c r="BL96" t="b">
        <f t="shared" si="4"/>
        <v>1</v>
      </c>
    </row>
    <row r="97" spans="1:64" x14ac:dyDescent="0.35">
      <c r="A97" t="s">
        <v>317</v>
      </c>
      <c r="B97" t="s">
        <v>313</v>
      </c>
      <c r="C97">
        <v>2020</v>
      </c>
      <c r="D97" t="s">
        <v>314</v>
      </c>
      <c r="E97" t="s">
        <v>315</v>
      </c>
      <c r="F97" t="s">
        <v>66</v>
      </c>
      <c r="G97" t="s">
        <v>101</v>
      </c>
      <c r="H97" t="s">
        <v>170</v>
      </c>
      <c r="I97" t="s">
        <v>316</v>
      </c>
      <c r="J97" t="s">
        <v>70</v>
      </c>
      <c r="L97">
        <v>1</v>
      </c>
      <c r="M97" t="b">
        <v>0</v>
      </c>
      <c r="N97">
        <v>4</v>
      </c>
      <c r="O97">
        <v>1</v>
      </c>
      <c r="P97">
        <v>1</v>
      </c>
      <c r="Q97">
        <v>3</v>
      </c>
      <c r="R97">
        <v>-2</v>
      </c>
      <c r="S97">
        <v>2</v>
      </c>
      <c r="T97">
        <v>12</v>
      </c>
      <c r="U97">
        <v>185</v>
      </c>
      <c r="V97">
        <v>41</v>
      </c>
      <c r="W97">
        <v>9</v>
      </c>
      <c r="X97">
        <v>4.5555555555555554</v>
      </c>
      <c r="Y97">
        <v>2</v>
      </c>
      <c r="Z97">
        <v>101</v>
      </c>
      <c r="AA97">
        <v>0</v>
      </c>
      <c r="AB97">
        <v>0</v>
      </c>
      <c r="AC97">
        <v>1</v>
      </c>
      <c r="AD97">
        <v>1</v>
      </c>
      <c r="AE97">
        <v>3</v>
      </c>
      <c r="AF97">
        <v>0</v>
      </c>
      <c r="AG97">
        <v>0</v>
      </c>
      <c r="AH97">
        <v>1</v>
      </c>
      <c r="AI97">
        <v>24</v>
      </c>
      <c r="AJ97">
        <v>2</v>
      </c>
      <c r="AK97">
        <v>18</v>
      </c>
      <c r="AL97">
        <v>3</v>
      </c>
      <c r="AM97">
        <v>42</v>
      </c>
      <c r="AN97">
        <v>2</v>
      </c>
      <c r="AO97">
        <v>101</v>
      </c>
      <c r="AP97">
        <v>3</v>
      </c>
      <c r="AQ97">
        <v>104</v>
      </c>
      <c r="AR97">
        <v>0.54594594594594592</v>
      </c>
      <c r="AS97">
        <v>0</v>
      </c>
      <c r="AT97">
        <v>1.6216216216216221E-2</v>
      </c>
      <c r="AU97">
        <v>0</v>
      </c>
      <c r="AV97">
        <v>0.12972972972972971</v>
      </c>
      <c r="AW97">
        <v>0.22702702702702701</v>
      </c>
      <c r="AX97">
        <v>0.54594594594594592</v>
      </c>
      <c r="AY97">
        <v>0.56216216216216219</v>
      </c>
      <c r="AZ97">
        <v>0.31891891891891888</v>
      </c>
      <c r="BA97">
        <v>0.16666666666666671</v>
      </c>
      <c r="BB97">
        <v>0.59259259259259256</v>
      </c>
      <c r="BC97">
        <v>0.2</v>
      </c>
      <c r="BD97">
        <v>0.82432432432432423</v>
      </c>
      <c r="BE97">
        <v>4</v>
      </c>
      <c r="BF97">
        <v>0.44589589589589579</v>
      </c>
      <c r="BG97">
        <v>0.47</v>
      </c>
      <c r="BH97" t="s">
        <v>71</v>
      </c>
      <c r="BI97">
        <v>0.45</v>
      </c>
      <c r="BJ97" t="s">
        <v>71</v>
      </c>
      <c r="BK97" s="2">
        <f t="shared" si="3"/>
        <v>1.9999999999999962E-2</v>
      </c>
      <c r="BL97" t="b">
        <f t="shared" si="4"/>
        <v>1</v>
      </c>
    </row>
    <row r="98" spans="1:64" x14ac:dyDescent="0.35">
      <c r="A98" t="s">
        <v>318</v>
      </c>
      <c r="B98" t="s">
        <v>319</v>
      </c>
      <c r="C98">
        <v>2015</v>
      </c>
      <c r="D98" t="s">
        <v>320</v>
      </c>
      <c r="E98" t="s">
        <v>321</v>
      </c>
      <c r="F98" t="s">
        <v>66</v>
      </c>
      <c r="G98" t="s">
        <v>101</v>
      </c>
      <c r="H98" t="s">
        <v>184</v>
      </c>
      <c r="I98" t="s">
        <v>322</v>
      </c>
      <c r="J98" t="s">
        <v>70</v>
      </c>
      <c r="L98">
        <v>1</v>
      </c>
      <c r="M98" t="b">
        <v>0</v>
      </c>
      <c r="N98">
        <v>1</v>
      </c>
      <c r="O98">
        <v>1</v>
      </c>
      <c r="P98">
        <v>6</v>
      </c>
      <c r="Q98">
        <v>3</v>
      </c>
      <c r="R98">
        <v>3</v>
      </c>
      <c r="S98">
        <v>4</v>
      </c>
      <c r="T98">
        <v>24</v>
      </c>
      <c r="U98">
        <v>409</v>
      </c>
      <c r="V98">
        <v>91</v>
      </c>
      <c r="W98">
        <v>18</v>
      </c>
      <c r="X98">
        <v>5.0555555555555554</v>
      </c>
      <c r="Y98">
        <v>3</v>
      </c>
      <c r="Z98">
        <v>43</v>
      </c>
      <c r="AA98">
        <v>0</v>
      </c>
      <c r="AB98">
        <v>0</v>
      </c>
      <c r="AC98">
        <v>1</v>
      </c>
      <c r="AD98">
        <v>1</v>
      </c>
      <c r="AE98">
        <v>26</v>
      </c>
      <c r="AF98">
        <v>4</v>
      </c>
      <c r="AG98">
        <v>25</v>
      </c>
      <c r="AH98">
        <v>1</v>
      </c>
      <c r="AI98">
        <v>9</v>
      </c>
      <c r="AJ98">
        <v>0</v>
      </c>
      <c r="AK98">
        <v>0</v>
      </c>
      <c r="AL98">
        <v>1</v>
      </c>
      <c r="AM98">
        <v>9</v>
      </c>
      <c r="AN98">
        <v>7</v>
      </c>
      <c r="AO98">
        <v>68</v>
      </c>
      <c r="AP98">
        <v>4</v>
      </c>
      <c r="AQ98">
        <v>69</v>
      </c>
      <c r="AR98">
        <v>0.1051344743276284</v>
      </c>
      <c r="AS98">
        <v>0</v>
      </c>
      <c r="AT98">
        <v>6.3569682151589244E-2</v>
      </c>
      <c r="AU98">
        <v>6.1124694376528108E-2</v>
      </c>
      <c r="AV98">
        <v>2.200488997555012E-2</v>
      </c>
      <c r="AW98">
        <v>2.200488997555012E-2</v>
      </c>
      <c r="AX98">
        <v>0.1662591687041565</v>
      </c>
      <c r="AY98">
        <v>0.1687041564792176</v>
      </c>
      <c r="AZ98">
        <v>0.14425427872860641</v>
      </c>
      <c r="BA98">
        <v>0.5</v>
      </c>
      <c r="BB98">
        <v>0.67592592592592593</v>
      </c>
      <c r="BC98">
        <v>0.26666666666666672</v>
      </c>
      <c r="BD98">
        <v>0.71515892420537908</v>
      </c>
      <c r="BE98">
        <v>4</v>
      </c>
      <c r="BF98">
        <v>0.53943787919949293</v>
      </c>
      <c r="BG98">
        <v>0.57999999999999996</v>
      </c>
      <c r="BH98" t="s">
        <v>71</v>
      </c>
      <c r="BI98">
        <v>0.54</v>
      </c>
      <c r="BJ98" t="s">
        <v>71</v>
      </c>
      <c r="BK98" s="2">
        <f t="shared" si="3"/>
        <v>3.9999999999999925E-2</v>
      </c>
      <c r="BL98" t="b">
        <f t="shared" si="4"/>
        <v>1</v>
      </c>
    </row>
    <row r="99" spans="1:64" x14ac:dyDescent="0.35">
      <c r="A99" t="s">
        <v>323</v>
      </c>
      <c r="B99" t="s">
        <v>319</v>
      </c>
      <c r="C99">
        <v>2019</v>
      </c>
      <c r="D99" t="s">
        <v>320</v>
      </c>
      <c r="E99" t="s">
        <v>321</v>
      </c>
      <c r="F99" t="s">
        <v>66</v>
      </c>
      <c r="G99" t="s">
        <v>101</v>
      </c>
      <c r="H99" t="s">
        <v>184</v>
      </c>
      <c r="I99" t="s">
        <v>322</v>
      </c>
      <c r="J99" t="s">
        <v>70</v>
      </c>
      <c r="L99">
        <v>1</v>
      </c>
      <c r="M99" t="b">
        <v>0</v>
      </c>
      <c r="N99">
        <v>1</v>
      </c>
      <c r="O99">
        <v>1</v>
      </c>
      <c r="P99">
        <v>2</v>
      </c>
      <c r="Q99">
        <v>1</v>
      </c>
      <c r="R99">
        <v>1</v>
      </c>
      <c r="S99">
        <v>4</v>
      </c>
      <c r="T99">
        <v>10</v>
      </c>
      <c r="U99">
        <v>48</v>
      </c>
      <c r="V99">
        <v>39</v>
      </c>
      <c r="W99">
        <v>8</v>
      </c>
      <c r="X99">
        <v>4.875</v>
      </c>
      <c r="Y99">
        <v>1</v>
      </c>
      <c r="Z99">
        <v>10</v>
      </c>
      <c r="AA99">
        <v>0</v>
      </c>
      <c r="AB99">
        <v>0</v>
      </c>
      <c r="AC99">
        <v>1</v>
      </c>
      <c r="AD99">
        <v>1</v>
      </c>
      <c r="AE99">
        <v>11</v>
      </c>
      <c r="AF99">
        <v>1</v>
      </c>
      <c r="AG99">
        <v>3</v>
      </c>
      <c r="AH99">
        <v>1</v>
      </c>
      <c r="AI99">
        <v>1</v>
      </c>
      <c r="AJ99">
        <v>0</v>
      </c>
      <c r="AK99">
        <v>0</v>
      </c>
      <c r="AL99">
        <v>1</v>
      </c>
      <c r="AM99">
        <v>1</v>
      </c>
      <c r="AN99">
        <v>2</v>
      </c>
      <c r="AO99">
        <v>13</v>
      </c>
      <c r="AP99">
        <v>2</v>
      </c>
      <c r="AQ99">
        <v>21</v>
      </c>
      <c r="AR99">
        <v>0.20833333333333329</v>
      </c>
      <c r="AS99">
        <v>0</v>
      </c>
      <c r="AT99">
        <v>0.22916666666666671</v>
      </c>
      <c r="AU99">
        <v>6.25E-2</v>
      </c>
      <c r="AV99">
        <v>2.0833333333333329E-2</v>
      </c>
      <c r="AW99">
        <v>2.0833333333333329E-2</v>
      </c>
      <c r="AX99">
        <v>0.27083333333333331</v>
      </c>
      <c r="AY99">
        <v>0.4375</v>
      </c>
      <c r="AZ99">
        <v>0.25</v>
      </c>
      <c r="BA99">
        <v>0.5</v>
      </c>
      <c r="BB99">
        <v>0.64583333333333337</v>
      </c>
      <c r="BC99">
        <v>0.1333333333333333</v>
      </c>
      <c r="BD99">
        <v>0.78125</v>
      </c>
      <c r="BE99">
        <v>4</v>
      </c>
      <c r="BF99">
        <v>0.5151041666666667</v>
      </c>
      <c r="BG99">
        <v>0.52</v>
      </c>
      <c r="BH99" t="s">
        <v>71</v>
      </c>
      <c r="BI99">
        <v>0.52</v>
      </c>
      <c r="BJ99" t="s">
        <v>71</v>
      </c>
      <c r="BK99" s="2">
        <f t="shared" si="3"/>
        <v>0</v>
      </c>
      <c r="BL99" t="b">
        <f t="shared" si="4"/>
        <v>1</v>
      </c>
    </row>
    <row r="100" spans="1:64" x14ac:dyDescent="0.35">
      <c r="A100" t="s">
        <v>324</v>
      </c>
      <c r="B100" t="s">
        <v>325</v>
      </c>
      <c r="C100">
        <v>2016</v>
      </c>
      <c r="D100" t="s">
        <v>326</v>
      </c>
      <c r="E100" t="s">
        <v>327</v>
      </c>
      <c r="F100" t="s">
        <v>66</v>
      </c>
      <c r="G100" t="s">
        <v>101</v>
      </c>
      <c r="H100" t="s">
        <v>184</v>
      </c>
      <c r="I100" t="s">
        <v>328</v>
      </c>
      <c r="J100" t="s">
        <v>70</v>
      </c>
      <c r="L100">
        <v>1</v>
      </c>
      <c r="M100" t="b">
        <v>0</v>
      </c>
      <c r="N100">
        <v>4</v>
      </c>
      <c r="O100">
        <v>2</v>
      </c>
      <c r="P100">
        <v>1</v>
      </c>
      <c r="Q100">
        <v>4</v>
      </c>
      <c r="R100">
        <v>-3</v>
      </c>
      <c r="S100">
        <v>3</v>
      </c>
      <c r="T100">
        <v>16</v>
      </c>
      <c r="U100">
        <v>224</v>
      </c>
      <c r="V100">
        <v>54</v>
      </c>
      <c r="W100">
        <v>14</v>
      </c>
      <c r="X100">
        <v>3.8571428571428572</v>
      </c>
      <c r="Y100">
        <v>2</v>
      </c>
      <c r="Z100">
        <v>82</v>
      </c>
      <c r="AA100">
        <v>0</v>
      </c>
      <c r="AB100">
        <v>0</v>
      </c>
      <c r="AC100">
        <v>1</v>
      </c>
      <c r="AD100">
        <v>1</v>
      </c>
      <c r="AE100">
        <v>39</v>
      </c>
      <c r="AF100">
        <v>4</v>
      </c>
      <c r="AG100">
        <v>20</v>
      </c>
      <c r="AH100">
        <v>1</v>
      </c>
      <c r="AI100">
        <v>47</v>
      </c>
      <c r="AJ100">
        <v>1</v>
      </c>
      <c r="AK100">
        <v>3</v>
      </c>
      <c r="AL100">
        <v>2</v>
      </c>
      <c r="AM100">
        <v>50</v>
      </c>
      <c r="AN100">
        <v>6</v>
      </c>
      <c r="AO100">
        <v>102</v>
      </c>
      <c r="AP100">
        <v>3</v>
      </c>
      <c r="AQ100">
        <v>121</v>
      </c>
      <c r="AR100">
        <v>0.36607142857142849</v>
      </c>
      <c r="AS100">
        <v>0</v>
      </c>
      <c r="AT100">
        <v>0.17410714285714279</v>
      </c>
      <c r="AU100">
        <v>8.9285714285714288E-2</v>
      </c>
      <c r="AV100">
        <v>0.2098214285714286</v>
      </c>
      <c r="AW100">
        <v>0.2232142857142857</v>
      </c>
      <c r="AX100">
        <v>0.45535714285714279</v>
      </c>
      <c r="AY100">
        <v>0.5401785714285714</v>
      </c>
      <c r="AZ100">
        <v>0.2321428571428571</v>
      </c>
      <c r="BA100">
        <v>0.33333333333333331</v>
      </c>
      <c r="BB100">
        <v>0.47619047619047622</v>
      </c>
      <c r="BC100">
        <v>0.2</v>
      </c>
      <c r="BD100">
        <v>0.7700892857142857</v>
      </c>
      <c r="BE100">
        <v>4</v>
      </c>
      <c r="BF100">
        <v>0.44490327380952382</v>
      </c>
      <c r="BG100">
        <v>0.48</v>
      </c>
      <c r="BH100" t="s">
        <v>71</v>
      </c>
      <c r="BI100">
        <v>0.44</v>
      </c>
      <c r="BJ100" t="s">
        <v>71</v>
      </c>
      <c r="BK100" s="2">
        <f t="shared" si="3"/>
        <v>3.999999999999998E-2</v>
      </c>
      <c r="BL100" t="b">
        <f t="shared" si="4"/>
        <v>1</v>
      </c>
    </row>
    <row r="101" spans="1:64" x14ac:dyDescent="0.35">
      <c r="A101" t="s">
        <v>329</v>
      </c>
      <c r="B101" t="s">
        <v>325</v>
      </c>
      <c r="C101">
        <v>2020</v>
      </c>
      <c r="D101" t="s">
        <v>326</v>
      </c>
      <c r="E101" t="s">
        <v>327</v>
      </c>
      <c r="F101" t="s">
        <v>66</v>
      </c>
      <c r="G101" t="s">
        <v>101</v>
      </c>
      <c r="H101" t="s">
        <v>184</v>
      </c>
      <c r="I101" t="s">
        <v>328</v>
      </c>
      <c r="J101" t="s">
        <v>70</v>
      </c>
      <c r="L101">
        <v>1</v>
      </c>
      <c r="M101" t="b">
        <v>0</v>
      </c>
      <c r="N101">
        <v>3</v>
      </c>
      <c r="O101">
        <v>1</v>
      </c>
      <c r="P101">
        <v>1</v>
      </c>
      <c r="Q101">
        <v>2</v>
      </c>
      <c r="R101">
        <v>-1</v>
      </c>
      <c r="S101">
        <v>4</v>
      </c>
      <c r="T101">
        <v>12</v>
      </c>
      <c r="U101">
        <v>352</v>
      </c>
      <c r="V101">
        <v>40</v>
      </c>
      <c r="W101">
        <v>9</v>
      </c>
      <c r="X101">
        <v>4.4444444444444446</v>
      </c>
      <c r="Y101">
        <v>1</v>
      </c>
      <c r="Z101">
        <v>245</v>
      </c>
      <c r="AA101">
        <v>0</v>
      </c>
      <c r="AB101">
        <v>0</v>
      </c>
      <c r="AC101">
        <v>1</v>
      </c>
      <c r="AD101">
        <v>1</v>
      </c>
      <c r="AE101">
        <v>27</v>
      </c>
      <c r="AF101">
        <v>3</v>
      </c>
      <c r="AG101">
        <v>12</v>
      </c>
      <c r="AH101">
        <v>1</v>
      </c>
      <c r="AI101">
        <v>14</v>
      </c>
      <c r="AJ101">
        <v>1</v>
      </c>
      <c r="AK101">
        <v>13</v>
      </c>
      <c r="AL101">
        <v>2</v>
      </c>
      <c r="AM101">
        <v>27</v>
      </c>
      <c r="AN101">
        <v>4</v>
      </c>
      <c r="AO101">
        <v>257</v>
      </c>
      <c r="AP101">
        <v>2</v>
      </c>
      <c r="AQ101">
        <v>272</v>
      </c>
      <c r="AR101">
        <v>0.69602272727272729</v>
      </c>
      <c r="AS101">
        <v>0</v>
      </c>
      <c r="AT101">
        <v>7.6704545454545456E-2</v>
      </c>
      <c r="AU101">
        <v>3.4090909090909088E-2</v>
      </c>
      <c r="AV101">
        <v>3.9772727272727272E-2</v>
      </c>
      <c r="AW101">
        <v>7.6704545454545456E-2</v>
      </c>
      <c r="AX101">
        <v>0.73011363636363635</v>
      </c>
      <c r="AY101">
        <v>0.77272727272727271</v>
      </c>
      <c r="AZ101">
        <v>0.65340909090909094</v>
      </c>
      <c r="BA101">
        <v>0.5</v>
      </c>
      <c r="BB101">
        <v>0.57407407407407407</v>
      </c>
      <c r="BC101">
        <v>0.1333333333333333</v>
      </c>
      <c r="BD101">
        <v>1.0333806818181821</v>
      </c>
      <c r="BE101">
        <v>4</v>
      </c>
      <c r="BF101">
        <v>0.56019702230639723</v>
      </c>
      <c r="BG101">
        <v>0.56999999999999995</v>
      </c>
      <c r="BH101" t="s">
        <v>71</v>
      </c>
      <c r="BI101">
        <v>0.56000000000000005</v>
      </c>
      <c r="BJ101" t="s">
        <v>71</v>
      </c>
      <c r="BK101" s="2">
        <f t="shared" si="3"/>
        <v>9.9999999999998979E-3</v>
      </c>
      <c r="BL101" t="b">
        <f t="shared" si="4"/>
        <v>1</v>
      </c>
    </row>
    <row r="102" spans="1:64" x14ac:dyDescent="0.35">
      <c r="A102" t="s">
        <v>330</v>
      </c>
      <c r="B102" t="s">
        <v>331</v>
      </c>
      <c r="C102">
        <v>2014</v>
      </c>
      <c r="D102" t="s">
        <v>332</v>
      </c>
      <c r="E102" t="s">
        <v>333</v>
      </c>
      <c r="F102" t="s">
        <v>66</v>
      </c>
      <c r="G102" t="s">
        <v>101</v>
      </c>
      <c r="H102" t="s">
        <v>184</v>
      </c>
      <c r="I102" t="s">
        <v>334</v>
      </c>
      <c r="J102" t="s">
        <v>70</v>
      </c>
      <c r="L102">
        <v>1</v>
      </c>
      <c r="M102" t="b">
        <v>0</v>
      </c>
      <c r="N102">
        <v>1</v>
      </c>
      <c r="O102">
        <v>4</v>
      </c>
      <c r="P102">
        <v>14</v>
      </c>
      <c r="Q102">
        <v>1</v>
      </c>
      <c r="R102">
        <v>13</v>
      </c>
      <c r="S102">
        <v>7</v>
      </c>
      <c r="T102">
        <v>27</v>
      </c>
      <c r="U102">
        <v>583</v>
      </c>
      <c r="V102">
        <v>154</v>
      </c>
      <c r="W102">
        <v>23</v>
      </c>
      <c r="X102">
        <v>6.6956521739130439</v>
      </c>
      <c r="Y102">
        <v>3</v>
      </c>
      <c r="Z102">
        <v>52</v>
      </c>
      <c r="AA102">
        <v>5</v>
      </c>
      <c r="AB102">
        <v>113</v>
      </c>
      <c r="AC102">
        <v>4</v>
      </c>
      <c r="AD102">
        <v>4</v>
      </c>
      <c r="AE102">
        <v>65</v>
      </c>
      <c r="AF102">
        <v>1</v>
      </c>
      <c r="AG102">
        <v>16</v>
      </c>
      <c r="AH102">
        <v>2</v>
      </c>
      <c r="AI102">
        <v>183</v>
      </c>
      <c r="AJ102">
        <v>0</v>
      </c>
      <c r="AK102">
        <v>0</v>
      </c>
      <c r="AL102">
        <v>2</v>
      </c>
      <c r="AM102">
        <v>183</v>
      </c>
      <c r="AN102">
        <v>9</v>
      </c>
      <c r="AO102">
        <v>181</v>
      </c>
      <c r="AP102">
        <v>12</v>
      </c>
      <c r="AQ102">
        <v>230</v>
      </c>
      <c r="AR102">
        <v>8.9193825042881647E-2</v>
      </c>
      <c r="AS102">
        <v>0.19382504288164659</v>
      </c>
      <c r="AT102">
        <v>0.1114922813036021</v>
      </c>
      <c r="AU102">
        <v>2.7444253859348199E-2</v>
      </c>
      <c r="AV102">
        <v>0.313893653516295</v>
      </c>
      <c r="AW102">
        <v>0.313893653516295</v>
      </c>
      <c r="AX102">
        <v>0.31046312178387647</v>
      </c>
      <c r="AY102">
        <v>0.39451114922813041</v>
      </c>
      <c r="AZ102">
        <v>-3.4305317324184741E-3</v>
      </c>
      <c r="BA102">
        <v>1</v>
      </c>
      <c r="BB102">
        <v>0.94927536231884069</v>
      </c>
      <c r="BC102">
        <v>0.8</v>
      </c>
      <c r="BD102">
        <v>0.62285591766723847</v>
      </c>
      <c r="BE102">
        <v>4</v>
      </c>
      <c r="BF102">
        <v>0.8430328199965198</v>
      </c>
      <c r="BG102">
        <v>0.89</v>
      </c>
      <c r="BH102" t="s">
        <v>164</v>
      </c>
      <c r="BI102">
        <v>0.84</v>
      </c>
      <c r="BJ102" t="s">
        <v>164</v>
      </c>
      <c r="BK102" s="2">
        <f t="shared" si="3"/>
        <v>5.0000000000000044E-2</v>
      </c>
      <c r="BL102" t="b">
        <f t="shared" si="4"/>
        <v>1</v>
      </c>
    </row>
    <row r="103" spans="1:64" x14ac:dyDescent="0.35">
      <c r="A103" t="s">
        <v>335</v>
      </c>
      <c r="B103" t="s">
        <v>331</v>
      </c>
      <c r="C103">
        <v>2022</v>
      </c>
      <c r="D103" t="s">
        <v>332</v>
      </c>
      <c r="E103" t="s">
        <v>333</v>
      </c>
      <c r="F103" t="s">
        <v>66</v>
      </c>
      <c r="G103" t="s">
        <v>101</v>
      </c>
      <c r="H103" t="s">
        <v>184</v>
      </c>
      <c r="I103" t="s">
        <v>334</v>
      </c>
      <c r="J103" t="s">
        <v>70</v>
      </c>
      <c r="L103">
        <v>1</v>
      </c>
      <c r="M103" t="b">
        <v>0</v>
      </c>
      <c r="N103">
        <v>1</v>
      </c>
      <c r="O103">
        <v>1</v>
      </c>
      <c r="P103">
        <v>3</v>
      </c>
      <c r="Q103">
        <v>0</v>
      </c>
      <c r="R103">
        <v>3</v>
      </c>
      <c r="S103">
        <v>4</v>
      </c>
      <c r="T103">
        <v>11</v>
      </c>
      <c r="U103">
        <v>81</v>
      </c>
      <c r="V103">
        <v>48</v>
      </c>
      <c r="W103">
        <v>9</v>
      </c>
      <c r="X103">
        <v>5.333333333333333</v>
      </c>
      <c r="Y103">
        <v>2</v>
      </c>
      <c r="Z103">
        <v>5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2</v>
      </c>
      <c r="AG103">
        <v>14</v>
      </c>
      <c r="AH103">
        <v>1</v>
      </c>
      <c r="AI103">
        <v>47</v>
      </c>
      <c r="AJ103">
        <v>0</v>
      </c>
      <c r="AK103">
        <v>0</v>
      </c>
      <c r="AL103">
        <v>1</v>
      </c>
      <c r="AM103">
        <v>47</v>
      </c>
      <c r="AN103">
        <v>5</v>
      </c>
      <c r="AO103">
        <v>20</v>
      </c>
      <c r="AP103">
        <v>3</v>
      </c>
      <c r="AQ103">
        <v>6</v>
      </c>
      <c r="AR103">
        <v>6.1728395061728392E-2</v>
      </c>
      <c r="AS103">
        <v>1.234567901234568E-2</v>
      </c>
      <c r="AT103">
        <v>0</v>
      </c>
      <c r="AU103">
        <v>0.1728395061728395</v>
      </c>
      <c r="AV103">
        <v>0.58024691358024694</v>
      </c>
      <c r="AW103">
        <v>0.58024691358024694</v>
      </c>
      <c r="AX103">
        <v>0.24691358024691359</v>
      </c>
      <c r="AY103">
        <v>7.407407407407407E-2</v>
      </c>
      <c r="AZ103">
        <v>-0.33333333333333343</v>
      </c>
      <c r="BA103">
        <v>0.5</v>
      </c>
      <c r="BB103">
        <v>0.72222222222222221</v>
      </c>
      <c r="BC103">
        <v>0.2</v>
      </c>
      <c r="BD103">
        <v>0.41666666666666657</v>
      </c>
      <c r="BE103">
        <v>4</v>
      </c>
      <c r="BF103">
        <v>0.4597222222222222</v>
      </c>
      <c r="BG103">
        <v>0.55000000000000004</v>
      </c>
      <c r="BH103" t="s">
        <v>71</v>
      </c>
      <c r="BI103">
        <v>0.46</v>
      </c>
      <c r="BJ103" t="s">
        <v>71</v>
      </c>
      <c r="BK103" s="2">
        <f t="shared" si="3"/>
        <v>9.0000000000000024E-2</v>
      </c>
      <c r="BL103" t="b">
        <f t="shared" si="4"/>
        <v>1</v>
      </c>
    </row>
    <row r="104" spans="1:64" x14ac:dyDescent="0.35">
      <c r="A104" t="s">
        <v>336</v>
      </c>
      <c r="B104" t="s">
        <v>337</v>
      </c>
      <c r="C104">
        <v>2014</v>
      </c>
      <c r="D104" t="s">
        <v>338</v>
      </c>
      <c r="E104" t="s">
        <v>339</v>
      </c>
      <c r="F104" t="s">
        <v>66</v>
      </c>
      <c r="G104" t="s">
        <v>101</v>
      </c>
      <c r="H104" t="s">
        <v>150</v>
      </c>
      <c r="I104" t="s">
        <v>150</v>
      </c>
      <c r="J104" t="s">
        <v>70</v>
      </c>
      <c r="L104">
        <v>5</v>
      </c>
      <c r="M104" t="b">
        <v>0</v>
      </c>
      <c r="N104">
        <v>1</v>
      </c>
      <c r="O104">
        <v>3</v>
      </c>
      <c r="P104">
        <v>9</v>
      </c>
      <c r="Q104">
        <v>3</v>
      </c>
      <c r="R104">
        <v>6</v>
      </c>
      <c r="S104">
        <v>6</v>
      </c>
      <c r="T104">
        <v>35</v>
      </c>
      <c r="U104">
        <v>1066</v>
      </c>
      <c r="V104">
        <v>152</v>
      </c>
      <c r="W104">
        <v>27</v>
      </c>
      <c r="X104">
        <v>5.6296296296296298</v>
      </c>
      <c r="Y104">
        <v>4</v>
      </c>
      <c r="Z104">
        <v>121</v>
      </c>
      <c r="AA104">
        <v>0</v>
      </c>
      <c r="AB104">
        <v>0</v>
      </c>
      <c r="AC104">
        <v>2</v>
      </c>
      <c r="AD104">
        <v>2</v>
      </c>
      <c r="AE104">
        <v>40</v>
      </c>
      <c r="AF104">
        <v>1</v>
      </c>
      <c r="AG104">
        <v>15</v>
      </c>
      <c r="AH104">
        <v>0</v>
      </c>
      <c r="AI104">
        <v>0</v>
      </c>
      <c r="AJ104">
        <v>2</v>
      </c>
      <c r="AK104">
        <v>43</v>
      </c>
      <c r="AL104">
        <v>2</v>
      </c>
      <c r="AM104">
        <v>43</v>
      </c>
      <c r="AN104">
        <v>5</v>
      </c>
      <c r="AO104">
        <v>136</v>
      </c>
      <c r="AP104">
        <v>6</v>
      </c>
      <c r="AQ104">
        <v>161</v>
      </c>
      <c r="AR104">
        <v>0.1135084427767355</v>
      </c>
      <c r="AS104">
        <v>0</v>
      </c>
      <c r="AT104">
        <v>3.7523452157598502E-2</v>
      </c>
      <c r="AU104">
        <v>1.407129455909944E-2</v>
      </c>
      <c r="AV104">
        <v>0</v>
      </c>
      <c r="AW104">
        <v>4.0337711069418393E-2</v>
      </c>
      <c r="AX104">
        <v>0.12757973733583489</v>
      </c>
      <c r="AY104">
        <v>0.151031894934334</v>
      </c>
      <c r="AZ104">
        <v>8.72420262664165E-2</v>
      </c>
      <c r="BA104">
        <v>0.83333333333333337</v>
      </c>
      <c r="BB104">
        <v>0.77160493827160492</v>
      </c>
      <c r="BC104">
        <v>0.4</v>
      </c>
      <c r="BD104">
        <v>0.67952626641651026</v>
      </c>
      <c r="BE104">
        <v>4</v>
      </c>
      <c r="BF104">
        <v>0.67111613450536212</v>
      </c>
      <c r="BG104">
        <v>0.69</v>
      </c>
      <c r="BH104" t="s">
        <v>86</v>
      </c>
      <c r="BI104">
        <v>0.67</v>
      </c>
      <c r="BJ104" t="s">
        <v>86</v>
      </c>
      <c r="BK104" s="2">
        <f t="shared" si="3"/>
        <v>1.9999999999999907E-2</v>
      </c>
      <c r="BL104" t="b">
        <f t="shared" si="4"/>
        <v>1</v>
      </c>
    </row>
    <row r="105" spans="1:64" x14ac:dyDescent="0.35">
      <c r="A105" t="s">
        <v>340</v>
      </c>
      <c r="B105" t="s">
        <v>337</v>
      </c>
      <c r="C105">
        <v>2015</v>
      </c>
      <c r="D105" t="s">
        <v>338</v>
      </c>
      <c r="E105" t="s">
        <v>339</v>
      </c>
      <c r="F105" t="s">
        <v>66</v>
      </c>
      <c r="G105" t="s">
        <v>101</v>
      </c>
      <c r="H105" t="s">
        <v>150</v>
      </c>
      <c r="I105" t="s">
        <v>150</v>
      </c>
      <c r="J105" t="s">
        <v>70</v>
      </c>
      <c r="L105">
        <v>5</v>
      </c>
      <c r="M105" t="b">
        <v>0</v>
      </c>
      <c r="N105">
        <v>1</v>
      </c>
      <c r="O105">
        <v>3</v>
      </c>
      <c r="P105">
        <v>18</v>
      </c>
      <c r="Q105">
        <v>3</v>
      </c>
      <c r="R105">
        <v>15</v>
      </c>
      <c r="S105">
        <v>7</v>
      </c>
      <c r="T105">
        <v>48</v>
      </c>
      <c r="U105">
        <v>1545</v>
      </c>
      <c r="V105">
        <v>201</v>
      </c>
      <c r="W105">
        <v>31</v>
      </c>
      <c r="X105">
        <v>6.4838709677419351</v>
      </c>
      <c r="Y105">
        <v>7</v>
      </c>
      <c r="Z105">
        <v>228</v>
      </c>
      <c r="AA105">
        <v>2</v>
      </c>
      <c r="AB105">
        <v>23</v>
      </c>
      <c r="AC105">
        <v>4</v>
      </c>
      <c r="AD105">
        <v>4</v>
      </c>
      <c r="AE105">
        <v>110</v>
      </c>
      <c r="AF105">
        <v>0</v>
      </c>
      <c r="AG105">
        <v>0</v>
      </c>
      <c r="AH105">
        <v>0</v>
      </c>
      <c r="AI105">
        <v>0</v>
      </c>
      <c r="AJ105">
        <v>3</v>
      </c>
      <c r="AK105">
        <v>13</v>
      </c>
      <c r="AL105">
        <v>4</v>
      </c>
      <c r="AM105">
        <v>17</v>
      </c>
      <c r="AN105">
        <v>9</v>
      </c>
      <c r="AO105">
        <v>251</v>
      </c>
      <c r="AP105">
        <v>13</v>
      </c>
      <c r="AQ105">
        <v>361</v>
      </c>
      <c r="AR105">
        <v>0.14757281553398061</v>
      </c>
      <c r="AS105">
        <v>1.4886731391585761E-2</v>
      </c>
      <c r="AT105">
        <v>7.1197411003236247E-2</v>
      </c>
      <c r="AU105">
        <v>0</v>
      </c>
      <c r="AV105">
        <v>0</v>
      </c>
      <c r="AW105">
        <v>1.100323624595469E-2</v>
      </c>
      <c r="AX105">
        <v>0.16245954692556641</v>
      </c>
      <c r="AY105">
        <v>0.23365695792880259</v>
      </c>
      <c r="AZ105">
        <v>0.15145631067961171</v>
      </c>
      <c r="BA105">
        <v>1</v>
      </c>
      <c r="BB105">
        <v>0.91397849462365588</v>
      </c>
      <c r="BC105">
        <v>0.8666666666666667</v>
      </c>
      <c r="BD105">
        <v>0.71966019417475724</v>
      </c>
      <c r="BE105">
        <v>4</v>
      </c>
      <c r="BF105">
        <v>0.8750763388662699</v>
      </c>
      <c r="BG105">
        <v>0.91</v>
      </c>
      <c r="BH105" t="s">
        <v>164</v>
      </c>
      <c r="BI105">
        <v>0.88</v>
      </c>
      <c r="BJ105" t="s">
        <v>164</v>
      </c>
      <c r="BK105" s="2">
        <f t="shared" si="3"/>
        <v>3.0000000000000027E-2</v>
      </c>
      <c r="BL105" t="b">
        <f t="shared" si="4"/>
        <v>1</v>
      </c>
    </row>
    <row r="106" spans="1:64" x14ac:dyDescent="0.35">
      <c r="A106" t="s">
        <v>341</v>
      </c>
      <c r="B106" t="s">
        <v>337</v>
      </c>
      <c r="C106">
        <v>2016</v>
      </c>
      <c r="D106" t="s">
        <v>338</v>
      </c>
      <c r="E106" t="s">
        <v>339</v>
      </c>
      <c r="F106" t="s">
        <v>66</v>
      </c>
      <c r="G106" t="s">
        <v>101</v>
      </c>
      <c r="H106" t="s">
        <v>150</v>
      </c>
      <c r="I106" t="s">
        <v>150</v>
      </c>
      <c r="J106" t="s">
        <v>70</v>
      </c>
      <c r="L106">
        <v>5</v>
      </c>
      <c r="M106" t="b">
        <v>0</v>
      </c>
      <c r="N106">
        <v>1</v>
      </c>
      <c r="O106">
        <v>2</v>
      </c>
      <c r="P106">
        <v>2</v>
      </c>
      <c r="Q106">
        <v>2</v>
      </c>
      <c r="R106">
        <v>0</v>
      </c>
      <c r="S106">
        <v>5</v>
      </c>
      <c r="T106">
        <v>9</v>
      </c>
      <c r="U106">
        <v>72</v>
      </c>
      <c r="V106">
        <v>51</v>
      </c>
      <c r="W106">
        <v>9</v>
      </c>
      <c r="X106">
        <v>5.666666666666667</v>
      </c>
      <c r="Y106">
        <v>1</v>
      </c>
      <c r="Z106">
        <v>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0</v>
      </c>
      <c r="AI106">
        <v>0</v>
      </c>
      <c r="AJ106">
        <v>2</v>
      </c>
      <c r="AK106">
        <v>9</v>
      </c>
      <c r="AL106">
        <v>2</v>
      </c>
      <c r="AM106">
        <v>9</v>
      </c>
      <c r="AN106">
        <v>2</v>
      </c>
      <c r="AO106">
        <v>6</v>
      </c>
      <c r="AP106">
        <v>1</v>
      </c>
      <c r="AQ106">
        <v>5</v>
      </c>
      <c r="AR106">
        <v>6.9444444444444448E-2</v>
      </c>
      <c r="AS106">
        <v>0</v>
      </c>
      <c r="AT106">
        <v>0</v>
      </c>
      <c r="AU106">
        <v>1.388888888888889E-2</v>
      </c>
      <c r="AV106">
        <v>0</v>
      </c>
      <c r="AW106">
        <v>0.125</v>
      </c>
      <c r="AX106">
        <v>8.3333333333333329E-2</v>
      </c>
      <c r="AY106">
        <v>6.9444444444444448E-2</v>
      </c>
      <c r="AZ106">
        <v>-4.1666666666666671E-2</v>
      </c>
      <c r="BA106">
        <v>0.66666666666666663</v>
      </c>
      <c r="BB106">
        <v>0.77777777777777779</v>
      </c>
      <c r="BC106">
        <v>6.6666666666666666E-2</v>
      </c>
      <c r="BD106">
        <v>0.59895833333333337</v>
      </c>
      <c r="BE106">
        <v>4</v>
      </c>
      <c r="BF106">
        <v>0.52751736111111114</v>
      </c>
      <c r="BG106">
        <v>0.52</v>
      </c>
      <c r="BH106" t="s">
        <v>71</v>
      </c>
      <c r="BI106">
        <v>0.53</v>
      </c>
      <c r="BJ106" t="s">
        <v>71</v>
      </c>
      <c r="BK106" s="2">
        <f t="shared" si="3"/>
        <v>-1.0000000000000009E-2</v>
      </c>
      <c r="BL106" t="b">
        <f t="shared" si="4"/>
        <v>1</v>
      </c>
    </row>
    <row r="107" spans="1:64" x14ac:dyDescent="0.35">
      <c r="A107" t="s">
        <v>342</v>
      </c>
      <c r="B107" t="s">
        <v>337</v>
      </c>
      <c r="C107">
        <v>2017</v>
      </c>
      <c r="D107" t="s">
        <v>338</v>
      </c>
      <c r="E107" t="s">
        <v>339</v>
      </c>
      <c r="F107" t="s">
        <v>66</v>
      </c>
      <c r="G107" t="s">
        <v>101</v>
      </c>
      <c r="H107" t="s">
        <v>150</v>
      </c>
      <c r="I107" t="s">
        <v>150</v>
      </c>
      <c r="J107" t="s">
        <v>70</v>
      </c>
      <c r="L107">
        <v>5</v>
      </c>
      <c r="M107" t="b">
        <v>0</v>
      </c>
      <c r="N107">
        <v>1</v>
      </c>
      <c r="O107">
        <v>1</v>
      </c>
      <c r="P107">
        <v>3</v>
      </c>
      <c r="Q107">
        <v>2</v>
      </c>
      <c r="R107">
        <v>1</v>
      </c>
      <c r="S107">
        <v>4</v>
      </c>
      <c r="T107">
        <v>12</v>
      </c>
      <c r="U107">
        <v>134</v>
      </c>
      <c r="V107">
        <v>66</v>
      </c>
      <c r="W107">
        <v>10</v>
      </c>
      <c r="X107">
        <v>6.6</v>
      </c>
      <c r="Y107">
        <v>0</v>
      </c>
      <c r="Z107">
        <v>0</v>
      </c>
      <c r="AA107">
        <v>1</v>
      </c>
      <c r="AB107">
        <v>11</v>
      </c>
      <c r="AC107">
        <v>0</v>
      </c>
      <c r="AD107">
        <v>0</v>
      </c>
      <c r="AE107">
        <v>0</v>
      </c>
      <c r="AF107">
        <v>1</v>
      </c>
      <c r="AG107">
        <v>14</v>
      </c>
      <c r="AH107">
        <v>0</v>
      </c>
      <c r="AI107">
        <v>0</v>
      </c>
      <c r="AJ107">
        <v>1</v>
      </c>
      <c r="AK107">
        <v>6</v>
      </c>
      <c r="AL107">
        <v>1</v>
      </c>
      <c r="AM107">
        <v>6</v>
      </c>
      <c r="AN107">
        <v>2</v>
      </c>
      <c r="AO107">
        <v>25</v>
      </c>
      <c r="AP107">
        <v>1</v>
      </c>
      <c r="AQ107">
        <v>11</v>
      </c>
      <c r="AR107">
        <v>0</v>
      </c>
      <c r="AS107">
        <v>8.2089552238805971E-2</v>
      </c>
      <c r="AT107">
        <v>0</v>
      </c>
      <c r="AU107">
        <v>0.1044776119402985</v>
      </c>
      <c r="AV107">
        <v>0</v>
      </c>
      <c r="AW107">
        <v>4.4776119402985072E-2</v>
      </c>
      <c r="AX107">
        <v>0.18656716417910449</v>
      </c>
      <c r="AY107">
        <v>8.2089552238805971E-2</v>
      </c>
      <c r="AZ107">
        <v>0.1417910447761194</v>
      </c>
      <c r="BA107">
        <v>0.5</v>
      </c>
      <c r="BB107">
        <v>0.93333333333333324</v>
      </c>
      <c r="BC107">
        <v>6.6666666666666666E-2</v>
      </c>
      <c r="BD107">
        <v>0.71361940298507465</v>
      </c>
      <c r="BE107">
        <v>4</v>
      </c>
      <c r="BF107">
        <v>0.55340485074626866</v>
      </c>
      <c r="BG107">
        <v>0.59</v>
      </c>
      <c r="BH107" t="s">
        <v>71</v>
      </c>
      <c r="BI107">
        <v>0.55000000000000004</v>
      </c>
      <c r="BJ107" t="s">
        <v>71</v>
      </c>
      <c r="BK107" s="2">
        <f t="shared" si="3"/>
        <v>3.9999999999999925E-2</v>
      </c>
      <c r="BL107" t="b">
        <f t="shared" si="4"/>
        <v>1</v>
      </c>
    </row>
    <row r="108" spans="1:64" x14ac:dyDescent="0.35">
      <c r="A108" t="s">
        <v>343</v>
      </c>
      <c r="B108" t="s">
        <v>337</v>
      </c>
      <c r="C108">
        <v>2020</v>
      </c>
      <c r="D108" t="s">
        <v>338</v>
      </c>
      <c r="E108" t="s">
        <v>339</v>
      </c>
      <c r="F108" t="s">
        <v>66</v>
      </c>
      <c r="G108" t="s">
        <v>101</v>
      </c>
      <c r="H108" t="s">
        <v>150</v>
      </c>
      <c r="I108" t="s">
        <v>150</v>
      </c>
      <c r="J108" t="s">
        <v>70</v>
      </c>
      <c r="L108">
        <v>5</v>
      </c>
      <c r="M108" t="b">
        <v>0</v>
      </c>
      <c r="N108">
        <v>1</v>
      </c>
      <c r="O108">
        <v>1</v>
      </c>
      <c r="P108">
        <v>1</v>
      </c>
      <c r="Q108">
        <v>2</v>
      </c>
      <c r="R108">
        <v>-1</v>
      </c>
      <c r="S108">
        <v>4</v>
      </c>
      <c r="T108">
        <v>17</v>
      </c>
      <c r="U108">
        <v>101</v>
      </c>
      <c r="V108">
        <v>70</v>
      </c>
      <c r="W108">
        <v>13</v>
      </c>
      <c r="X108">
        <v>5.384615384615385</v>
      </c>
      <c r="Y108">
        <v>1</v>
      </c>
      <c r="Z108">
        <v>5</v>
      </c>
      <c r="AA108">
        <v>0</v>
      </c>
      <c r="AB108">
        <v>0</v>
      </c>
      <c r="AC108">
        <v>2</v>
      </c>
      <c r="AD108">
        <v>2</v>
      </c>
      <c r="AE108">
        <v>30</v>
      </c>
      <c r="AF108">
        <v>2</v>
      </c>
      <c r="AG108">
        <v>15</v>
      </c>
      <c r="AH108">
        <v>0</v>
      </c>
      <c r="AI108">
        <v>0</v>
      </c>
      <c r="AJ108">
        <v>1</v>
      </c>
      <c r="AK108">
        <v>3</v>
      </c>
      <c r="AL108">
        <v>1</v>
      </c>
      <c r="AM108">
        <v>3</v>
      </c>
      <c r="AN108">
        <v>3</v>
      </c>
      <c r="AO108">
        <v>20</v>
      </c>
      <c r="AP108">
        <v>3</v>
      </c>
      <c r="AQ108">
        <v>35</v>
      </c>
      <c r="AR108">
        <v>4.9504950495049507E-2</v>
      </c>
      <c r="AS108">
        <v>0</v>
      </c>
      <c r="AT108">
        <v>0.29702970297029702</v>
      </c>
      <c r="AU108">
        <v>0.14851485148514851</v>
      </c>
      <c r="AV108">
        <v>0</v>
      </c>
      <c r="AW108">
        <v>2.9702970297029702E-2</v>
      </c>
      <c r="AX108">
        <v>0.198019801980198</v>
      </c>
      <c r="AY108">
        <v>0.34653465346534651</v>
      </c>
      <c r="AZ108">
        <v>0.1683168316831683</v>
      </c>
      <c r="BA108">
        <v>0.5</v>
      </c>
      <c r="BB108">
        <v>0.73076923076923084</v>
      </c>
      <c r="BC108">
        <v>0.2</v>
      </c>
      <c r="BD108">
        <v>0.73019801980198007</v>
      </c>
      <c r="BE108">
        <v>4</v>
      </c>
      <c r="BF108">
        <v>0.54024181264280269</v>
      </c>
      <c r="BG108">
        <v>0.54</v>
      </c>
      <c r="BH108" t="s">
        <v>71</v>
      </c>
      <c r="BI108">
        <v>0.54</v>
      </c>
      <c r="BJ108" t="s">
        <v>71</v>
      </c>
      <c r="BK108" s="2">
        <f t="shared" si="3"/>
        <v>0</v>
      </c>
      <c r="BL108" t="b">
        <f t="shared" si="4"/>
        <v>1</v>
      </c>
    </row>
    <row r="109" spans="1:64" x14ac:dyDescent="0.35">
      <c r="A109" t="s">
        <v>344</v>
      </c>
      <c r="B109" t="s">
        <v>345</v>
      </c>
      <c r="C109">
        <v>2015</v>
      </c>
      <c r="D109" t="s">
        <v>346</v>
      </c>
      <c r="E109" t="s">
        <v>347</v>
      </c>
      <c r="F109" t="s">
        <v>66</v>
      </c>
      <c r="G109" t="s">
        <v>101</v>
      </c>
      <c r="H109" t="s">
        <v>348</v>
      </c>
      <c r="I109" t="s">
        <v>349</v>
      </c>
      <c r="J109" t="s">
        <v>70</v>
      </c>
      <c r="L109">
        <v>5</v>
      </c>
      <c r="M109" t="b">
        <v>0</v>
      </c>
      <c r="N109">
        <v>3</v>
      </c>
      <c r="O109">
        <v>1</v>
      </c>
      <c r="P109">
        <v>11</v>
      </c>
      <c r="Q109">
        <v>5</v>
      </c>
      <c r="R109">
        <v>6</v>
      </c>
      <c r="S109">
        <v>4</v>
      </c>
      <c r="T109">
        <v>37</v>
      </c>
      <c r="U109">
        <v>342</v>
      </c>
      <c r="V109">
        <v>164</v>
      </c>
      <c r="W109">
        <v>27</v>
      </c>
      <c r="X109">
        <v>6.0740740740740744</v>
      </c>
      <c r="Y109">
        <v>2</v>
      </c>
      <c r="Z109">
        <v>2</v>
      </c>
      <c r="AA109">
        <v>0</v>
      </c>
      <c r="AB109">
        <v>0</v>
      </c>
      <c r="AC109">
        <v>3</v>
      </c>
      <c r="AD109">
        <v>3</v>
      </c>
      <c r="AE109">
        <v>8</v>
      </c>
      <c r="AF109">
        <v>2</v>
      </c>
      <c r="AG109">
        <v>10</v>
      </c>
      <c r="AH109">
        <v>1</v>
      </c>
      <c r="AI109">
        <v>28</v>
      </c>
      <c r="AJ109">
        <v>3</v>
      </c>
      <c r="AK109">
        <v>26</v>
      </c>
      <c r="AL109">
        <v>4</v>
      </c>
      <c r="AM109">
        <v>54</v>
      </c>
      <c r="AN109">
        <v>4</v>
      </c>
      <c r="AO109">
        <v>12</v>
      </c>
      <c r="AP109">
        <v>5</v>
      </c>
      <c r="AQ109">
        <v>10</v>
      </c>
      <c r="AR109">
        <v>5.8479532163742687E-3</v>
      </c>
      <c r="AS109">
        <v>0</v>
      </c>
      <c r="AT109">
        <v>2.3391812865497071E-2</v>
      </c>
      <c r="AU109">
        <v>2.923976608187134E-2</v>
      </c>
      <c r="AV109">
        <v>8.1871345029239762E-2</v>
      </c>
      <c r="AW109">
        <v>0.15789473684210531</v>
      </c>
      <c r="AX109">
        <v>3.5087719298245612E-2</v>
      </c>
      <c r="AY109">
        <v>2.923976608187134E-2</v>
      </c>
      <c r="AZ109">
        <v>-0.1228070175438596</v>
      </c>
      <c r="BA109">
        <v>0.5</v>
      </c>
      <c r="BB109">
        <v>0.8456790123456791</v>
      </c>
      <c r="BC109">
        <v>0.33333333333333331</v>
      </c>
      <c r="BD109">
        <v>0.54824561403508776</v>
      </c>
      <c r="BE109">
        <v>4</v>
      </c>
      <c r="BF109">
        <v>0.556814489928525</v>
      </c>
      <c r="BG109">
        <v>0.56999999999999995</v>
      </c>
      <c r="BH109" t="s">
        <v>71</v>
      </c>
      <c r="BI109">
        <v>0.56000000000000005</v>
      </c>
      <c r="BJ109" t="s">
        <v>71</v>
      </c>
      <c r="BK109" s="2">
        <f t="shared" si="3"/>
        <v>9.9999999999998979E-3</v>
      </c>
      <c r="BL109" t="b">
        <f t="shared" si="4"/>
        <v>1</v>
      </c>
    </row>
    <row r="110" spans="1:64" x14ac:dyDescent="0.35">
      <c r="A110" t="s">
        <v>350</v>
      </c>
      <c r="B110" t="s">
        <v>351</v>
      </c>
      <c r="C110">
        <v>2014</v>
      </c>
      <c r="D110" t="s">
        <v>352</v>
      </c>
      <c r="E110" t="s">
        <v>353</v>
      </c>
      <c r="F110" t="s">
        <v>66</v>
      </c>
      <c r="G110" t="s">
        <v>101</v>
      </c>
      <c r="H110" t="s">
        <v>211</v>
      </c>
      <c r="I110" t="s">
        <v>211</v>
      </c>
      <c r="J110" t="s">
        <v>70</v>
      </c>
      <c r="L110">
        <v>3</v>
      </c>
      <c r="M110" t="b">
        <v>0</v>
      </c>
      <c r="N110">
        <v>1</v>
      </c>
      <c r="O110">
        <v>4</v>
      </c>
      <c r="P110">
        <v>15</v>
      </c>
      <c r="Q110">
        <v>4</v>
      </c>
      <c r="R110">
        <v>11</v>
      </c>
      <c r="S110">
        <v>7</v>
      </c>
      <c r="T110">
        <v>40</v>
      </c>
      <c r="U110">
        <v>1567</v>
      </c>
      <c r="V110">
        <v>187</v>
      </c>
      <c r="W110">
        <v>29</v>
      </c>
      <c r="X110">
        <v>6.4482758620689653</v>
      </c>
      <c r="Y110">
        <v>3</v>
      </c>
      <c r="Z110">
        <v>124</v>
      </c>
      <c r="AA110">
        <v>4</v>
      </c>
      <c r="AB110">
        <v>34</v>
      </c>
      <c r="AC110">
        <v>6</v>
      </c>
      <c r="AD110">
        <v>6</v>
      </c>
      <c r="AE110">
        <v>296</v>
      </c>
      <c r="AF110">
        <v>2</v>
      </c>
      <c r="AG110">
        <v>61</v>
      </c>
      <c r="AH110">
        <v>1</v>
      </c>
      <c r="AI110">
        <v>35</v>
      </c>
      <c r="AJ110">
        <v>0</v>
      </c>
      <c r="AK110">
        <v>0</v>
      </c>
      <c r="AL110">
        <v>1</v>
      </c>
      <c r="AM110">
        <v>35</v>
      </c>
      <c r="AN110">
        <v>9</v>
      </c>
      <c r="AO110">
        <v>219</v>
      </c>
      <c r="AP110">
        <v>13</v>
      </c>
      <c r="AQ110">
        <v>454</v>
      </c>
      <c r="AR110">
        <v>7.9132099553286539E-2</v>
      </c>
      <c r="AS110">
        <v>2.1697511167836629E-2</v>
      </c>
      <c r="AT110">
        <v>0.18889597957881299</v>
      </c>
      <c r="AU110">
        <v>3.89278876834716E-2</v>
      </c>
      <c r="AV110">
        <v>2.2335673261008299E-2</v>
      </c>
      <c r="AW110">
        <v>2.2335673261008299E-2</v>
      </c>
      <c r="AX110">
        <v>0.13975749840459481</v>
      </c>
      <c r="AY110">
        <v>0.28972559029993622</v>
      </c>
      <c r="AZ110">
        <v>0.1174218251435865</v>
      </c>
      <c r="BA110">
        <v>1</v>
      </c>
      <c r="BB110">
        <v>0.90804597701149425</v>
      </c>
      <c r="BC110">
        <v>0.8666666666666667</v>
      </c>
      <c r="BD110">
        <v>0.6983886407147416</v>
      </c>
      <c r="BE110">
        <v>4</v>
      </c>
      <c r="BF110">
        <v>0.86827532109822569</v>
      </c>
      <c r="BG110">
        <v>0.83</v>
      </c>
      <c r="BH110" t="s">
        <v>164</v>
      </c>
      <c r="BI110">
        <v>0.87</v>
      </c>
      <c r="BJ110" t="s">
        <v>164</v>
      </c>
      <c r="BK110" s="2">
        <f t="shared" si="3"/>
        <v>-4.0000000000000036E-2</v>
      </c>
      <c r="BL110" t="b">
        <f t="shared" si="4"/>
        <v>1</v>
      </c>
    </row>
    <row r="111" spans="1:64" x14ac:dyDescent="0.35">
      <c r="A111" t="s">
        <v>354</v>
      </c>
      <c r="B111" t="s">
        <v>351</v>
      </c>
      <c r="C111">
        <v>2020</v>
      </c>
      <c r="D111" t="s">
        <v>352</v>
      </c>
      <c r="E111" t="s">
        <v>353</v>
      </c>
      <c r="F111" t="s">
        <v>66</v>
      </c>
      <c r="G111" t="s">
        <v>101</v>
      </c>
      <c r="H111" t="s">
        <v>211</v>
      </c>
      <c r="I111" t="s">
        <v>211</v>
      </c>
      <c r="J111" t="s">
        <v>70</v>
      </c>
      <c r="L111">
        <v>3</v>
      </c>
      <c r="M111" t="b">
        <v>0</v>
      </c>
      <c r="N111">
        <v>3</v>
      </c>
      <c r="O111">
        <v>1</v>
      </c>
      <c r="P111">
        <v>3</v>
      </c>
      <c r="Q111">
        <v>1</v>
      </c>
      <c r="R111">
        <v>2</v>
      </c>
      <c r="S111">
        <v>4</v>
      </c>
      <c r="T111">
        <v>11</v>
      </c>
      <c r="U111">
        <v>56</v>
      </c>
      <c r="V111">
        <v>66</v>
      </c>
      <c r="W111">
        <v>9</v>
      </c>
      <c r="X111">
        <v>7.333333333333333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</v>
      </c>
      <c r="AG111">
        <v>8</v>
      </c>
      <c r="AH111">
        <v>1</v>
      </c>
      <c r="AI111">
        <v>4</v>
      </c>
      <c r="AJ111">
        <v>0</v>
      </c>
      <c r="AK111">
        <v>0</v>
      </c>
      <c r="AL111">
        <v>1</v>
      </c>
      <c r="AM111">
        <v>4</v>
      </c>
      <c r="AN111">
        <v>2</v>
      </c>
      <c r="AO111">
        <v>8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0.14285714285714279</v>
      </c>
      <c r="AV111">
        <v>7.1428571428571425E-2</v>
      </c>
      <c r="AW111">
        <v>7.1428571428571425E-2</v>
      </c>
      <c r="AX111">
        <v>0.14285714285714279</v>
      </c>
      <c r="AY111">
        <v>0</v>
      </c>
      <c r="AZ111">
        <v>7.1428571428571425E-2</v>
      </c>
      <c r="BA111">
        <v>0.5</v>
      </c>
      <c r="BB111">
        <v>1.055555555555556</v>
      </c>
      <c r="BC111">
        <v>0</v>
      </c>
      <c r="BD111">
        <v>0.6696428571428571</v>
      </c>
      <c r="BE111">
        <v>4</v>
      </c>
      <c r="BF111">
        <v>0.55629960317460314</v>
      </c>
      <c r="BG111">
        <v>0.56999999999999995</v>
      </c>
      <c r="BH111" t="s">
        <v>71</v>
      </c>
      <c r="BI111">
        <v>0.56000000000000005</v>
      </c>
      <c r="BJ111" t="s">
        <v>71</v>
      </c>
      <c r="BK111" s="2">
        <f t="shared" si="3"/>
        <v>9.9999999999998979E-3</v>
      </c>
      <c r="BL111" t="b">
        <f t="shared" si="4"/>
        <v>1</v>
      </c>
    </row>
    <row r="112" spans="1:64" x14ac:dyDescent="0.35">
      <c r="A112" t="s">
        <v>355</v>
      </c>
      <c r="B112" t="s">
        <v>356</v>
      </c>
      <c r="C112">
        <v>2015</v>
      </c>
      <c r="D112" t="s">
        <v>357</v>
      </c>
      <c r="E112" t="s">
        <v>358</v>
      </c>
      <c r="F112" t="s">
        <v>66</v>
      </c>
      <c r="G112" t="s">
        <v>101</v>
      </c>
      <c r="H112" t="s">
        <v>348</v>
      </c>
      <c r="I112" t="s">
        <v>359</v>
      </c>
      <c r="J112" t="s">
        <v>70</v>
      </c>
      <c r="L112">
        <v>3</v>
      </c>
      <c r="M112" t="b">
        <v>0</v>
      </c>
      <c r="N112">
        <v>1</v>
      </c>
      <c r="O112">
        <v>2</v>
      </c>
      <c r="P112">
        <v>11</v>
      </c>
      <c r="Q112">
        <v>5</v>
      </c>
      <c r="R112">
        <v>6</v>
      </c>
      <c r="S112">
        <v>6</v>
      </c>
      <c r="T112">
        <v>45</v>
      </c>
      <c r="U112">
        <v>607</v>
      </c>
      <c r="V112">
        <v>187</v>
      </c>
      <c r="W112">
        <v>30</v>
      </c>
      <c r="X112">
        <v>6.2333333333333334</v>
      </c>
      <c r="Y112">
        <v>5</v>
      </c>
      <c r="Z112">
        <v>119</v>
      </c>
      <c r="AA112">
        <v>1</v>
      </c>
      <c r="AB112">
        <v>1</v>
      </c>
      <c r="AC112">
        <v>5</v>
      </c>
      <c r="AD112">
        <v>4</v>
      </c>
      <c r="AE112">
        <v>13</v>
      </c>
      <c r="AF112">
        <v>1</v>
      </c>
      <c r="AG112">
        <v>98</v>
      </c>
      <c r="AH112">
        <v>1</v>
      </c>
      <c r="AI112">
        <v>2</v>
      </c>
      <c r="AJ112">
        <v>4</v>
      </c>
      <c r="AK112">
        <v>13</v>
      </c>
      <c r="AL112">
        <v>5</v>
      </c>
      <c r="AM112">
        <v>15</v>
      </c>
      <c r="AN112">
        <v>7</v>
      </c>
      <c r="AO112">
        <v>218</v>
      </c>
      <c r="AP112">
        <v>10</v>
      </c>
      <c r="AQ112">
        <v>133</v>
      </c>
      <c r="AR112">
        <v>0.1960461285008237</v>
      </c>
      <c r="AS112">
        <v>1.6474464579901149E-3</v>
      </c>
      <c r="AT112">
        <v>2.1416803953871501E-2</v>
      </c>
      <c r="AU112">
        <v>0.16144975288303129</v>
      </c>
      <c r="AV112">
        <v>3.2948929159802311E-3</v>
      </c>
      <c r="AW112">
        <v>2.4711696869851731E-2</v>
      </c>
      <c r="AX112">
        <v>0.35914332784184522</v>
      </c>
      <c r="AY112">
        <v>0.21911037891268531</v>
      </c>
      <c r="AZ112">
        <v>0.33443163097199341</v>
      </c>
      <c r="BA112">
        <v>0.83333333333333337</v>
      </c>
      <c r="BB112">
        <v>0.87222222222222223</v>
      </c>
      <c r="BC112">
        <v>0.66666666666666663</v>
      </c>
      <c r="BD112">
        <v>0.83401976935749589</v>
      </c>
      <c r="BE112">
        <v>4</v>
      </c>
      <c r="BF112">
        <v>0.80156049789492956</v>
      </c>
      <c r="BG112">
        <v>0.8</v>
      </c>
      <c r="BH112" t="s">
        <v>164</v>
      </c>
      <c r="BI112">
        <v>0.8</v>
      </c>
      <c r="BJ112" t="s">
        <v>164</v>
      </c>
      <c r="BK112" s="2">
        <f t="shared" si="3"/>
        <v>0</v>
      </c>
      <c r="BL112" t="b">
        <f t="shared" si="4"/>
        <v>1</v>
      </c>
    </row>
    <row r="113" spans="1:64" x14ac:dyDescent="0.35">
      <c r="A113" t="s">
        <v>360</v>
      </c>
      <c r="B113" t="s">
        <v>356</v>
      </c>
      <c r="C113">
        <v>2019</v>
      </c>
      <c r="D113" t="s">
        <v>357</v>
      </c>
      <c r="E113" t="s">
        <v>358</v>
      </c>
      <c r="F113" t="s">
        <v>66</v>
      </c>
      <c r="G113" t="s">
        <v>101</v>
      </c>
      <c r="H113" t="s">
        <v>348</v>
      </c>
      <c r="I113" t="s">
        <v>359</v>
      </c>
      <c r="J113" t="s">
        <v>70</v>
      </c>
      <c r="L113">
        <v>3</v>
      </c>
      <c r="M113" t="b">
        <v>0</v>
      </c>
      <c r="N113">
        <v>3</v>
      </c>
      <c r="O113">
        <v>1</v>
      </c>
      <c r="P113">
        <v>4</v>
      </c>
      <c r="Q113">
        <v>6</v>
      </c>
      <c r="R113">
        <v>-2</v>
      </c>
      <c r="S113">
        <v>3</v>
      </c>
      <c r="T113">
        <v>39</v>
      </c>
      <c r="U113">
        <v>735</v>
      </c>
      <c r="V113">
        <v>125</v>
      </c>
      <c r="W113">
        <v>25</v>
      </c>
      <c r="X113">
        <v>5</v>
      </c>
      <c r="Y113">
        <v>5</v>
      </c>
      <c r="Z113">
        <v>80</v>
      </c>
      <c r="AA113">
        <v>0</v>
      </c>
      <c r="AB113">
        <v>0</v>
      </c>
      <c r="AC113">
        <v>2</v>
      </c>
      <c r="AD113">
        <v>2</v>
      </c>
      <c r="AE113">
        <v>58</v>
      </c>
      <c r="AF113">
        <v>2</v>
      </c>
      <c r="AG113">
        <v>11</v>
      </c>
      <c r="AH113">
        <v>1</v>
      </c>
      <c r="AI113">
        <v>6</v>
      </c>
      <c r="AJ113">
        <v>2</v>
      </c>
      <c r="AK113">
        <v>9</v>
      </c>
      <c r="AL113">
        <v>3</v>
      </c>
      <c r="AM113">
        <v>15</v>
      </c>
      <c r="AN113">
        <v>7</v>
      </c>
      <c r="AO113">
        <v>91</v>
      </c>
      <c r="AP113">
        <v>7</v>
      </c>
      <c r="AQ113">
        <v>138</v>
      </c>
      <c r="AR113">
        <v>0.108843537414966</v>
      </c>
      <c r="AS113">
        <v>0</v>
      </c>
      <c r="AT113">
        <v>7.8911564625850333E-2</v>
      </c>
      <c r="AU113">
        <v>1.4965986394557819E-2</v>
      </c>
      <c r="AV113">
        <v>8.1632653061224497E-3</v>
      </c>
      <c r="AW113">
        <v>2.0408163265306121E-2</v>
      </c>
      <c r="AX113">
        <v>0.1238095238095238</v>
      </c>
      <c r="AY113">
        <v>0.1877551020408163</v>
      </c>
      <c r="AZ113">
        <v>0.1034013605442177</v>
      </c>
      <c r="BA113">
        <v>0.33333333333333331</v>
      </c>
      <c r="BB113">
        <v>0.66666666666666663</v>
      </c>
      <c r="BC113">
        <v>0.46666666666666667</v>
      </c>
      <c r="BD113">
        <v>0.68962585034013602</v>
      </c>
      <c r="BE113">
        <v>4</v>
      </c>
      <c r="BF113">
        <v>0.5390731292517007</v>
      </c>
      <c r="BG113">
        <v>0.54</v>
      </c>
      <c r="BH113" t="s">
        <v>71</v>
      </c>
      <c r="BI113">
        <v>0.54</v>
      </c>
      <c r="BJ113" t="s">
        <v>71</v>
      </c>
      <c r="BK113" s="2">
        <f t="shared" si="3"/>
        <v>0</v>
      </c>
      <c r="BL113" t="b">
        <f t="shared" si="4"/>
        <v>1</v>
      </c>
    </row>
    <row r="114" spans="1:64" x14ac:dyDescent="0.35">
      <c r="A114" t="s">
        <v>361</v>
      </c>
      <c r="B114" t="s">
        <v>362</v>
      </c>
      <c r="C114">
        <v>2014</v>
      </c>
      <c r="D114" t="s">
        <v>363</v>
      </c>
      <c r="E114" t="s">
        <v>364</v>
      </c>
      <c r="F114" t="s">
        <v>66</v>
      </c>
      <c r="G114" t="s">
        <v>101</v>
      </c>
      <c r="H114" t="s">
        <v>365</v>
      </c>
      <c r="I114" t="s">
        <v>366</v>
      </c>
      <c r="J114" t="s">
        <v>70</v>
      </c>
      <c r="L114">
        <v>2</v>
      </c>
      <c r="M114" t="b">
        <v>1</v>
      </c>
      <c r="N114">
        <v>1</v>
      </c>
      <c r="O114">
        <v>2</v>
      </c>
      <c r="P114">
        <v>9</v>
      </c>
      <c r="Q114">
        <v>2</v>
      </c>
      <c r="R114">
        <v>7</v>
      </c>
      <c r="S114">
        <v>6</v>
      </c>
      <c r="T114">
        <v>27</v>
      </c>
      <c r="U114">
        <v>177</v>
      </c>
      <c r="V114">
        <v>137</v>
      </c>
      <c r="W114">
        <v>20</v>
      </c>
      <c r="X114">
        <v>6.85</v>
      </c>
      <c r="Y114">
        <v>5</v>
      </c>
      <c r="Z114">
        <v>31</v>
      </c>
      <c r="AA114">
        <v>1</v>
      </c>
      <c r="AB114">
        <v>7</v>
      </c>
      <c r="AC114">
        <v>2</v>
      </c>
      <c r="AD114">
        <v>2</v>
      </c>
      <c r="AE114">
        <v>5</v>
      </c>
      <c r="AF114">
        <v>1</v>
      </c>
      <c r="AG114">
        <v>21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7</v>
      </c>
      <c r="AO114">
        <v>59</v>
      </c>
      <c r="AP114">
        <v>8</v>
      </c>
      <c r="AQ114">
        <v>43</v>
      </c>
      <c r="AR114">
        <v>0.1751412429378531</v>
      </c>
      <c r="AS114">
        <v>3.954802259887006E-2</v>
      </c>
      <c r="AT114">
        <v>2.8248587570621469E-2</v>
      </c>
      <c r="AU114">
        <v>0.1186440677966102</v>
      </c>
      <c r="AV114">
        <v>0</v>
      </c>
      <c r="AW114">
        <v>0</v>
      </c>
      <c r="AX114">
        <v>0.33333333333333331</v>
      </c>
      <c r="AY114">
        <v>0.24293785310734459</v>
      </c>
      <c r="AZ114">
        <v>0.33333333333333331</v>
      </c>
      <c r="BA114">
        <v>0.83333333333333337</v>
      </c>
      <c r="BB114">
        <v>0.97499999999999998</v>
      </c>
      <c r="BC114">
        <v>0.53333333333333333</v>
      </c>
      <c r="BD114">
        <v>0.83333333333333326</v>
      </c>
      <c r="BE114">
        <v>4</v>
      </c>
      <c r="BF114">
        <v>0.79374999999999996</v>
      </c>
      <c r="BG114">
        <v>0.79</v>
      </c>
      <c r="BH114" t="s">
        <v>86</v>
      </c>
      <c r="BI114">
        <v>0.79</v>
      </c>
      <c r="BJ114" t="s">
        <v>86</v>
      </c>
      <c r="BK114" s="2">
        <f t="shared" si="3"/>
        <v>0</v>
      </c>
      <c r="BL114" t="b">
        <f t="shared" si="4"/>
        <v>1</v>
      </c>
    </row>
    <row r="115" spans="1:64" x14ac:dyDescent="0.35">
      <c r="A115" t="s">
        <v>367</v>
      </c>
      <c r="B115" t="s">
        <v>362</v>
      </c>
      <c r="C115">
        <v>2015</v>
      </c>
      <c r="D115" t="s">
        <v>363</v>
      </c>
      <c r="E115" t="s">
        <v>364</v>
      </c>
      <c r="F115" t="s">
        <v>66</v>
      </c>
      <c r="G115" t="s">
        <v>101</v>
      </c>
      <c r="H115" t="s">
        <v>365</v>
      </c>
      <c r="I115" t="s">
        <v>366</v>
      </c>
      <c r="J115" t="s">
        <v>70</v>
      </c>
      <c r="L115">
        <v>2</v>
      </c>
      <c r="M115" t="b">
        <v>1</v>
      </c>
      <c r="N115">
        <v>1</v>
      </c>
      <c r="O115">
        <v>2</v>
      </c>
      <c r="P115">
        <v>12</v>
      </c>
      <c r="Q115">
        <v>1</v>
      </c>
      <c r="R115">
        <v>11</v>
      </c>
      <c r="S115">
        <v>7</v>
      </c>
      <c r="T115">
        <v>33</v>
      </c>
      <c r="U115">
        <v>303</v>
      </c>
      <c r="V115">
        <v>159</v>
      </c>
      <c r="W115">
        <v>23</v>
      </c>
      <c r="X115">
        <v>6.9130434782608692</v>
      </c>
      <c r="Y115">
        <v>6</v>
      </c>
      <c r="Z115">
        <v>28</v>
      </c>
      <c r="AA115">
        <v>2</v>
      </c>
      <c r="AB115">
        <v>16</v>
      </c>
      <c r="AC115">
        <v>6</v>
      </c>
      <c r="AD115">
        <v>5</v>
      </c>
      <c r="AE115">
        <v>34</v>
      </c>
      <c r="AF115">
        <v>1</v>
      </c>
      <c r="AG115">
        <v>18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9</v>
      </c>
      <c r="AO115">
        <v>62</v>
      </c>
      <c r="AP115">
        <v>13</v>
      </c>
      <c r="AQ115">
        <v>78</v>
      </c>
      <c r="AR115">
        <v>9.2409240924092403E-2</v>
      </c>
      <c r="AS115">
        <v>5.2805280528052813E-2</v>
      </c>
      <c r="AT115">
        <v>0.1122112211221122</v>
      </c>
      <c r="AU115">
        <v>5.9405940594059403E-2</v>
      </c>
      <c r="AV115">
        <v>0</v>
      </c>
      <c r="AW115">
        <v>0</v>
      </c>
      <c r="AX115">
        <v>0.2046204620462046</v>
      </c>
      <c r="AY115">
        <v>0.25742574257425738</v>
      </c>
      <c r="AZ115">
        <v>0.2046204620462046</v>
      </c>
      <c r="BA115">
        <v>1</v>
      </c>
      <c r="BB115">
        <v>0.98550724637681153</v>
      </c>
      <c r="BC115">
        <v>0.8666666666666667</v>
      </c>
      <c r="BD115">
        <v>0.75288778877887785</v>
      </c>
      <c r="BE115">
        <v>4</v>
      </c>
      <c r="BF115">
        <v>0.90126542545558896</v>
      </c>
      <c r="BG115">
        <v>0.92</v>
      </c>
      <c r="BH115" t="s">
        <v>164</v>
      </c>
      <c r="BI115">
        <v>0.9</v>
      </c>
      <c r="BJ115" t="s">
        <v>164</v>
      </c>
      <c r="BK115" s="2">
        <f t="shared" si="3"/>
        <v>2.0000000000000018E-2</v>
      </c>
      <c r="BL115" t="b">
        <f t="shared" si="4"/>
        <v>1</v>
      </c>
    </row>
    <row r="116" spans="1:64" x14ac:dyDescent="0.35">
      <c r="A116" t="s">
        <v>368</v>
      </c>
      <c r="B116" t="s">
        <v>362</v>
      </c>
      <c r="C116">
        <v>2016</v>
      </c>
      <c r="D116" t="s">
        <v>363</v>
      </c>
      <c r="E116" t="s">
        <v>364</v>
      </c>
      <c r="F116" t="s">
        <v>66</v>
      </c>
      <c r="G116" t="s">
        <v>101</v>
      </c>
      <c r="H116" t="s">
        <v>365</v>
      </c>
      <c r="I116" t="s">
        <v>366</v>
      </c>
      <c r="J116" t="s">
        <v>70</v>
      </c>
      <c r="L116">
        <v>2</v>
      </c>
      <c r="M116" t="b">
        <v>1</v>
      </c>
      <c r="N116">
        <v>1</v>
      </c>
      <c r="O116">
        <v>1</v>
      </c>
      <c r="P116">
        <v>6</v>
      </c>
      <c r="Q116">
        <v>3</v>
      </c>
      <c r="R116">
        <v>3</v>
      </c>
      <c r="S116">
        <v>4</v>
      </c>
      <c r="T116">
        <v>21</v>
      </c>
      <c r="U116">
        <v>336</v>
      </c>
      <c r="V116">
        <v>88</v>
      </c>
      <c r="W116">
        <v>17</v>
      </c>
      <c r="X116">
        <v>5.1764705882352944</v>
      </c>
      <c r="Y116">
        <v>4</v>
      </c>
      <c r="Z116">
        <v>70</v>
      </c>
      <c r="AA116">
        <v>0</v>
      </c>
      <c r="AB116">
        <v>0</v>
      </c>
      <c r="AC116">
        <v>1</v>
      </c>
      <c r="AD116">
        <v>1</v>
      </c>
      <c r="AE116">
        <v>25</v>
      </c>
      <c r="AF116">
        <v>1</v>
      </c>
      <c r="AG116">
        <v>17</v>
      </c>
      <c r="AH116">
        <v>0</v>
      </c>
      <c r="AI116">
        <v>0</v>
      </c>
      <c r="AJ116">
        <v>2</v>
      </c>
      <c r="AK116">
        <v>5</v>
      </c>
      <c r="AL116">
        <v>2</v>
      </c>
      <c r="AM116">
        <v>5</v>
      </c>
      <c r="AN116">
        <v>5</v>
      </c>
      <c r="AO116">
        <v>87</v>
      </c>
      <c r="AP116">
        <v>5</v>
      </c>
      <c r="AQ116">
        <v>95</v>
      </c>
      <c r="AR116">
        <v>0.20833333333333329</v>
      </c>
      <c r="AS116">
        <v>0</v>
      </c>
      <c r="AT116">
        <v>7.4404761904761904E-2</v>
      </c>
      <c r="AU116">
        <v>5.0595238095238103E-2</v>
      </c>
      <c r="AV116">
        <v>0</v>
      </c>
      <c r="AW116">
        <v>1.488095238095238E-2</v>
      </c>
      <c r="AX116">
        <v>0.25892857142857151</v>
      </c>
      <c r="AY116">
        <v>0.28273809523809518</v>
      </c>
      <c r="AZ116">
        <v>0.2440476190476191</v>
      </c>
      <c r="BA116">
        <v>0.5</v>
      </c>
      <c r="BB116">
        <v>0.6960784313725491</v>
      </c>
      <c r="BC116">
        <v>0.33333333333333331</v>
      </c>
      <c r="BD116">
        <v>0.77752976190476186</v>
      </c>
      <c r="BE116">
        <v>4</v>
      </c>
      <c r="BF116">
        <v>0.57673538165266103</v>
      </c>
      <c r="BG116">
        <v>0.56999999999999995</v>
      </c>
      <c r="BH116" t="s">
        <v>71</v>
      </c>
      <c r="BI116">
        <v>0.57999999999999996</v>
      </c>
      <c r="BJ116" t="s">
        <v>71</v>
      </c>
      <c r="BK116" s="2">
        <f t="shared" si="3"/>
        <v>-1.0000000000000009E-2</v>
      </c>
      <c r="BL116" t="b">
        <f t="shared" si="4"/>
        <v>1</v>
      </c>
    </row>
    <row r="117" spans="1:64" x14ac:dyDescent="0.35">
      <c r="A117" t="s">
        <v>369</v>
      </c>
      <c r="B117" t="s">
        <v>362</v>
      </c>
      <c r="C117">
        <v>2017</v>
      </c>
      <c r="D117" t="s">
        <v>363</v>
      </c>
      <c r="E117" t="s">
        <v>364</v>
      </c>
      <c r="F117" t="s">
        <v>66</v>
      </c>
      <c r="G117" t="s">
        <v>101</v>
      </c>
      <c r="H117" t="s">
        <v>365</v>
      </c>
      <c r="I117" t="s">
        <v>366</v>
      </c>
      <c r="J117" t="s">
        <v>70</v>
      </c>
      <c r="L117">
        <v>2</v>
      </c>
      <c r="M117" t="b">
        <v>1</v>
      </c>
      <c r="N117">
        <v>1</v>
      </c>
      <c r="O117">
        <v>3</v>
      </c>
      <c r="P117">
        <v>6</v>
      </c>
      <c r="Q117">
        <v>2</v>
      </c>
      <c r="R117">
        <v>4</v>
      </c>
      <c r="S117">
        <v>6</v>
      </c>
      <c r="T117">
        <v>21</v>
      </c>
      <c r="U117">
        <v>286</v>
      </c>
      <c r="V117">
        <v>94</v>
      </c>
      <c r="W117">
        <v>16</v>
      </c>
      <c r="X117">
        <v>5.875</v>
      </c>
      <c r="Y117">
        <v>3</v>
      </c>
      <c r="Z117">
        <v>33</v>
      </c>
      <c r="AA117">
        <v>2</v>
      </c>
      <c r="AB117">
        <v>11</v>
      </c>
      <c r="AC117">
        <v>4</v>
      </c>
      <c r="AD117">
        <v>4</v>
      </c>
      <c r="AE117">
        <v>28</v>
      </c>
      <c r="AF117">
        <v>1</v>
      </c>
      <c r="AG117">
        <v>20</v>
      </c>
      <c r="AH117">
        <v>0</v>
      </c>
      <c r="AI117">
        <v>0</v>
      </c>
      <c r="AJ117">
        <v>1</v>
      </c>
      <c r="AK117">
        <v>3</v>
      </c>
      <c r="AL117">
        <v>2</v>
      </c>
      <c r="AM117">
        <v>26</v>
      </c>
      <c r="AN117">
        <v>6</v>
      </c>
      <c r="AO117">
        <v>64</v>
      </c>
      <c r="AP117">
        <v>9</v>
      </c>
      <c r="AQ117">
        <v>72</v>
      </c>
      <c r="AR117">
        <v>0.1153846153846154</v>
      </c>
      <c r="AS117">
        <v>3.8461538461538457E-2</v>
      </c>
      <c r="AT117">
        <v>9.7902097902097904E-2</v>
      </c>
      <c r="AU117">
        <v>6.9930069930069935E-2</v>
      </c>
      <c r="AV117">
        <v>0</v>
      </c>
      <c r="AW117">
        <v>9.0909090909090912E-2</v>
      </c>
      <c r="AX117">
        <v>0.2237762237762238</v>
      </c>
      <c r="AY117">
        <v>0.25174825174825177</v>
      </c>
      <c r="AZ117">
        <v>0.13286713286713289</v>
      </c>
      <c r="BA117">
        <v>0.83333333333333337</v>
      </c>
      <c r="BB117">
        <v>0.8125</v>
      </c>
      <c r="BC117">
        <v>0.6</v>
      </c>
      <c r="BD117">
        <v>0.70804195804195802</v>
      </c>
      <c r="BE117">
        <v>4</v>
      </c>
      <c r="BF117">
        <v>0.73846882284382287</v>
      </c>
      <c r="BG117">
        <v>0.76</v>
      </c>
      <c r="BH117" t="s">
        <v>86</v>
      </c>
      <c r="BI117">
        <v>0.74</v>
      </c>
      <c r="BJ117" t="s">
        <v>86</v>
      </c>
      <c r="BK117" s="2">
        <f t="shared" si="3"/>
        <v>2.0000000000000018E-2</v>
      </c>
      <c r="BL117" t="b">
        <f t="shared" si="4"/>
        <v>1</v>
      </c>
    </row>
    <row r="118" spans="1:64" x14ac:dyDescent="0.35">
      <c r="A118" t="s">
        <v>370</v>
      </c>
      <c r="B118" t="s">
        <v>362</v>
      </c>
      <c r="C118">
        <v>2020</v>
      </c>
      <c r="D118" t="s">
        <v>363</v>
      </c>
      <c r="E118" t="s">
        <v>364</v>
      </c>
      <c r="F118" t="s">
        <v>66</v>
      </c>
      <c r="G118" t="s">
        <v>101</v>
      </c>
      <c r="H118" t="s">
        <v>365</v>
      </c>
      <c r="I118" t="s">
        <v>366</v>
      </c>
      <c r="J118" t="s">
        <v>70</v>
      </c>
      <c r="L118">
        <v>2</v>
      </c>
      <c r="M118" t="b">
        <v>1</v>
      </c>
      <c r="N118">
        <v>1</v>
      </c>
      <c r="O118">
        <v>3</v>
      </c>
      <c r="P118">
        <v>6</v>
      </c>
      <c r="Q118">
        <v>3</v>
      </c>
      <c r="R118">
        <v>3</v>
      </c>
      <c r="S118">
        <v>5</v>
      </c>
      <c r="T118">
        <v>28</v>
      </c>
      <c r="U118">
        <v>501</v>
      </c>
      <c r="V118">
        <v>122</v>
      </c>
      <c r="W118">
        <v>20</v>
      </c>
      <c r="X118">
        <v>6.1</v>
      </c>
      <c r="Y118">
        <v>4</v>
      </c>
      <c r="Z118">
        <v>48</v>
      </c>
      <c r="AA118">
        <v>1</v>
      </c>
      <c r="AB118">
        <v>21</v>
      </c>
      <c r="AC118">
        <v>1</v>
      </c>
      <c r="AD118">
        <v>1</v>
      </c>
      <c r="AE118">
        <v>44</v>
      </c>
      <c r="AF118">
        <v>2</v>
      </c>
      <c r="AG118">
        <v>61</v>
      </c>
      <c r="AH118">
        <v>0</v>
      </c>
      <c r="AI118">
        <v>0</v>
      </c>
      <c r="AJ118">
        <v>1</v>
      </c>
      <c r="AK118">
        <v>3</v>
      </c>
      <c r="AL118">
        <v>2</v>
      </c>
      <c r="AM118">
        <v>9</v>
      </c>
      <c r="AN118">
        <v>7</v>
      </c>
      <c r="AO118">
        <v>130</v>
      </c>
      <c r="AP118">
        <v>6</v>
      </c>
      <c r="AQ118">
        <v>113</v>
      </c>
      <c r="AR118">
        <v>9.580838323353294E-2</v>
      </c>
      <c r="AS118">
        <v>4.1916167664670663E-2</v>
      </c>
      <c r="AT118">
        <v>8.7824351297405193E-2</v>
      </c>
      <c r="AU118">
        <v>0.1217564870259481</v>
      </c>
      <c r="AV118">
        <v>0</v>
      </c>
      <c r="AW118">
        <v>1.7964071856287421E-2</v>
      </c>
      <c r="AX118">
        <v>0.25948103792415173</v>
      </c>
      <c r="AY118">
        <v>0.2255489021956088</v>
      </c>
      <c r="AZ118">
        <v>0.24151696606786421</v>
      </c>
      <c r="BA118">
        <v>0.66666666666666663</v>
      </c>
      <c r="BB118">
        <v>0.85</v>
      </c>
      <c r="BC118">
        <v>0.4</v>
      </c>
      <c r="BD118">
        <v>0.77594810379241508</v>
      </c>
      <c r="BE118">
        <v>4</v>
      </c>
      <c r="BF118">
        <v>0.67315369261477043</v>
      </c>
      <c r="BG118">
        <v>0.67</v>
      </c>
      <c r="BH118" t="s">
        <v>86</v>
      </c>
      <c r="BI118">
        <v>0.67</v>
      </c>
      <c r="BJ118" t="s">
        <v>86</v>
      </c>
      <c r="BK118" s="2">
        <f t="shared" si="3"/>
        <v>0</v>
      </c>
      <c r="BL118" t="b">
        <f t="shared" si="4"/>
        <v>1</v>
      </c>
    </row>
    <row r="119" spans="1:64" x14ac:dyDescent="0.35">
      <c r="A119" t="s">
        <v>371</v>
      </c>
      <c r="B119" t="s">
        <v>372</v>
      </c>
      <c r="C119">
        <v>2017</v>
      </c>
      <c r="D119" t="s">
        <v>373</v>
      </c>
      <c r="E119" t="s">
        <v>374</v>
      </c>
      <c r="F119" t="s">
        <v>66</v>
      </c>
      <c r="G119" t="s">
        <v>101</v>
      </c>
      <c r="H119" t="s">
        <v>365</v>
      </c>
      <c r="I119" t="s">
        <v>375</v>
      </c>
      <c r="J119" t="s">
        <v>70</v>
      </c>
      <c r="L119">
        <v>1</v>
      </c>
      <c r="M119" t="b">
        <v>0</v>
      </c>
      <c r="N119">
        <v>1</v>
      </c>
      <c r="O119">
        <v>1</v>
      </c>
      <c r="P119">
        <v>7</v>
      </c>
      <c r="Q119">
        <v>4</v>
      </c>
      <c r="R119">
        <v>3</v>
      </c>
      <c r="S119">
        <v>4</v>
      </c>
      <c r="T119">
        <v>27</v>
      </c>
      <c r="U119">
        <v>814</v>
      </c>
      <c r="V119">
        <v>85</v>
      </c>
      <c r="W119">
        <v>17</v>
      </c>
      <c r="X119">
        <v>5</v>
      </c>
      <c r="Y119">
        <v>3</v>
      </c>
      <c r="Z119">
        <v>126</v>
      </c>
      <c r="AA119">
        <v>1</v>
      </c>
      <c r="AB119">
        <v>18</v>
      </c>
      <c r="AC119">
        <v>2</v>
      </c>
      <c r="AD119">
        <v>2</v>
      </c>
      <c r="AE119">
        <v>199</v>
      </c>
      <c r="AF119">
        <v>0</v>
      </c>
      <c r="AG119">
        <v>0</v>
      </c>
      <c r="AH119">
        <v>2</v>
      </c>
      <c r="AI119">
        <v>46</v>
      </c>
      <c r="AJ119">
        <v>1</v>
      </c>
      <c r="AK119">
        <v>8</v>
      </c>
      <c r="AL119">
        <v>3</v>
      </c>
      <c r="AM119">
        <v>54</v>
      </c>
      <c r="AN119">
        <v>4</v>
      </c>
      <c r="AO119">
        <v>144</v>
      </c>
      <c r="AP119">
        <v>6</v>
      </c>
      <c r="AQ119">
        <v>343</v>
      </c>
      <c r="AR119">
        <v>0.15479115479115479</v>
      </c>
      <c r="AS119">
        <v>2.2113022113022109E-2</v>
      </c>
      <c r="AT119">
        <v>0.2444717444717445</v>
      </c>
      <c r="AU119">
        <v>0</v>
      </c>
      <c r="AV119">
        <v>5.6511056511056507E-2</v>
      </c>
      <c r="AW119">
        <v>6.6339066339066333E-2</v>
      </c>
      <c r="AX119">
        <v>0.1769041769041769</v>
      </c>
      <c r="AY119">
        <v>0.42137592137592139</v>
      </c>
      <c r="AZ119">
        <v>0.11056511056511061</v>
      </c>
      <c r="BA119">
        <v>0.5</v>
      </c>
      <c r="BB119">
        <v>0.66666666666666663</v>
      </c>
      <c r="BC119">
        <v>0.4</v>
      </c>
      <c r="BD119">
        <v>0.6941031941031941</v>
      </c>
      <c r="BE119">
        <v>4</v>
      </c>
      <c r="BF119">
        <v>0.56519246519246513</v>
      </c>
      <c r="BG119">
        <v>0.56999999999999995</v>
      </c>
      <c r="BH119" t="s">
        <v>71</v>
      </c>
      <c r="BI119">
        <v>0.56999999999999995</v>
      </c>
      <c r="BJ119" t="s">
        <v>71</v>
      </c>
      <c r="BK119" s="2">
        <f t="shared" si="3"/>
        <v>0</v>
      </c>
      <c r="BL119" t="b">
        <f t="shared" si="4"/>
        <v>1</v>
      </c>
    </row>
    <row r="120" spans="1:64" x14ac:dyDescent="0.35">
      <c r="A120" t="s">
        <v>376</v>
      </c>
      <c r="B120" t="s">
        <v>372</v>
      </c>
      <c r="C120">
        <v>2022</v>
      </c>
      <c r="D120" t="s">
        <v>373</v>
      </c>
      <c r="E120" t="s">
        <v>374</v>
      </c>
      <c r="F120" t="s">
        <v>66</v>
      </c>
      <c r="G120" t="s">
        <v>101</v>
      </c>
      <c r="H120" t="s">
        <v>365</v>
      </c>
      <c r="I120" t="s">
        <v>375</v>
      </c>
      <c r="J120" t="s">
        <v>70</v>
      </c>
      <c r="L120">
        <v>1</v>
      </c>
      <c r="M120" t="b">
        <v>0</v>
      </c>
      <c r="N120">
        <v>1</v>
      </c>
      <c r="O120">
        <v>1</v>
      </c>
      <c r="P120">
        <v>4</v>
      </c>
      <c r="Q120">
        <v>3</v>
      </c>
      <c r="R120">
        <v>1</v>
      </c>
      <c r="S120">
        <v>4</v>
      </c>
      <c r="T120">
        <v>22</v>
      </c>
      <c r="U120">
        <v>237</v>
      </c>
      <c r="V120">
        <v>84</v>
      </c>
      <c r="W120">
        <v>17</v>
      </c>
      <c r="X120">
        <v>4.9411764705882364</v>
      </c>
      <c r="Y120">
        <v>2</v>
      </c>
      <c r="Z120">
        <v>32</v>
      </c>
      <c r="AA120">
        <v>0</v>
      </c>
      <c r="AB120">
        <v>0</v>
      </c>
      <c r="AC120">
        <v>2</v>
      </c>
      <c r="AD120">
        <v>2</v>
      </c>
      <c r="AE120">
        <v>64</v>
      </c>
      <c r="AF120">
        <v>3</v>
      </c>
      <c r="AG120">
        <v>68</v>
      </c>
      <c r="AH120">
        <v>2</v>
      </c>
      <c r="AI120">
        <v>8</v>
      </c>
      <c r="AJ120">
        <v>0</v>
      </c>
      <c r="AK120">
        <v>0</v>
      </c>
      <c r="AL120">
        <v>2</v>
      </c>
      <c r="AM120">
        <v>8</v>
      </c>
      <c r="AN120">
        <v>5</v>
      </c>
      <c r="AO120">
        <v>100</v>
      </c>
      <c r="AP120">
        <v>4</v>
      </c>
      <c r="AQ120">
        <v>96</v>
      </c>
      <c r="AR120">
        <v>0.13502109704641349</v>
      </c>
      <c r="AS120">
        <v>0</v>
      </c>
      <c r="AT120">
        <v>0.27004219409282698</v>
      </c>
      <c r="AU120">
        <v>0.28691983122362869</v>
      </c>
      <c r="AV120">
        <v>3.3755274261603373E-2</v>
      </c>
      <c r="AW120">
        <v>3.3755274261603373E-2</v>
      </c>
      <c r="AX120">
        <v>0.4219409282700422</v>
      </c>
      <c r="AY120">
        <v>0.4050632911392405</v>
      </c>
      <c r="AZ120">
        <v>0.38818565400843891</v>
      </c>
      <c r="BA120">
        <v>0.5</v>
      </c>
      <c r="BB120">
        <v>0.65686274509803944</v>
      </c>
      <c r="BC120">
        <v>0.26666666666666672</v>
      </c>
      <c r="BD120">
        <v>0.8676160337552743</v>
      </c>
      <c r="BE120">
        <v>4</v>
      </c>
      <c r="BF120">
        <v>0.57278636137999506</v>
      </c>
      <c r="BG120">
        <v>0.57999999999999996</v>
      </c>
      <c r="BH120" t="s">
        <v>71</v>
      </c>
      <c r="BI120">
        <v>0.56999999999999995</v>
      </c>
      <c r="BJ120" t="s">
        <v>71</v>
      </c>
      <c r="BK120" s="2">
        <f t="shared" si="3"/>
        <v>1.0000000000000009E-2</v>
      </c>
      <c r="BL120" t="b">
        <f t="shared" si="4"/>
        <v>1</v>
      </c>
    </row>
    <row r="121" spans="1:64" x14ac:dyDescent="0.35">
      <c r="A121" t="s">
        <v>377</v>
      </c>
      <c r="B121" t="s">
        <v>378</v>
      </c>
      <c r="C121">
        <v>2020</v>
      </c>
      <c r="D121" t="s">
        <v>379</v>
      </c>
      <c r="E121" t="s">
        <v>380</v>
      </c>
      <c r="F121" t="s">
        <v>66</v>
      </c>
      <c r="G121" t="s">
        <v>101</v>
      </c>
      <c r="H121" t="s">
        <v>150</v>
      </c>
      <c r="I121" t="s">
        <v>381</v>
      </c>
      <c r="J121" t="s">
        <v>70</v>
      </c>
      <c r="L121">
        <v>1</v>
      </c>
      <c r="M121" t="b">
        <v>0</v>
      </c>
      <c r="N121">
        <v>1</v>
      </c>
      <c r="O121">
        <v>3</v>
      </c>
      <c r="P121">
        <v>9</v>
      </c>
      <c r="Q121">
        <v>5</v>
      </c>
      <c r="R121">
        <v>4</v>
      </c>
      <c r="S121">
        <v>6</v>
      </c>
      <c r="T121">
        <v>39</v>
      </c>
      <c r="U121">
        <v>689</v>
      </c>
      <c r="V121">
        <v>157</v>
      </c>
      <c r="W121">
        <v>29</v>
      </c>
      <c r="X121">
        <v>5.4137931034482758</v>
      </c>
      <c r="Y121">
        <v>1</v>
      </c>
      <c r="Z121">
        <v>12</v>
      </c>
      <c r="AA121">
        <v>0</v>
      </c>
      <c r="AB121">
        <v>0</v>
      </c>
      <c r="AC121">
        <v>3</v>
      </c>
      <c r="AD121">
        <v>3</v>
      </c>
      <c r="AE121">
        <v>37</v>
      </c>
      <c r="AF121">
        <v>3</v>
      </c>
      <c r="AG121">
        <v>41</v>
      </c>
      <c r="AH121">
        <v>3</v>
      </c>
      <c r="AI121">
        <v>51</v>
      </c>
      <c r="AJ121">
        <v>3</v>
      </c>
      <c r="AK121">
        <v>16</v>
      </c>
      <c r="AL121">
        <v>6</v>
      </c>
      <c r="AM121">
        <v>67</v>
      </c>
      <c r="AN121">
        <v>4</v>
      </c>
      <c r="AO121">
        <v>53</v>
      </c>
      <c r="AP121">
        <v>4</v>
      </c>
      <c r="AQ121">
        <v>49</v>
      </c>
      <c r="AR121">
        <v>1.741654571843251E-2</v>
      </c>
      <c r="AS121">
        <v>0</v>
      </c>
      <c r="AT121">
        <v>5.3701015965166909E-2</v>
      </c>
      <c r="AU121">
        <v>5.9506531204644407E-2</v>
      </c>
      <c r="AV121">
        <v>7.4020319303338175E-2</v>
      </c>
      <c r="AW121">
        <v>9.7242380261248179E-2</v>
      </c>
      <c r="AX121">
        <v>7.6923076923076927E-2</v>
      </c>
      <c r="AY121">
        <v>7.1117561683599423E-2</v>
      </c>
      <c r="AZ121">
        <v>-2.0319303338171248E-2</v>
      </c>
      <c r="BA121">
        <v>0.83333333333333337</v>
      </c>
      <c r="BB121">
        <v>0.73563218390804597</v>
      </c>
      <c r="BC121">
        <v>0.26666666666666672</v>
      </c>
      <c r="BD121">
        <v>0.61230043541364298</v>
      </c>
      <c r="BE121">
        <v>4</v>
      </c>
      <c r="BF121">
        <v>0.6119831548304222</v>
      </c>
      <c r="BG121">
        <v>0.62</v>
      </c>
      <c r="BH121" t="s">
        <v>86</v>
      </c>
      <c r="BI121">
        <v>0.61</v>
      </c>
      <c r="BJ121" t="s">
        <v>86</v>
      </c>
      <c r="BK121" s="2">
        <f t="shared" si="3"/>
        <v>1.0000000000000009E-2</v>
      </c>
      <c r="BL121" t="b">
        <f t="shared" si="4"/>
        <v>1</v>
      </c>
    </row>
    <row r="122" spans="1:64" x14ac:dyDescent="0.35">
      <c r="A122" t="s">
        <v>382</v>
      </c>
      <c r="B122" t="s">
        <v>383</v>
      </c>
      <c r="C122">
        <v>2020</v>
      </c>
      <c r="D122" t="s">
        <v>384</v>
      </c>
      <c r="E122" t="s">
        <v>385</v>
      </c>
      <c r="F122" t="s">
        <v>66</v>
      </c>
      <c r="G122" t="s">
        <v>101</v>
      </c>
      <c r="H122" t="s">
        <v>348</v>
      </c>
      <c r="I122" t="s">
        <v>386</v>
      </c>
      <c r="J122" t="s">
        <v>70</v>
      </c>
      <c r="L122">
        <v>3</v>
      </c>
      <c r="M122" t="b">
        <v>0</v>
      </c>
      <c r="N122">
        <v>1</v>
      </c>
      <c r="O122">
        <v>3</v>
      </c>
      <c r="P122">
        <v>8</v>
      </c>
      <c r="Q122">
        <v>3</v>
      </c>
      <c r="R122">
        <v>5</v>
      </c>
      <c r="S122">
        <v>6</v>
      </c>
      <c r="T122">
        <v>29</v>
      </c>
      <c r="U122">
        <v>302</v>
      </c>
      <c r="V122">
        <v>115</v>
      </c>
      <c r="W122">
        <v>19</v>
      </c>
      <c r="X122">
        <v>6.0526315789473681</v>
      </c>
      <c r="Y122">
        <v>3</v>
      </c>
      <c r="Z122">
        <v>48</v>
      </c>
      <c r="AA122">
        <v>0</v>
      </c>
      <c r="AB122">
        <v>0</v>
      </c>
      <c r="AC122">
        <v>3</v>
      </c>
      <c r="AD122">
        <v>3</v>
      </c>
      <c r="AE122">
        <v>22</v>
      </c>
      <c r="AF122">
        <v>1</v>
      </c>
      <c r="AG122">
        <v>13</v>
      </c>
      <c r="AH122">
        <v>0</v>
      </c>
      <c r="AI122">
        <v>0</v>
      </c>
      <c r="AJ122">
        <v>1</v>
      </c>
      <c r="AK122">
        <v>5</v>
      </c>
      <c r="AL122">
        <v>1</v>
      </c>
      <c r="AM122">
        <v>5</v>
      </c>
      <c r="AN122">
        <v>4</v>
      </c>
      <c r="AO122">
        <v>61</v>
      </c>
      <c r="AP122">
        <v>6</v>
      </c>
      <c r="AQ122">
        <v>70</v>
      </c>
      <c r="AR122">
        <v>0.15894039735099341</v>
      </c>
      <c r="AS122">
        <v>0</v>
      </c>
      <c r="AT122">
        <v>7.2847682119205295E-2</v>
      </c>
      <c r="AU122">
        <v>4.3046357615894038E-2</v>
      </c>
      <c r="AV122">
        <v>0</v>
      </c>
      <c r="AW122">
        <v>1.6556291390728482E-2</v>
      </c>
      <c r="AX122">
        <v>0.20198675496688739</v>
      </c>
      <c r="AY122">
        <v>0.23178807947019869</v>
      </c>
      <c r="AZ122">
        <v>0.18543046357615889</v>
      </c>
      <c r="BA122">
        <v>0.83333333333333337</v>
      </c>
      <c r="BB122">
        <v>0.84210526315789469</v>
      </c>
      <c r="BC122">
        <v>0.4</v>
      </c>
      <c r="BD122">
        <v>0.74089403973509937</v>
      </c>
      <c r="BE122">
        <v>4</v>
      </c>
      <c r="BF122">
        <v>0.70408315905658192</v>
      </c>
      <c r="BG122">
        <v>0.7</v>
      </c>
      <c r="BH122" t="s">
        <v>86</v>
      </c>
      <c r="BI122">
        <v>0.7</v>
      </c>
      <c r="BJ122" t="s">
        <v>86</v>
      </c>
      <c r="BK122" s="2">
        <f t="shared" si="3"/>
        <v>0</v>
      </c>
      <c r="BL122" t="b">
        <f t="shared" si="4"/>
        <v>1</v>
      </c>
    </row>
    <row r="123" spans="1:64" x14ac:dyDescent="0.35">
      <c r="A123" t="s">
        <v>387</v>
      </c>
      <c r="B123" t="s">
        <v>388</v>
      </c>
      <c r="C123">
        <v>2014</v>
      </c>
      <c r="D123" t="s">
        <v>389</v>
      </c>
      <c r="E123" t="s">
        <v>390</v>
      </c>
      <c r="F123" t="s">
        <v>66</v>
      </c>
      <c r="G123" t="s">
        <v>101</v>
      </c>
      <c r="H123" t="s">
        <v>162</v>
      </c>
      <c r="I123" t="s">
        <v>69</v>
      </c>
      <c r="J123" t="s">
        <v>70</v>
      </c>
      <c r="L123">
        <v>1</v>
      </c>
      <c r="M123" t="b">
        <v>0</v>
      </c>
      <c r="N123">
        <v>4</v>
      </c>
      <c r="O123">
        <v>1</v>
      </c>
      <c r="P123">
        <v>3</v>
      </c>
      <c r="Q123">
        <v>2</v>
      </c>
      <c r="R123">
        <v>1</v>
      </c>
      <c r="S123">
        <v>3</v>
      </c>
      <c r="T123">
        <v>16</v>
      </c>
      <c r="U123">
        <v>659</v>
      </c>
      <c r="V123">
        <v>55</v>
      </c>
      <c r="W123">
        <v>12</v>
      </c>
      <c r="X123">
        <v>4.583333333333333</v>
      </c>
      <c r="Y123">
        <v>0</v>
      </c>
      <c r="Z123">
        <v>0</v>
      </c>
      <c r="AA123">
        <v>0</v>
      </c>
      <c r="AB123">
        <v>0</v>
      </c>
      <c r="AC123">
        <v>2</v>
      </c>
      <c r="AD123">
        <v>1</v>
      </c>
      <c r="AE123">
        <v>414</v>
      </c>
      <c r="AF123">
        <v>1</v>
      </c>
      <c r="AG123">
        <v>1</v>
      </c>
      <c r="AH123">
        <v>0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414</v>
      </c>
      <c r="AR123">
        <v>0</v>
      </c>
      <c r="AS123">
        <v>0</v>
      </c>
      <c r="AT123">
        <v>0.62822458270106218</v>
      </c>
      <c r="AU123">
        <v>1.5174506828528069E-3</v>
      </c>
      <c r="AV123">
        <v>0</v>
      </c>
      <c r="AW123">
        <v>1.5174506828528069E-3</v>
      </c>
      <c r="AX123">
        <v>1.5174506828528069E-3</v>
      </c>
      <c r="AY123">
        <v>0.62822458270106218</v>
      </c>
      <c r="AZ123">
        <v>0</v>
      </c>
      <c r="BA123">
        <v>0.33333333333333331</v>
      </c>
      <c r="BB123">
        <v>0.59722222222222221</v>
      </c>
      <c r="BC123">
        <v>6.6666666666666666E-2</v>
      </c>
      <c r="BD123">
        <v>0.625</v>
      </c>
      <c r="BE123">
        <v>4</v>
      </c>
      <c r="BF123">
        <v>0.40555555555555561</v>
      </c>
      <c r="BG123">
        <v>0.44</v>
      </c>
      <c r="BH123" t="s">
        <v>71</v>
      </c>
      <c r="BI123">
        <v>0.41</v>
      </c>
      <c r="BJ123" t="s">
        <v>71</v>
      </c>
      <c r="BK123" s="2">
        <f t="shared" si="3"/>
        <v>3.0000000000000027E-2</v>
      </c>
      <c r="BL123" t="b">
        <f t="shared" si="4"/>
        <v>1</v>
      </c>
    </row>
    <row r="124" spans="1:64" x14ac:dyDescent="0.35">
      <c r="A124" t="s">
        <v>391</v>
      </c>
      <c r="B124" t="s">
        <v>388</v>
      </c>
      <c r="C124">
        <v>2020</v>
      </c>
      <c r="D124" t="s">
        <v>389</v>
      </c>
      <c r="E124" t="s">
        <v>390</v>
      </c>
      <c r="F124" t="s">
        <v>66</v>
      </c>
      <c r="G124" t="s">
        <v>101</v>
      </c>
      <c r="H124" t="s">
        <v>162</v>
      </c>
      <c r="I124" t="s">
        <v>69</v>
      </c>
      <c r="J124" t="s">
        <v>70</v>
      </c>
      <c r="L124">
        <v>1</v>
      </c>
      <c r="M124" t="b">
        <v>0</v>
      </c>
      <c r="N124">
        <v>3</v>
      </c>
      <c r="O124">
        <v>2</v>
      </c>
      <c r="P124">
        <v>8</v>
      </c>
      <c r="Q124">
        <v>5</v>
      </c>
      <c r="R124">
        <v>3</v>
      </c>
      <c r="S124">
        <v>4</v>
      </c>
      <c r="T124">
        <v>29</v>
      </c>
      <c r="U124">
        <v>1446</v>
      </c>
      <c r="V124">
        <v>112</v>
      </c>
      <c r="W124">
        <v>21</v>
      </c>
      <c r="X124">
        <v>5.333333333333333</v>
      </c>
      <c r="Y124">
        <v>5</v>
      </c>
      <c r="Z124">
        <v>277</v>
      </c>
      <c r="AA124">
        <v>1</v>
      </c>
      <c r="AB124">
        <v>10</v>
      </c>
      <c r="AC124">
        <v>2</v>
      </c>
      <c r="AD124">
        <v>2</v>
      </c>
      <c r="AE124">
        <v>885</v>
      </c>
      <c r="AF124">
        <v>2</v>
      </c>
      <c r="AG124">
        <v>3</v>
      </c>
      <c r="AH124">
        <v>1</v>
      </c>
      <c r="AI124">
        <v>13</v>
      </c>
      <c r="AJ124">
        <v>1</v>
      </c>
      <c r="AK124">
        <v>5</v>
      </c>
      <c r="AL124">
        <v>2</v>
      </c>
      <c r="AM124">
        <v>18</v>
      </c>
      <c r="AN124">
        <v>8</v>
      </c>
      <c r="AO124">
        <v>290</v>
      </c>
      <c r="AP124">
        <v>8</v>
      </c>
      <c r="AQ124">
        <v>1172</v>
      </c>
      <c r="AR124">
        <v>0.19156293222683271</v>
      </c>
      <c r="AS124">
        <v>6.9156293222683261E-3</v>
      </c>
      <c r="AT124">
        <v>0.61203319502074693</v>
      </c>
      <c r="AU124">
        <v>2.0746887966804979E-3</v>
      </c>
      <c r="AV124">
        <v>8.9903181189488236E-3</v>
      </c>
      <c r="AW124">
        <v>1.244813278008299E-2</v>
      </c>
      <c r="AX124">
        <v>0.2005532503457815</v>
      </c>
      <c r="AY124">
        <v>0.81051175656984786</v>
      </c>
      <c r="AZ124">
        <v>0.1881051175656985</v>
      </c>
      <c r="BA124">
        <v>0.5</v>
      </c>
      <c r="BB124">
        <v>0.72222222222222221</v>
      </c>
      <c r="BC124">
        <v>0.53333333333333333</v>
      </c>
      <c r="BD124">
        <v>0.74256569847856146</v>
      </c>
      <c r="BE124">
        <v>4</v>
      </c>
      <c r="BF124">
        <v>0.62453031350852928</v>
      </c>
      <c r="BG124">
        <v>0.62</v>
      </c>
      <c r="BH124" t="s">
        <v>86</v>
      </c>
      <c r="BI124">
        <v>0.62</v>
      </c>
      <c r="BJ124" t="s">
        <v>86</v>
      </c>
      <c r="BK124" s="2">
        <f t="shared" si="3"/>
        <v>0</v>
      </c>
      <c r="BL124" t="b">
        <f t="shared" si="4"/>
        <v>1</v>
      </c>
    </row>
    <row r="125" spans="1:64" x14ac:dyDescent="0.35">
      <c r="A125" t="s">
        <v>392</v>
      </c>
      <c r="B125" t="s">
        <v>393</v>
      </c>
      <c r="C125">
        <v>2014</v>
      </c>
      <c r="D125" t="s">
        <v>394</v>
      </c>
      <c r="E125" t="s">
        <v>395</v>
      </c>
      <c r="F125" t="s">
        <v>66</v>
      </c>
      <c r="G125" t="s">
        <v>101</v>
      </c>
      <c r="H125" t="s">
        <v>162</v>
      </c>
      <c r="I125" t="s">
        <v>162</v>
      </c>
      <c r="J125" t="s">
        <v>70</v>
      </c>
      <c r="L125">
        <v>5</v>
      </c>
      <c r="M125" t="b">
        <v>0</v>
      </c>
      <c r="N125">
        <v>3</v>
      </c>
      <c r="O125">
        <v>1</v>
      </c>
      <c r="P125">
        <v>1</v>
      </c>
      <c r="Q125">
        <v>4</v>
      </c>
      <c r="R125">
        <v>-3</v>
      </c>
      <c r="S125">
        <v>3</v>
      </c>
      <c r="T125">
        <v>9</v>
      </c>
      <c r="U125">
        <v>556</v>
      </c>
      <c r="V125">
        <v>33</v>
      </c>
      <c r="W125">
        <v>8</v>
      </c>
      <c r="X125">
        <v>4.125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21</v>
      </c>
      <c r="AF125">
        <v>0</v>
      </c>
      <c r="AG125">
        <v>0</v>
      </c>
      <c r="AH125">
        <v>2</v>
      </c>
      <c r="AI125">
        <v>34</v>
      </c>
      <c r="AJ125">
        <v>2</v>
      </c>
      <c r="AK125">
        <v>59</v>
      </c>
      <c r="AL125">
        <v>4</v>
      </c>
      <c r="AM125">
        <v>93</v>
      </c>
      <c r="AN125">
        <v>0</v>
      </c>
      <c r="AO125">
        <v>0</v>
      </c>
      <c r="AP125">
        <v>1</v>
      </c>
      <c r="AQ125">
        <v>21</v>
      </c>
      <c r="AR125">
        <v>0</v>
      </c>
      <c r="AS125">
        <v>0</v>
      </c>
      <c r="AT125">
        <v>3.7769784172661872E-2</v>
      </c>
      <c r="AU125">
        <v>0</v>
      </c>
      <c r="AV125">
        <v>6.1151079136690649E-2</v>
      </c>
      <c r="AW125">
        <v>0.1672661870503597</v>
      </c>
      <c r="AX125">
        <v>0</v>
      </c>
      <c r="AY125">
        <v>3.7769784172661872E-2</v>
      </c>
      <c r="AZ125">
        <v>-0.1672661870503597</v>
      </c>
      <c r="BA125">
        <v>0.33333333333333331</v>
      </c>
      <c r="BB125">
        <v>0.52083333333333337</v>
      </c>
      <c r="BC125">
        <v>6.6666666666666666E-2</v>
      </c>
      <c r="BD125">
        <v>0.52045863309352514</v>
      </c>
      <c r="BE125">
        <v>4</v>
      </c>
      <c r="BF125">
        <v>0.3603229916067146</v>
      </c>
      <c r="BG125">
        <v>0.41</v>
      </c>
      <c r="BH125" t="s">
        <v>71</v>
      </c>
      <c r="BI125">
        <v>0.36</v>
      </c>
      <c r="BJ125" t="s">
        <v>104</v>
      </c>
      <c r="BK125" s="2">
        <f t="shared" si="3"/>
        <v>4.9999999999999989E-2</v>
      </c>
      <c r="BL125" t="b">
        <f t="shared" si="4"/>
        <v>0</v>
      </c>
    </row>
    <row r="126" spans="1:64" x14ac:dyDescent="0.35">
      <c r="A126" t="s">
        <v>396</v>
      </c>
      <c r="B126" t="s">
        <v>393</v>
      </c>
      <c r="C126">
        <v>2018</v>
      </c>
      <c r="D126" t="s">
        <v>394</v>
      </c>
      <c r="E126" t="s">
        <v>395</v>
      </c>
      <c r="F126" t="s">
        <v>66</v>
      </c>
      <c r="G126" t="s">
        <v>101</v>
      </c>
      <c r="H126" t="s">
        <v>162</v>
      </c>
      <c r="I126" t="s">
        <v>162</v>
      </c>
      <c r="J126" t="s">
        <v>70</v>
      </c>
      <c r="L126">
        <v>5</v>
      </c>
      <c r="M126" t="b">
        <v>0</v>
      </c>
      <c r="N126">
        <v>3</v>
      </c>
      <c r="O126">
        <v>1</v>
      </c>
      <c r="P126">
        <v>0</v>
      </c>
      <c r="Q126">
        <v>2</v>
      </c>
      <c r="R126">
        <v>-2</v>
      </c>
      <c r="S126">
        <v>3</v>
      </c>
      <c r="T126">
        <v>8</v>
      </c>
      <c r="U126">
        <v>1211</v>
      </c>
      <c r="V126">
        <v>27</v>
      </c>
      <c r="W126">
        <v>7</v>
      </c>
      <c r="X126">
        <v>3.8571428571428572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1</v>
      </c>
      <c r="AE126">
        <v>841</v>
      </c>
      <c r="AF126">
        <v>0</v>
      </c>
      <c r="AG126">
        <v>0</v>
      </c>
      <c r="AH126">
        <v>1</v>
      </c>
      <c r="AI126">
        <v>127</v>
      </c>
      <c r="AJ126">
        <v>1</v>
      </c>
      <c r="AK126">
        <v>6</v>
      </c>
      <c r="AL126">
        <v>2</v>
      </c>
      <c r="AM126">
        <v>133</v>
      </c>
      <c r="AN126">
        <v>0</v>
      </c>
      <c r="AO126">
        <v>0</v>
      </c>
      <c r="AP126">
        <v>1</v>
      </c>
      <c r="AQ126">
        <v>841</v>
      </c>
      <c r="AR126">
        <v>0</v>
      </c>
      <c r="AS126">
        <v>0</v>
      </c>
      <c r="AT126">
        <v>0.69446738232865401</v>
      </c>
      <c r="AU126">
        <v>0</v>
      </c>
      <c r="AV126">
        <v>0.10487200660611069</v>
      </c>
      <c r="AW126">
        <v>0.1098265895953757</v>
      </c>
      <c r="AX126">
        <v>0</v>
      </c>
      <c r="AY126">
        <v>0.69446738232865401</v>
      </c>
      <c r="AZ126">
        <v>-0.1098265895953757</v>
      </c>
      <c r="BA126">
        <v>0.33333333333333331</v>
      </c>
      <c r="BB126">
        <v>0.47619047619047622</v>
      </c>
      <c r="BC126">
        <v>6.6666666666666666E-2</v>
      </c>
      <c r="BD126">
        <v>0.55635838150289019</v>
      </c>
      <c r="BE126">
        <v>4</v>
      </c>
      <c r="BF126">
        <v>0.35813721442334162</v>
      </c>
      <c r="BG126">
        <v>0.37</v>
      </c>
      <c r="BH126" t="s">
        <v>104</v>
      </c>
      <c r="BI126">
        <v>0.36</v>
      </c>
      <c r="BJ126" t="s">
        <v>104</v>
      </c>
      <c r="BK126" s="2">
        <f t="shared" si="3"/>
        <v>1.0000000000000009E-2</v>
      </c>
      <c r="BL126" t="b">
        <f t="shared" si="4"/>
        <v>1</v>
      </c>
    </row>
    <row r="127" spans="1:64" x14ac:dyDescent="0.35">
      <c r="A127" t="s">
        <v>397</v>
      </c>
      <c r="B127" t="s">
        <v>398</v>
      </c>
      <c r="C127">
        <v>2014</v>
      </c>
      <c r="D127" t="s">
        <v>399</v>
      </c>
      <c r="E127" t="s">
        <v>400</v>
      </c>
      <c r="F127" t="s">
        <v>66</v>
      </c>
      <c r="G127" t="s">
        <v>101</v>
      </c>
      <c r="H127" t="s">
        <v>184</v>
      </c>
      <c r="I127" t="s">
        <v>401</v>
      </c>
      <c r="J127" t="s">
        <v>70</v>
      </c>
      <c r="L127">
        <v>2</v>
      </c>
      <c r="M127" t="b">
        <v>0</v>
      </c>
      <c r="N127">
        <v>1</v>
      </c>
      <c r="O127">
        <v>1</v>
      </c>
      <c r="P127">
        <v>7</v>
      </c>
      <c r="Q127">
        <v>4</v>
      </c>
      <c r="R127">
        <v>3</v>
      </c>
      <c r="S127">
        <v>4</v>
      </c>
      <c r="T127">
        <v>29</v>
      </c>
      <c r="U127">
        <v>442</v>
      </c>
      <c r="V127">
        <v>121</v>
      </c>
      <c r="W127">
        <v>21</v>
      </c>
      <c r="X127">
        <v>5.7619047619047619</v>
      </c>
      <c r="Y127">
        <v>4</v>
      </c>
      <c r="Z127">
        <v>103</v>
      </c>
      <c r="AA127">
        <v>0</v>
      </c>
      <c r="AB127">
        <v>0</v>
      </c>
      <c r="AC127">
        <v>2</v>
      </c>
      <c r="AD127">
        <v>2</v>
      </c>
      <c r="AE127">
        <v>80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3</v>
      </c>
      <c r="AL127">
        <v>1</v>
      </c>
      <c r="AM127">
        <v>3</v>
      </c>
      <c r="AN127">
        <v>4</v>
      </c>
      <c r="AO127">
        <v>103</v>
      </c>
      <c r="AP127">
        <v>6</v>
      </c>
      <c r="AQ127">
        <v>183</v>
      </c>
      <c r="AR127">
        <v>0.2330316742081448</v>
      </c>
      <c r="AS127">
        <v>0</v>
      </c>
      <c r="AT127">
        <v>0.1809954751131222</v>
      </c>
      <c r="AU127">
        <v>0</v>
      </c>
      <c r="AV127">
        <v>0</v>
      </c>
      <c r="AW127">
        <v>6.7873303167420816E-3</v>
      </c>
      <c r="AX127">
        <v>0.2330316742081448</v>
      </c>
      <c r="AY127">
        <v>0.41402714932126689</v>
      </c>
      <c r="AZ127">
        <v>0.22624434389140269</v>
      </c>
      <c r="BA127">
        <v>0.5</v>
      </c>
      <c r="BB127">
        <v>0.79365079365079361</v>
      </c>
      <c r="BC127">
        <v>0.4</v>
      </c>
      <c r="BD127">
        <v>0.76640271493212675</v>
      </c>
      <c r="BE127">
        <v>4</v>
      </c>
      <c r="BF127">
        <v>0.61501337714573012</v>
      </c>
      <c r="BG127">
        <v>0.61</v>
      </c>
      <c r="BH127" t="s">
        <v>86</v>
      </c>
      <c r="BI127">
        <v>0.62</v>
      </c>
      <c r="BJ127" t="s">
        <v>86</v>
      </c>
      <c r="BK127" s="2">
        <f t="shared" si="3"/>
        <v>-1.0000000000000009E-2</v>
      </c>
      <c r="BL127" t="b">
        <f t="shared" si="4"/>
        <v>1</v>
      </c>
    </row>
    <row r="128" spans="1:64" x14ac:dyDescent="0.35">
      <c r="A128" t="s">
        <v>402</v>
      </c>
      <c r="B128" t="s">
        <v>398</v>
      </c>
      <c r="C128">
        <v>2020</v>
      </c>
      <c r="D128" t="s">
        <v>399</v>
      </c>
      <c r="E128" t="s">
        <v>400</v>
      </c>
      <c r="F128" t="s">
        <v>66</v>
      </c>
      <c r="G128" t="s">
        <v>101</v>
      </c>
      <c r="H128" t="s">
        <v>184</v>
      </c>
      <c r="I128" t="s">
        <v>401</v>
      </c>
      <c r="J128" t="s">
        <v>70</v>
      </c>
      <c r="L128">
        <v>2</v>
      </c>
      <c r="M128" t="b">
        <v>0</v>
      </c>
      <c r="N128">
        <v>2</v>
      </c>
      <c r="O128">
        <v>3</v>
      </c>
      <c r="P128">
        <v>10</v>
      </c>
      <c r="Q128">
        <v>5</v>
      </c>
      <c r="R128">
        <v>5</v>
      </c>
      <c r="S128">
        <v>5</v>
      </c>
      <c r="T128">
        <v>32</v>
      </c>
      <c r="U128">
        <v>1117</v>
      </c>
      <c r="V128">
        <v>154</v>
      </c>
      <c r="W128">
        <v>27</v>
      </c>
      <c r="X128">
        <v>5.7037037037037033</v>
      </c>
      <c r="Y128">
        <v>3</v>
      </c>
      <c r="Z128">
        <v>67</v>
      </c>
      <c r="AA128">
        <v>1</v>
      </c>
      <c r="AB128">
        <v>10</v>
      </c>
      <c r="AC128">
        <v>1</v>
      </c>
      <c r="AD128">
        <v>1</v>
      </c>
      <c r="AE128">
        <v>129</v>
      </c>
      <c r="AF128">
        <v>1</v>
      </c>
      <c r="AG128">
        <v>7</v>
      </c>
      <c r="AH128">
        <v>1</v>
      </c>
      <c r="AI128">
        <v>93</v>
      </c>
      <c r="AJ128">
        <v>2</v>
      </c>
      <c r="AK128">
        <v>7</v>
      </c>
      <c r="AL128">
        <v>3</v>
      </c>
      <c r="AM128">
        <v>100</v>
      </c>
      <c r="AN128">
        <v>5</v>
      </c>
      <c r="AO128">
        <v>84</v>
      </c>
      <c r="AP128">
        <v>5</v>
      </c>
      <c r="AQ128">
        <v>206</v>
      </c>
      <c r="AR128">
        <v>5.998209489704566E-2</v>
      </c>
      <c r="AS128">
        <v>8.9525514771709933E-3</v>
      </c>
      <c r="AT128">
        <v>0.11548791405550581</v>
      </c>
      <c r="AU128">
        <v>6.2667860340196958E-3</v>
      </c>
      <c r="AV128">
        <v>8.3258728737690246E-2</v>
      </c>
      <c r="AW128">
        <v>8.9525514771709933E-2</v>
      </c>
      <c r="AX128">
        <v>7.5201432408236346E-2</v>
      </c>
      <c r="AY128">
        <v>0.18442256042972249</v>
      </c>
      <c r="AZ128">
        <v>-1.432408236347359E-2</v>
      </c>
      <c r="BA128">
        <v>0.66666666666666663</v>
      </c>
      <c r="BB128">
        <v>0.78395061728395055</v>
      </c>
      <c r="BC128">
        <v>0.33333333333333331</v>
      </c>
      <c r="BD128">
        <v>0.616047448522829</v>
      </c>
      <c r="BE128">
        <v>4</v>
      </c>
      <c r="BF128">
        <v>0.59999951645169491</v>
      </c>
      <c r="BG128">
        <v>0.61</v>
      </c>
      <c r="BH128" t="s">
        <v>86</v>
      </c>
      <c r="BI128">
        <v>0.6</v>
      </c>
      <c r="BJ128" t="s">
        <v>86</v>
      </c>
      <c r="BK128" s="2">
        <f t="shared" si="3"/>
        <v>1.0000000000000009E-2</v>
      </c>
      <c r="BL128" t="b">
        <f t="shared" si="4"/>
        <v>1</v>
      </c>
    </row>
    <row r="129" spans="1:64" x14ac:dyDescent="0.35">
      <c r="A129" t="s">
        <v>403</v>
      </c>
      <c r="B129" t="s">
        <v>404</v>
      </c>
      <c r="C129">
        <v>2014</v>
      </c>
      <c r="D129" t="s">
        <v>405</v>
      </c>
      <c r="E129" t="s">
        <v>406</v>
      </c>
      <c r="F129" t="s">
        <v>66</v>
      </c>
      <c r="G129" t="s">
        <v>101</v>
      </c>
      <c r="H129" t="s">
        <v>162</v>
      </c>
      <c r="I129" t="s">
        <v>407</v>
      </c>
      <c r="J129" t="s">
        <v>70</v>
      </c>
      <c r="L129">
        <v>3</v>
      </c>
      <c r="M129" t="b">
        <v>0</v>
      </c>
      <c r="N129">
        <v>6</v>
      </c>
      <c r="O129">
        <v>1</v>
      </c>
      <c r="P129">
        <v>0</v>
      </c>
      <c r="Q129">
        <v>2</v>
      </c>
      <c r="R129">
        <v>-2</v>
      </c>
      <c r="S129">
        <v>1</v>
      </c>
      <c r="T129">
        <v>8</v>
      </c>
      <c r="U129">
        <v>88</v>
      </c>
      <c r="V129">
        <v>33</v>
      </c>
      <c r="W129">
        <v>8</v>
      </c>
      <c r="X129">
        <v>4.125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20</v>
      </c>
      <c r="AF129">
        <v>1</v>
      </c>
      <c r="AG129">
        <v>8</v>
      </c>
      <c r="AH129">
        <v>0</v>
      </c>
      <c r="AI129">
        <v>0</v>
      </c>
      <c r="AJ129">
        <v>2</v>
      </c>
      <c r="AK129">
        <v>2</v>
      </c>
      <c r="AL129">
        <v>2</v>
      </c>
      <c r="AM129">
        <v>2</v>
      </c>
      <c r="AN129">
        <v>1</v>
      </c>
      <c r="AO129">
        <v>8</v>
      </c>
      <c r="AP129">
        <v>1</v>
      </c>
      <c r="AQ129">
        <v>20</v>
      </c>
      <c r="AR129">
        <v>0</v>
      </c>
      <c r="AS129">
        <v>0</v>
      </c>
      <c r="AT129">
        <v>0.22727272727272729</v>
      </c>
      <c r="AU129">
        <v>9.0909090909090912E-2</v>
      </c>
      <c r="AV129">
        <v>0</v>
      </c>
      <c r="AW129">
        <v>2.2727272727272731E-2</v>
      </c>
      <c r="AX129">
        <v>9.0909090909090912E-2</v>
      </c>
      <c r="AY129">
        <v>0.22727272727272729</v>
      </c>
      <c r="AZ129">
        <v>6.8181818181818177E-2</v>
      </c>
      <c r="BA129">
        <v>0</v>
      </c>
      <c r="BB129">
        <v>0.52083333333333337</v>
      </c>
      <c r="BC129">
        <v>6.6666666666666666E-2</v>
      </c>
      <c r="BD129">
        <v>0.66761363636363624</v>
      </c>
      <c r="BE129">
        <v>4</v>
      </c>
      <c r="BF129">
        <v>0.31377840909090909</v>
      </c>
      <c r="BG129">
        <v>0.31</v>
      </c>
      <c r="BH129" t="s">
        <v>104</v>
      </c>
      <c r="BI129">
        <v>0.31</v>
      </c>
      <c r="BJ129" t="s">
        <v>104</v>
      </c>
      <c r="BK129" s="2">
        <f t="shared" si="3"/>
        <v>0</v>
      </c>
      <c r="BL129" t="b">
        <f t="shared" si="4"/>
        <v>1</v>
      </c>
    </row>
    <row r="130" spans="1:64" x14ac:dyDescent="0.35">
      <c r="A130" t="s">
        <v>408</v>
      </c>
      <c r="B130" t="s">
        <v>404</v>
      </c>
      <c r="C130">
        <v>2020</v>
      </c>
      <c r="D130" t="s">
        <v>405</v>
      </c>
      <c r="E130" t="s">
        <v>406</v>
      </c>
      <c r="F130" t="s">
        <v>66</v>
      </c>
      <c r="G130" t="s">
        <v>101</v>
      </c>
      <c r="H130" t="s">
        <v>162</v>
      </c>
      <c r="I130" t="s">
        <v>407</v>
      </c>
      <c r="J130" t="s">
        <v>70</v>
      </c>
      <c r="L130">
        <v>3</v>
      </c>
      <c r="M130" t="b">
        <v>0</v>
      </c>
      <c r="N130">
        <v>2</v>
      </c>
      <c r="O130">
        <v>3</v>
      </c>
      <c r="P130">
        <v>10</v>
      </c>
      <c r="Q130">
        <v>5</v>
      </c>
      <c r="R130">
        <v>5</v>
      </c>
      <c r="S130">
        <v>5</v>
      </c>
      <c r="T130">
        <v>43</v>
      </c>
      <c r="U130">
        <v>2539</v>
      </c>
      <c r="V130">
        <v>160</v>
      </c>
      <c r="W130">
        <v>30</v>
      </c>
      <c r="X130">
        <v>5.333333333333333</v>
      </c>
      <c r="Y130">
        <v>3</v>
      </c>
      <c r="Z130">
        <v>172</v>
      </c>
      <c r="AA130">
        <v>0</v>
      </c>
      <c r="AB130">
        <v>0</v>
      </c>
      <c r="AC130">
        <v>4</v>
      </c>
      <c r="AD130">
        <v>4</v>
      </c>
      <c r="AE130">
        <v>1070</v>
      </c>
      <c r="AF130">
        <v>3</v>
      </c>
      <c r="AG130">
        <v>32</v>
      </c>
      <c r="AH130">
        <v>0</v>
      </c>
      <c r="AI130">
        <v>0</v>
      </c>
      <c r="AJ130">
        <v>3</v>
      </c>
      <c r="AK130">
        <v>19</v>
      </c>
      <c r="AL130">
        <v>3</v>
      </c>
      <c r="AM130">
        <v>19</v>
      </c>
      <c r="AN130">
        <v>6</v>
      </c>
      <c r="AO130">
        <v>204</v>
      </c>
      <c r="AP130">
        <v>7</v>
      </c>
      <c r="AQ130">
        <v>1242</v>
      </c>
      <c r="AR130">
        <v>6.7743205986608906E-2</v>
      </c>
      <c r="AS130">
        <v>0</v>
      </c>
      <c r="AT130">
        <v>0.42142575817250888</v>
      </c>
      <c r="AU130">
        <v>1.260338716029933E-2</v>
      </c>
      <c r="AV130">
        <v>0</v>
      </c>
      <c r="AW130">
        <v>7.4832611264277274E-3</v>
      </c>
      <c r="AX130">
        <v>8.034659314690823E-2</v>
      </c>
      <c r="AY130">
        <v>0.48916896415911781</v>
      </c>
      <c r="AZ130">
        <v>7.2863332020480509E-2</v>
      </c>
      <c r="BA130">
        <v>0.66666666666666663</v>
      </c>
      <c r="BB130">
        <v>0.72222222222222221</v>
      </c>
      <c r="BC130">
        <v>0.46666666666666667</v>
      </c>
      <c r="BD130">
        <v>0.67053958251280033</v>
      </c>
      <c r="BE130">
        <v>4</v>
      </c>
      <c r="BF130">
        <v>0.6315237845170889</v>
      </c>
      <c r="BG130">
        <v>0.63</v>
      </c>
      <c r="BH130" t="s">
        <v>86</v>
      </c>
      <c r="BI130">
        <v>0.63</v>
      </c>
      <c r="BJ130" t="s">
        <v>86</v>
      </c>
      <c r="BK130" s="2">
        <f t="shared" si="3"/>
        <v>0</v>
      </c>
      <c r="BL130" t="b">
        <f t="shared" si="4"/>
        <v>1</v>
      </c>
    </row>
    <row r="131" spans="1:64" x14ac:dyDescent="0.35">
      <c r="A131" t="s">
        <v>409</v>
      </c>
      <c r="B131" t="s">
        <v>410</v>
      </c>
      <c r="C131">
        <v>2014</v>
      </c>
      <c r="D131" t="s">
        <v>411</v>
      </c>
      <c r="E131" t="s">
        <v>412</v>
      </c>
      <c r="F131" t="s">
        <v>66</v>
      </c>
      <c r="G131" t="s">
        <v>101</v>
      </c>
      <c r="H131" t="s">
        <v>162</v>
      </c>
      <c r="I131" t="s">
        <v>413</v>
      </c>
      <c r="J131" t="s">
        <v>70</v>
      </c>
      <c r="L131">
        <v>1</v>
      </c>
      <c r="M131" t="b">
        <v>0</v>
      </c>
      <c r="N131">
        <v>1</v>
      </c>
      <c r="O131">
        <v>2</v>
      </c>
      <c r="P131">
        <v>7</v>
      </c>
      <c r="Q131">
        <v>0</v>
      </c>
      <c r="R131">
        <v>7</v>
      </c>
      <c r="S131">
        <v>6</v>
      </c>
      <c r="T131">
        <v>23</v>
      </c>
      <c r="U131">
        <v>369</v>
      </c>
      <c r="V131">
        <v>110</v>
      </c>
      <c r="W131">
        <v>19</v>
      </c>
      <c r="X131">
        <v>5.7894736842105274</v>
      </c>
      <c r="Y131">
        <v>4</v>
      </c>
      <c r="Z131">
        <v>12</v>
      </c>
      <c r="AA131">
        <v>1</v>
      </c>
      <c r="AB131">
        <v>2</v>
      </c>
      <c r="AC131">
        <v>4</v>
      </c>
      <c r="AD131">
        <v>4</v>
      </c>
      <c r="AE131">
        <v>151</v>
      </c>
      <c r="AF131">
        <v>1</v>
      </c>
      <c r="AG131">
        <v>2</v>
      </c>
      <c r="AH131">
        <v>0</v>
      </c>
      <c r="AI131">
        <v>0</v>
      </c>
      <c r="AJ131">
        <v>1</v>
      </c>
      <c r="AK131">
        <v>3</v>
      </c>
      <c r="AL131">
        <v>1</v>
      </c>
      <c r="AM131">
        <v>3</v>
      </c>
      <c r="AN131">
        <v>6</v>
      </c>
      <c r="AO131">
        <v>16</v>
      </c>
      <c r="AP131">
        <v>9</v>
      </c>
      <c r="AQ131">
        <v>165</v>
      </c>
      <c r="AR131">
        <v>3.2520325203252043E-2</v>
      </c>
      <c r="AS131">
        <v>5.4200542005420054E-3</v>
      </c>
      <c r="AT131">
        <v>0.40921409214092141</v>
      </c>
      <c r="AU131">
        <v>5.4200542005420054E-3</v>
      </c>
      <c r="AV131">
        <v>0</v>
      </c>
      <c r="AW131">
        <v>8.130081300813009E-3</v>
      </c>
      <c r="AX131">
        <v>4.3360433604336043E-2</v>
      </c>
      <c r="AY131">
        <v>0.44715447154471538</v>
      </c>
      <c r="AZ131">
        <v>3.5230352303523033E-2</v>
      </c>
      <c r="BA131">
        <v>0.83333333333333337</v>
      </c>
      <c r="BB131">
        <v>0.79824561403508787</v>
      </c>
      <c r="BC131">
        <v>0.6</v>
      </c>
      <c r="BD131">
        <v>0.64701897018970189</v>
      </c>
      <c r="BE131">
        <v>4</v>
      </c>
      <c r="BF131">
        <v>0.71964947938953072</v>
      </c>
      <c r="BG131">
        <v>0.72</v>
      </c>
      <c r="BH131" t="s">
        <v>86</v>
      </c>
      <c r="BI131">
        <v>0.72</v>
      </c>
      <c r="BJ131" t="s">
        <v>86</v>
      </c>
      <c r="BK131" s="2">
        <f t="shared" ref="BK131:BK194" si="5">BG131-BI131</f>
        <v>0</v>
      </c>
      <c r="BL131" t="b">
        <f t="shared" ref="BL131:BL194" si="6">EXACT(BH131,BJ131)</f>
        <v>1</v>
      </c>
    </row>
    <row r="132" spans="1:64" x14ac:dyDescent="0.35">
      <c r="A132" t="s">
        <v>414</v>
      </c>
      <c r="B132" t="s">
        <v>415</v>
      </c>
      <c r="C132">
        <v>2014</v>
      </c>
      <c r="D132" t="s">
        <v>416</v>
      </c>
      <c r="E132" t="s">
        <v>417</v>
      </c>
      <c r="F132" t="s">
        <v>66</v>
      </c>
      <c r="G132" t="s">
        <v>101</v>
      </c>
      <c r="H132" t="s">
        <v>129</v>
      </c>
      <c r="I132" t="s">
        <v>418</v>
      </c>
      <c r="J132" t="s">
        <v>70</v>
      </c>
      <c r="L132">
        <v>2</v>
      </c>
      <c r="M132" t="b">
        <v>0</v>
      </c>
      <c r="N132">
        <v>1</v>
      </c>
      <c r="O132">
        <v>2</v>
      </c>
      <c r="P132">
        <v>7</v>
      </c>
      <c r="Q132">
        <v>2</v>
      </c>
      <c r="R132">
        <v>5</v>
      </c>
      <c r="S132">
        <v>6</v>
      </c>
      <c r="T132">
        <v>24</v>
      </c>
      <c r="U132">
        <v>150</v>
      </c>
      <c r="V132">
        <v>98</v>
      </c>
      <c r="W132">
        <v>17</v>
      </c>
      <c r="X132">
        <v>5.7647058823529411</v>
      </c>
      <c r="Y132">
        <v>3</v>
      </c>
      <c r="Z132">
        <v>13</v>
      </c>
      <c r="AA132">
        <v>1</v>
      </c>
      <c r="AB132">
        <v>2</v>
      </c>
      <c r="AC132">
        <v>4</v>
      </c>
      <c r="AD132">
        <v>4</v>
      </c>
      <c r="AE132">
        <v>44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1</v>
      </c>
      <c r="AL132">
        <v>1</v>
      </c>
      <c r="AM132">
        <v>1</v>
      </c>
      <c r="AN132">
        <v>4</v>
      </c>
      <c r="AO132">
        <v>15</v>
      </c>
      <c r="AP132">
        <v>8</v>
      </c>
      <c r="AQ132">
        <v>59</v>
      </c>
      <c r="AR132">
        <v>8.666666666666667E-2</v>
      </c>
      <c r="AS132">
        <v>1.3333333333333331E-2</v>
      </c>
      <c r="AT132">
        <v>0.29333333333333328</v>
      </c>
      <c r="AU132">
        <v>0</v>
      </c>
      <c r="AV132">
        <v>0</v>
      </c>
      <c r="AW132">
        <v>6.6666666666666671E-3</v>
      </c>
      <c r="AX132">
        <v>0.1</v>
      </c>
      <c r="AY132">
        <v>0.39333333333333331</v>
      </c>
      <c r="AZ132">
        <v>9.3333333333333338E-2</v>
      </c>
      <c r="BA132">
        <v>0.83333333333333337</v>
      </c>
      <c r="BB132">
        <v>0.79411764705882348</v>
      </c>
      <c r="BC132">
        <v>0.53333333333333333</v>
      </c>
      <c r="BD132">
        <v>0.68333333333333324</v>
      </c>
      <c r="BE132">
        <v>4</v>
      </c>
      <c r="BF132">
        <v>0.7110294117647058</v>
      </c>
      <c r="BG132">
        <v>0.7</v>
      </c>
      <c r="BH132" t="s">
        <v>86</v>
      </c>
      <c r="BI132">
        <v>0.71</v>
      </c>
      <c r="BJ132" t="s">
        <v>86</v>
      </c>
      <c r="BK132" s="2">
        <f t="shared" si="5"/>
        <v>-1.0000000000000009E-2</v>
      </c>
      <c r="BL132" t="b">
        <f t="shared" si="6"/>
        <v>1</v>
      </c>
    </row>
    <row r="133" spans="1:64" x14ac:dyDescent="0.35">
      <c r="A133" t="s">
        <v>419</v>
      </c>
      <c r="B133" t="s">
        <v>415</v>
      </c>
      <c r="C133">
        <v>2020</v>
      </c>
      <c r="D133" t="s">
        <v>416</v>
      </c>
      <c r="E133" t="s">
        <v>417</v>
      </c>
      <c r="F133" t="s">
        <v>66</v>
      </c>
      <c r="G133" t="s">
        <v>101</v>
      </c>
      <c r="H133" t="s">
        <v>129</v>
      </c>
      <c r="I133" t="s">
        <v>418</v>
      </c>
      <c r="J133" t="s">
        <v>70</v>
      </c>
      <c r="L133">
        <v>2</v>
      </c>
      <c r="M133" t="b">
        <v>0</v>
      </c>
      <c r="N133">
        <v>1</v>
      </c>
      <c r="O133">
        <v>1</v>
      </c>
      <c r="P133">
        <v>10</v>
      </c>
      <c r="Q133">
        <v>2</v>
      </c>
      <c r="R133">
        <v>8</v>
      </c>
      <c r="S133">
        <v>5</v>
      </c>
      <c r="T133">
        <v>28</v>
      </c>
      <c r="U133">
        <v>2157</v>
      </c>
      <c r="V133">
        <v>156</v>
      </c>
      <c r="W133">
        <v>26</v>
      </c>
      <c r="X133">
        <v>6</v>
      </c>
      <c r="Y133">
        <v>6</v>
      </c>
      <c r="Z133">
        <v>359</v>
      </c>
      <c r="AA133">
        <v>1</v>
      </c>
      <c r="AB133">
        <v>63</v>
      </c>
      <c r="AC133">
        <v>3</v>
      </c>
      <c r="AD133">
        <v>3</v>
      </c>
      <c r="AE133">
        <v>321</v>
      </c>
      <c r="AF133">
        <v>1</v>
      </c>
      <c r="AG133">
        <v>109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8</v>
      </c>
      <c r="AO133">
        <v>531</v>
      </c>
      <c r="AP133">
        <v>10</v>
      </c>
      <c r="AQ133">
        <v>743</v>
      </c>
      <c r="AR133">
        <v>0.16643486323597589</v>
      </c>
      <c r="AS133">
        <v>2.9207232267037551E-2</v>
      </c>
      <c r="AT133">
        <v>0.14881780250347709</v>
      </c>
      <c r="AU133">
        <v>5.0533147890588777E-2</v>
      </c>
      <c r="AV133">
        <v>0</v>
      </c>
      <c r="AW133">
        <v>0</v>
      </c>
      <c r="AX133">
        <v>0.24617524339360219</v>
      </c>
      <c r="AY133">
        <v>0.34445989800649052</v>
      </c>
      <c r="AZ133">
        <v>0.24617524339360219</v>
      </c>
      <c r="BA133">
        <v>0.66666666666666663</v>
      </c>
      <c r="BB133">
        <v>0.83333333333333337</v>
      </c>
      <c r="BC133">
        <v>0.66666666666666663</v>
      </c>
      <c r="BD133">
        <v>0.77885952712100137</v>
      </c>
      <c r="BE133">
        <v>4</v>
      </c>
      <c r="BF133">
        <v>0.73638154844691694</v>
      </c>
      <c r="BG133">
        <v>0.73</v>
      </c>
      <c r="BH133" t="s">
        <v>86</v>
      </c>
      <c r="BI133">
        <v>0.74</v>
      </c>
      <c r="BJ133" t="s">
        <v>86</v>
      </c>
      <c r="BK133" s="2">
        <f t="shared" si="5"/>
        <v>-1.0000000000000009E-2</v>
      </c>
      <c r="BL133" t="b">
        <f t="shared" si="6"/>
        <v>1</v>
      </c>
    </row>
    <row r="134" spans="1:64" x14ac:dyDescent="0.35">
      <c r="A134" t="s">
        <v>420</v>
      </c>
      <c r="B134" t="s">
        <v>421</v>
      </c>
      <c r="C134">
        <v>2014</v>
      </c>
      <c r="D134" t="s">
        <v>422</v>
      </c>
      <c r="E134" t="s">
        <v>423</v>
      </c>
      <c r="F134" t="s">
        <v>66</v>
      </c>
      <c r="G134" t="s">
        <v>144</v>
      </c>
      <c r="H134" t="s">
        <v>424</v>
      </c>
      <c r="I134" t="s">
        <v>150</v>
      </c>
      <c r="J134" t="s">
        <v>70</v>
      </c>
      <c r="L134">
        <v>2</v>
      </c>
      <c r="M134" t="b">
        <v>0</v>
      </c>
      <c r="N134">
        <v>4</v>
      </c>
      <c r="O134">
        <v>2</v>
      </c>
      <c r="P134">
        <v>4</v>
      </c>
      <c r="Q134">
        <v>3</v>
      </c>
      <c r="R134">
        <v>1</v>
      </c>
      <c r="S134">
        <v>3</v>
      </c>
      <c r="T134">
        <v>16</v>
      </c>
      <c r="U134">
        <v>248</v>
      </c>
      <c r="V134">
        <v>68</v>
      </c>
      <c r="W134">
        <v>14</v>
      </c>
      <c r="X134">
        <v>4.8571428571428568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</v>
      </c>
      <c r="AE134">
        <v>74</v>
      </c>
      <c r="AF134">
        <v>1</v>
      </c>
      <c r="AG134">
        <v>1</v>
      </c>
      <c r="AH134">
        <v>1</v>
      </c>
      <c r="AI134">
        <v>4</v>
      </c>
      <c r="AJ134">
        <v>0</v>
      </c>
      <c r="AK134">
        <v>0</v>
      </c>
      <c r="AL134">
        <v>1</v>
      </c>
      <c r="AM134">
        <v>4</v>
      </c>
      <c r="AN134">
        <v>1</v>
      </c>
      <c r="AO134">
        <v>1</v>
      </c>
      <c r="AP134">
        <v>1</v>
      </c>
      <c r="AQ134">
        <v>74</v>
      </c>
      <c r="AR134">
        <v>0</v>
      </c>
      <c r="AS134">
        <v>0</v>
      </c>
      <c r="AT134">
        <v>0.29838709677419362</v>
      </c>
      <c r="AU134">
        <v>4.0322580645161289E-3</v>
      </c>
      <c r="AV134">
        <v>1.6129032258064519E-2</v>
      </c>
      <c r="AW134">
        <v>1.6129032258064519E-2</v>
      </c>
      <c r="AX134">
        <v>4.0322580645161289E-3</v>
      </c>
      <c r="AY134">
        <v>0.29838709677419362</v>
      </c>
      <c r="AZ134">
        <v>-1.209677419354839E-2</v>
      </c>
      <c r="BA134">
        <v>0.33333333333333331</v>
      </c>
      <c r="BB134">
        <v>0.64285714285714279</v>
      </c>
      <c r="BC134">
        <v>6.6666666666666666E-2</v>
      </c>
      <c r="BD134">
        <v>0.61743951612903225</v>
      </c>
      <c r="BE134">
        <v>4</v>
      </c>
      <c r="BF134">
        <v>0.41507416474654368</v>
      </c>
      <c r="BG134">
        <v>0.42</v>
      </c>
      <c r="BH134" t="s">
        <v>71</v>
      </c>
      <c r="BI134">
        <v>0.42</v>
      </c>
      <c r="BJ134" t="s">
        <v>71</v>
      </c>
      <c r="BK134" s="2">
        <f t="shared" si="5"/>
        <v>0</v>
      </c>
      <c r="BL134" t="b">
        <f t="shared" si="6"/>
        <v>1</v>
      </c>
    </row>
    <row r="135" spans="1:64" x14ac:dyDescent="0.35">
      <c r="A135" t="s">
        <v>425</v>
      </c>
      <c r="B135" t="s">
        <v>421</v>
      </c>
      <c r="C135">
        <v>2020</v>
      </c>
      <c r="D135" t="s">
        <v>422</v>
      </c>
      <c r="E135" t="s">
        <v>423</v>
      </c>
      <c r="F135" t="s">
        <v>66</v>
      </c>
      <c r="G135" t="s">
        <v>144</v>
      </c>
      <c r="H135" t="s">
        <v>424</v>
      </c>
      <c r="I135" t="s">
        <v>150</v>
      </c>
      <c r="J135" t="s">
        <v>70</v>
      </c>
      <c r="L135">
        <v>2</v>
      </c>
      <c r="M135" t="b">
        <v>0</v>
      </c>
      <c r="N135">
        <v>3</v>
      </c>
      <c r="O135">
        <v>2</v>
      </c>
      <c r="P135">
        <v>10</v>
      </c>
      <c r="Q135">
        <v>6</v>
      </c>
      <c r="R135">
        <v>4</v>
      </c>
      <c r="S135">
        <v>4</v>
      </c>
      <c r="T135">
        <v>35</v>
      </c>
      <c r="U135">
        <v>1392</v>
      </c>
      <c r="V135">
        <v>151</v>
      </c>
      <c r="W135">
        <v>28</v>
      </c>
      <c r="X135">
        <v>5.3928571428571432</v>
      </c>
      <c r="Y135">
        <v>3</v>
      </c>
      <c r="Z135">
        <v>54</v>
      </c>
      <c r="AA135">
        <v>0</v>
      </c>
      <c r="AB135">
        <v>0</v>
      </c>
      <c r="AC135">
        <v>3</v>
      </c>
      <c r="AD135">
        <v>3</v>
      </c>
      <c r="AE135">
        <v>701</v>
      </c>
      <c r="AF135">
        <v>3</v>
      </c>
      <c r="AG135">
        <v>10</v>
      </c>
      <c r="AH135">
        <v>3</v>
      </c>
      <c r="AI135">
        <v>44</v>
      </c>
      <c r="AJ135">
        <v>1</v>
      </c>
      <c r="AK135">
        <v>27</v>
      </c>
      <c r="AL135">
        <v>4</v>
      </c>
      <c r="AM135">
        <v>71</v>
      </c>
      <c r="AN135">
        <v>6</v>
      </c>
      <c r="AO135">
        <v>64</v>
      </c>
      <c r="AP135">
        <v>6</v>
      </c>
      <c r="AQ135">
        <v>755</v>
      </c>
      <c r="AR135">
        <v>3.8793103448275863E-2</v>
      </c>
      <c r="AS135">
        <v>0</v>
      </c>
      <c r="AT135">
        <v>0.50359195402298851</v>
      </c>
      <c r="AU135">
        <v>7.1839080459770114E-3</v>
      </c>
      <c r="AV135">
        <v>3.1609195402298847E-2</v>
      </c>
      <c r="AW135">
        <v>5.1005747126436782E-2</v>
      </c>
      <c r="AX135">
        <v>4.5977011494252873E-2</v>
      </c>
      <c r="AY135">
        <v>0.54238505747126442</v>
      </c>
      <c r="AZ135">
        <v>-5.0287356321839088E-3</v>
      </c>
      <c r="BA135">
        <v>0.5</v>
      </c>
      <c r="BB135">
        <v>0.73214285714285721</v>
      </c>
      <c r="BC135">
        <v>0.4</v>
      </c>
      <c r="BD135">
        <v>0.62185704022988508</v>
      </c>
      <c r="BE135">
        <v>4</v>
      </c>
      <c r="BF135">
        <v>0.56349997434318555</v>
      </c>
      <c r="BG135">
        <v>0.56999999999999995</v>
      </c>
      <c r="BH135" t="s">
        <v>71</v>
      </c>
      <c r="BI135">
        <v>0.56000000000000005</v>
      </c>
      <c r="BJ135" t="s">
        <v>71</v>
      </c>
      <c r="BK135" s="2">
        <f t="shared" si="5"/>
        <v>9.9999999999998979E-3</v>
      </c>
      <c r="BL135" t="b">
        <f t="shared" si="6"/>
        <v>1</v>
      </c>
    </row>
    <row r="136" spans="1:64" x14ac:dyDescent="0.35">
      <c r="A136" t="s">
        <v>426</v>
      </c>
      <c r="B136" t="s">
        <v>427</v>
      </c>
      <c r="C136">
        <v>2014</v>
      </c>
      <c r="D136" t="s">
        <v>428</v>
      </c>
      <c r="E136" t="s">
        <v>429</v>
      </c>
      <c r="F136" t="s">
        <v>66</v>
      </c>
      <c r="G136" t="s">
        <v>101</v>
      </c>
      <c r="H136" t="s">
        <v>150</v>
      </c>
      <c r="I136" t="s">
        <v>430</v>
      </c>
      <c r="J136" t="s">
        <v>70</v>
      </c>
      <c r="L136">
        <v>1</v>
      </c>
      <c r="M136" t="b">
        <v>0</v>
      </c>
      <c r="N136">
        <v>2</v>
      </c>
      <c r="O136">
        <v>2</v>
      </c>
      <c r="P136">
        <v>4</v>
      </c>
      <c r="Q136">
        <v>2</v>
      </c>
      <c r="R136">
        <v>2</v>
      </c>
      <c r="S136">
        <v>4</v>
      </c>
      <c r="T136">
        <v>19</v>
      </c>
      <c r="U136">
        <v>88</v>
      </c>
      <c r="V136">
        <v>73</v>
      </c>
      <c r="W136">
        <v>14</v>
      </c>
      <c r="X136">
        <v>5.2142857142857144</v>
      </c>
      <c r="Y136">
        <v>1</v>
      </c>
      <c r="Z136">
        <v>6</v>
      </c>
      <c r="AA136">
        <v>0</v>
      </c>
      <c r="AB136">
        <v>0</v>
      </c>
      <c r="AC136">
        <v>2</v>
      </c>
      <c r="AD136">
        <v>2</v>
      </c>
      <c r="AE136">
        <v>5</v>
      </c>
      <c r="AF136">
        <v>1</v>
      </c>
      <c r="AG136">
        <v>11</v>
      </c>
      <c r="AH136">
        <v>1</v>
      </c>
      <c r="AI136">
        <v>1</v>
      </c>
      <c r="AJ136">
        <v>0</v>
      </c>
      <c r="AK136">
        <v>0</v>
      </c>
      <c r="AL136">
        <v>1</v>
      </c>
      <c r="AM136">
        <v>1</v>
      </c>
      <c r="AN136">
        <v>2</v>
      </c>
      <c r="AO136">
        <v>17</v>
      </c>
      <c r="AP136">
        <v>3</v>
      </c>
      <c r="AQ136">
        <v>11</v>
      </c>
      <c r="AR136">
        <v>6.8181818181818177E-2</v>
      </c>
      <c r="AS136">
        <v>0</v>
      </c>
      <c r="AT136">
        <v>5.6818181818181823E-2</v>
      </c>
      <c r="AU136">
        <v>0.125</v>
      </c>
      <c r="AV136">
        <v>1.136363636363636E-2</v>
      </c>
      <c r="AW136">
        <v>1.136363636363636E-2</v>
      </c>
      <c r="AX136">
        <v>0.1931818181818182</v>
      </c>
      <c r="AY136">
        <v>0.125</v>
      </c>
      <c r="AZ136">
        <v>0.1818181818181818</v>
      </c>
      <c r="BA136">
        <v>0.5</v>
      </c>
      <c r="BB136">
        <v>0.70238095238095244</v>
      </c>
      <c r="BC136">
        <v>0.2</v>
      </c>
      <c r="BD136">
        <v>0.73863636363636365</v>
      </c>
      <c r="BE136">
        <v>4</v>
      </c>
      <c r="BF136">
        <v>0.53525432900432901</v>
      </c>
      <c r="BG136">
        <v>0.53</v>
      </c>
      <c r="BH136" t="s">
        <v>71</v>
      </c>
      <c r="BI136">
        <v>0.54</v>
      </c>
      <c r="BJ136" t="s">
        <v>71</v>
      </c>
      <c r="BK136" s="2">
        <f t="shared" si="5"/>
        <v>-1.0000000000000009E-2</v>
      </c>
      <c r="BL136" t="b">
        <f t="shared" si="6"/>
        <v>1</v>
      </c>
    </row>
    <row r="137" spans="1:64" x14ac:dyDescent="0.35">
      <c r="A137" t="s">
        <v>431</v>
      </c>
      <c r="B137" t="s">
        <v>427</v>
      </c>
      <c r="C137">
        <v>2019</v>
      </c>
      <c r="D137" t="s">
        <v>428</v>
      </c>
      <c r="E137" t="s">
        <v>429</v>
      </c>
      <c r="F137" t="s">
        <v>66</v>
      </c>
      <c r="G137" t="s">
        <v>101</v>
      </c>
      <c r="H137" t="s">
        <v>150</v>
      </c>
      <c r="I137" t="s">
        <v>430</v>
      </c>
      <c r="J137" t="s">
        <v>70</v>
      </c>
      <c r="L137">
        <v>1</v>
      </c>
      <c r="M137" t="b">
        <v>0</v>
      </c>
      <c r="N137">
        <v>1</v>
      </c>
      <c r="O137">
        <v>2</v>
      </c>
      <c r="P137">
        <v>7</v>
      </c>
      <c r="Q137">
        <v>4</v>
      </c>
      <c r="R137">
        <v>3</v>
      </c>
      <c r="S137">
        <v>5</v>
      </c>
      <c r="T137">
        <v>21</v>
      </c>
      <c r="U137">
        <v>131</v>
      </c>
      <c r="V137">
        <v>106</v>
      </c>
      <c r="W137">
        <v>18</v>
      </c>
      <c r="X137">
        <v>5.8888888888888893</v>
      </c>
      <c r="Y137">
        <v>7</v>
      </c>
      <c r="Z137">
        <v>32</v>
      </c>
      <c r="AA137">
        <v>0</v>
      </c>
      <c r="AB137">
        <v>0</v>
      </c>
      <c r="AC137">
        <v>1</v>
      </c>
      <c r="AD137">
        <v>1</v>
      </c>
      <c r="AE137">
        <v>18</v>
      </c>
      <c r="AF137">
        <v>1</v>
      </c>
      <c r="AG137">
        <v>13</v>
      </c>
      <c r="AH137">
        <v>0</v>
      </c>
      <c r="AI137">
        <v>0</v>
      </c>
      <c r="AJ137">
        <v>2</v>
      </c>
      <c r="AK137">
        <v>9</v>
      </c>
      <c r="AL137">
        <v>2</v>
      </c>
      <c r="AM137">
        <v>9</v>
      </c>
      <c r="AN137">
        <v>8</v>
      </c>
      <c r="AO137">
        <v>45</v>
      </c>
      <c r="AP137">
        <v>8</v>
      </c>
      <c r="AQ137">
        <v>50</v>
      </c>
      <c r="AR137">
        <v>0.24427480916030531</v>
      </c>
      <c r="AS137">
        <v>0</v>
      </c>
      <c r="AT137">
        <v>0.13740458015267179</v>
      </c>
      <c r="AU137">
        <v>9.9236641221374045E-2</v>
      </c>
      <c r="AV137">
        <v>0</v>
      </c>
      <c r="AW137">
        <v>6.8702290076335881E-2</v>
      </c>
      <c r="AX137">
        <v>0.34351145038167941</v>
      </c>
      <c r="AY137">
        <v>0.38167938931297712</v>
      </c>
      <c r="AZ137">
        <v>0.27480916030534353</v>
      </c>
      <c r="BA137">
        <v>0.66666666666666663</v>
      </c>
      <c r="BB137">
        <v>0.81481481481481488</v>
      </c>
      <c r="BC137">
        <v>0.53333333333333333</v>
      </c>
      <c r="BD137">
        <v>0.7967557251908397</v>
      </c>
      <c r="BE137">
        <v>4</v>
      </c>
      <c r="BF137">
        <v>0.70289263500141363</v>
      </c>
      <c r="BG137">
        <v>0.7</v>
      </c>
      <c r="BH137" t="s">
        <v>86</v>
      </c>
      <c r="BI137">
        <v>0.7</v>
      </c>
      <c r="BJ137" t="s">
        <v>86</v>
      </c>
      <c r="BK137" s="2">
        <f t="shared" si="5"/>
        <v>0</v>
      </c>
      <c r="BL137" t="b">
        <f t="shared" si="6"/>
        <v>1</v>
      </c>
    </row>
    <row r="138" spans="1:64" x14ac:dyDescent="0.35">
      <c r="A138" t="s">
        <v>432</v>
      </c>
      <c r="B138" t="s">
        <v>427</v>
      </c>
      <c r="C138">
        <v>2022</v>
      </c>
      <c r="D138" t="s">
        <v>428</v>
      </c>
      <c r="E138" t="s">
        <v>429</v>
      </c>
      <c r="F138" t="s">
        <v>66</v>
      </c>
      <c r="G138" t="s">
        <v>101</v>
      </c>
      <c r="H138" t="s">
        <v>150</v>
      </c>
      <c r="I138" t="s">
        <v>430</v>
      </c>
      <c r="J138" t="s">
        <v>70</v>
      </c>
      <c r="L138">
        <v>1</v>
      </c>
      <c r="M138" t="b">
        <v>0</v>
      </c>
      <c r="N138">
        <v>1</v>
      </c>
      <c r="O138">
        <v>1</v>
      </c>
      <c r="P138">
        <v>5</v>
      </c>
      <c r="Q138">
        <v>0</v>
      </c>
      <c r="R138">
        <v>5</v>
      </c>
      <c r="S138">
        <v>5</v>
      </c>
      <c r="T138">
        <v>19</v>
      </c>
      <c r="U138">
        <v>85</v>
      </c>
      <c r="V138">
        <v>98</v>
      </c>
      <c r="W138">
        <v>15</v>
      </c>
      <c r="X138">
        <v>6.5333333333333332</v>
      </c>
      <c r="Y138">
        <v>2</v>
      </c>
      <c r="Z138">
        <v>9</v>
      </c>
      <c r="AA138">
        <v>1</v>
      </c>
      <c r="AB138">
        <v>2</v>
      </c>
      <c r="AC138">
        <v>2</v>
      </c>
      <c r="AD138">
        <v>2</v>
      </c>
      <c r="AE138">
        <v>11</v>
      </c>
      <c r="AF138">
        <v>1</v>
      </c>
      <c r="AG138">
        <v>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4</v>
      </c>
      <c r="AO138">
        <v>20</v>
      </c>
      <c r="AP138">
        <v>5</v>
      </c>
      <c r="AQ138">
        <v>22</v>
      </c>
      <c r="AR138">
        <v>0.1058823529411765</v>
      </c>
      <c r="AS138">
        <v>2.3529411764705879E-2</v>
      </c>
      <c r="AT138">
        <v>0.12941176470588239</v>
      </c>
      <c r="AU138">
        <v>0.1058823529411765</v>
      </c>
      <c r="AV138">
        <v>0</v>
      </c>
      <c r="AW138">
        <v>0</v>
      </c>
      <c r="AX138">
        <v>0.23529411764705879</v>
      </c>
      <c r="AY138">
        <v>0.25882352941176467</v>
      </c>
      <c r="AZ138">
        <v>0.23529411764705879</v>
      </c>
      <c r="BA138">
        <v>0.66666666666666663</v>
      </c>
      <c r="BB138">
        <v>0.92222222222222217</v>
      </c>
      <c r="BC138">
        <v>0.33333333333333331</v>
      </c>
      <c r="BD138">
        <v>0.7720588235294118</v>
      </c>
      <c r="BE138">
        <v>4</v>
      </c>
      <c r="BF138">
        <v>0.67357026143790844</v>
      </c>
      <c r="BG138">
        <v>0.67</v>
      </c>
      <c r="BH138" t="s">
        <v>86</v>
      </c>
      <c r="BI138">
        <v>0.67</v>
      </c>
      <c r="BJ138" t="s">
        <v>86</v>
      </c>
      <c r="BK138" s="2">
        <f t="shared" si="5"/>
        <v>0</v>
      </c>
      <c r="BL138" t="b">
        <f t="shared" si="6"/>
        <v>1</v>
      </c>
    </row>
    <row r="139" spans="1:64" x14ac:dyDescent="0.35">
      <c r="A139" t="s">
        <v>433</v>
      </c>
      <c r="B139" t="s">
        <v>434</v>
      </c>
      <c r="C139">
        <v>2015</v>
      </c>
      <c r="D139" t="s">
        <v>435</v>
      </c>
      <c r="E139" t="s">
        <v>436</v>
      </c>
      <c r="F139" t="s">
        <v>66</v>
      </c>
      <c r="G139" t="s">
        <v>101</v>
      </c>
      <c r="H139" t="s">
        <v>129</v>
      </c>
      <c r="I139" t="s">
        <v>437</v>
      </c>
      <c r="J139" t="s">
        <v>70</v>
      </c>
      <c r="L139">
        <v>3</v>
      </c>
      <c r="M139" t="b">
        <v>0</v>
      </c>
      <c r="N139">
        <v>1</v>
      </c>
      <c r="O139">
        <v>3</v>
      </c>
      <c r="P139">
        <v>19</v>
      </c>
      <c r="Q139">
        <v>2</v>
      </c>
      <c r="R139">
        <v>17</v>
      </c>
      <c r="S139">
        <v>7</v>
      </c>
      <c r="T139">
        <v>44</v>
      </c>
      <c r="U139">
        <v>1164</v>
      </c>
      <c r="V139">
        <v>225</v>
      </c>
      <c r="W139">
        <v>33</v>
      </c>
      <c r="X139">
        <v>6.8181818181818183</v>
      </c>
      <c r="Y139">
        <v>6</v>
      </c>
      <c r="Z139">
        <v>282</v>
      </c>
      <c r="AA139">
        <v>1</v>
      </c>
      <c r="AB139">
        <v>6</v>
      </c>
      <c r="AC139">
        <v>7</v>
      </c>
      <c r="AD139">
        <v>7</v>
      </c>
      <c r="AE139">
        <v>253</v>
      </c>
      <c r="AF139">
        <v>1</v>
      </c>
      <c r="AG139">
        <v>8</v>
      </c>
      <c r="AH139">
        <v>1</v>
      </c>
      <c r="AI139">
        <v>1</v>
      </c>
      <c r="AJ139">
        <v>2</v>
      </c>
      <c r="AK139">
        <v>3</v>
      </c>
      <c r="AL139">
        <v>3</v>
      </c>
      <c r="AM139">
        <v>4</v>
      </c>
      <c r="AN139">
        <v>8</v>
      </c>
      <c r="AO139">
        <v>296</v>
      </c>
      <c r="AP139">
        <v>14</v>
      </c>
      <c r="AQ139">
        <v>541</v>
      </c>
      <c r="AR139">
        <v>0.2422680412371134</v>
      </c>
      <c r="AS139">
        <v>5.1546391752577319E-3</v>
      </c>
      <c r="AT139">
        <v>0.2173539518900344</v>
      </c>
      <c r="AU139">
        <v>6.8728522336769758E-3</v>
      </c>
      <c r="AV139">
        <v>8.5910652920962198E-4</v>
      </c>
      <c r="AW139">
        <v>3.4364261168384879E-3</v>
      </c>
      <c r="AX139">
        <v>0.25429553264604809</v>
      </c>
      <c r="AY139">
        <v>0.46477663230240551</v>
      </c>
      <c r="AZ139">
        <v>0.25085910652920962</v>
      </c>
      <c r="BA139">
        <v>1</v>
      </c>
      <c r="BB139">
        <v>0.96969696969696972</v>
      </c>
      <c r="BC139">
        <v>0.93333333333333335</v>
      </c>
      <c r="BD139">
        <v>0.78178694158075601</v>
      </c>
      <c r="BE139">
        <v>4</v>
      </c>
      <c r="BF139">
        <v>0.9212043111527648</v>
      </c>
      <c r="BG139">
        <v>0.92</v>
      </c>
      <c r="BH139" t="s">
        <v>164</v>
      </c>
      <c r="BI139">
        <v>0.92</v>
      </c>
      <c r="BJ139" t="s">
        <v>164</v>
      </c>
      <c r="BK139" s="2">
        <f t="shared" si="5"/>
        <v>0</v>
      </c>
      <c r="BL139" t="b">
        <f t="shared" si="6"/>
        <v>1</v>
      </c>
    </row>
    <row r="140" spans="1:64" x14ac:dyDescent="0.35">
      <c r="A140" t="s">
        <v>438</v>
      </c>
      <c r="B140" t="s">
        <v>434</v>
      </c>
      <c r="C140">
        <v>2019</v>
      </c>
      <c r="D140" t="s">
        <v>435</v>
      </c>
      <c r="E140" t="s">
        <v>436</v>
      </c>
      <c r="F140" t="s">
        <v>66</v>
      </c>
      <c r="G140" t="s">
        <v>101</v>
      </c>
      <c r="H140" t="s">
        <v>129</v>
      </c>
      <c r="I140" t="s">
        <v>437</v>
      </c>
      <c r="J140" t="s">
        <v>70</v>
      </c>
      <c r="L140">
        <v>3</v>
      </c>
      <c r="M140" t="b">
        <v>0</v>
      </c>
      <c r="N140">
        <v>1</v>
      </c>
      <c r="O140">
        <v>1</v>
      </c>
      <c r="P140">
        <v>9</v>
      </c>
      <c r="Q140">
        <v>3</v>
      </c>
      <c r="R140">
        <v>6</v>
      </c>
      <c r="S140">
        <v>5</v>
      </c>
      <c r="T140">
        <v>28</v>
      </c>
      <c r="U140">
        <v>688</v>
      </c>
      <c r="V140">
        <v>142</v>
      </c>
      <c r="W140">
        <v>23</v>
      </c>
      <c r="X140">
        <v>6.1739130434782608</v>
      </c>
      <c r="Y140">
        <v>6</v>
      </c>
      <c r="Z140">
        <v>145</v>
      </c>
      <c r="AA140">
        <v>0</v>
      </c>
      <c r="AB140">
        <v>0</v>
      </c>
      <c r="AC140">
        <v>3</v>
      </c>
      <c r="AD140">
        <v>3</v>
      </c>
      <c r="AE140">
        <v>225</v>
      </c>
      <c r="AF140">
        <v>1</v>
      </c>
      <c r="AG140">
        <v>9</v>
      </c>
      <c r="AH140">
        <v>0</v>
      </c>
      <c r="AI140">
        <v>0</v>
      </c>
      <c r="AJ140">
        <v>2</v>
      </c>
      <c r="AK140">
        <v>11</v>
      </c>
      <c r="AL140">
        <v>2</v>
      </c>
      <c r="AM140">
        <v>11</v>
      </c>
      <c r="AN140">
        <v>7</v>
      </c>
      <c r="AO140">
        <v>154</v>
      </c>
      <c r="AP140">
        <v>9</v>
      </c>
      <c r="AQ140">
        <v>370</v>
      </c>
      <c r="AR140">
        <v>0.21075581395348841</v>
      </c>
      <c r="AS140">
        <v>0</v>
      </c>
      <c r="AT140">
        <v>0.32703488372093031</v>
      </c>
      <c r="AU140">
        <v>1.308139534883721E-2</v>
      </c>
      <c r="AV140">
        <v>0</v>
      </c>
      <c r="AW140">
        <v>1.598837209302326E-2</v>
      </c>
      <c r="AX140">
        <v>0.22383720930232559</v>
      </c>
      <c r="AY140">
        <v>0.53779069767441856</v>
      </c>
      <c r="AZ140">
        <v>0.20784883720930231</v>
      </c>
      <c r="BA140">
        <v>0.66666666666666663</v>
      </c>
      <c r="BB140">
        <v>0.86231884057971009</v>
      </c>
      <c r="BC140">
        <v>0.6</v>
      </c>
      <c r="BD140">
        <v>0.75490552325581395</v>
      </c>
      <c r="BE140">
        <v>4</v>
      </c>
      <c r="BF140">
        <v>0.72097275762554769</v>
      </c>
      <c r="BG140">
        <v>0.72</v>
      </c>
      <c r="BH140" t="s">
        <v>86</v>
      </c>
      <c r="BI140">
        <v>0.72</v>
      </c>
      <c r="BJ140" t="s">
        <v>86</v>
      </c>
      <c r="BK140" s="2">
        <f t="shared" si="5"/>
        <v>0</v>
      </c>
      <c r="BL140" t="b">
        <f t="shared" si="6"/>
        <v>1</v>
      </c>
    </row>
    <row r="141" spans="1:64" x14ac:dyDescent="0.35">
      <c r="A141" t="s">
        <v>439</v>
      </c>
      <c r="B141" t="s">
        <v>434</v>
      </c>
      <c r="C141">
        <v>2022</v>
      </c>
      <c r="D141" t="s">
        <v>435</v>
      </c>
      <c r="E141" t="s">
        <v>436</v>
      </c>
      <c r="F141" t="s">
        <v>66</v>
      </c>
      <c r="G141" t="s">
        <v>101</v>
      </c>
      <c r="H141" t="s">
        <v>129</v>
      </c>
      <c r="I141" t="s">
        <v>437</v>
      </c>
      <c r="J141" t="s">
        <v>70</v>
      </c>
      <c r="L141">
        <v>3</v>
      </c>
      <c r="M141" t="b">
        <v>0</v>
      </c>
      <c r="N141">
        <v>1</v>
      </c>
      <c r="O141">
        <v>2</v>
      </c>
      <c r="P141">
        <v>13</v>
      </c>
      <c r="Q141">
        <v>7</v>
      </c>
      <c r="R141">
        <v>6</v>
      </c>
      <c r="S141">
        <v>6</v>
      </c>
      <c r="T141">
        <v>49</v>
      </c>
      <c r="U141">
        <v>2275</v>
      </c>
      <c r="V141">
        <v>181</v>
      </c>
      <c r="W141">
        <v>31</v>
      </c>
      <c r="X141">
        <v>5.838709677419355</v>
      </c>
      <c r="Y141">
        <v>7</v>
      </c>
      <c r="Z141">
        <v>116</v>
      </c>
      <c r="AA141">
        <v>0</v>
      </c>
      <c r="AB141">
        <v>0</v>
      </c>
      <c r="AC141">
        <v>7</v>
      </c>
      <c r="AD141">
        <v>6</v>
      </c>
      <c r="AE141">
        <v>164</v>
      </c>
      <c r="AF141">
        <v>0</v>
      </c>
      <c r="AG141">
        <v>0</v>
      </c>
      <c r="AH141">
        <v>1</v>
      </c>
      <c r="AI141">
        <v>38</v>
      </c>
      <c r="AJ141">
        <v>1</v>
      </c>
      <c r="AK141">
        <v>3</v>
      </c>
      <c r="AL141">
        <v>2</v>
      </c>
      <c r="AM141">
        <v>41</v>
      </c>
      <c r="AN141">
        <v>7</v>
      </c>
      <c r="AO141">
        <v>116</v>
      </c>
      <c r="AP141">
        <v>13</v>
      </c>
      <c r="AQ141">
        <v>280</v>
      </c>
      <c r="AR141">
        <v>5.0989010989010992E-2</v>
      </c>
      <c r="AS141">
        <v>0</v>
      </c>
      <c r="AT141">
        <v>7.2087912087912084E-2</v>
      </c>
      <c r="AU141">
        <v>0</v>
      </c>
      <c r="AV141">
        <v>1.6703296703296708E-2</v>
      </c>
      <c r="AW141">
        <v>1.8021978021978021E-2</v>
      </c>
      <c r="AX141">
        <v>5.0989010989010992E-2</v>
      </c>
      <c r="AY141">
        <v>0.1230769230769231</v>
      </c>
      <c r="AZ141">
        <v>3.2967032967032968E-2</v>
      </c>
      <c r="BA141">
        <v>0.83333333333333337</v>
      </c>
      <c r="BB141">
        <v>0.80645161290322587</v>
      </c>
      <c r="BC141">
        <v>0.8666666666666667</v>
      </c>
      <c r="BD141">
        <v>0.64560439560439564</v>
      </c>
      <c r="BE141">
        <v>4</v>
      </c>
      <c r="BF141">
        <v>0.78801400212690542</v>
      </c>
      <c r="BG141">
        <v>0.79</v>
      </c>
      <c r="BH141" t="s">
        <v>86</v>
      </c>
      <c r="BI141">
        <v>0.79</v>
      </c>
      <c r="BJ141" t="s">
        <v>86</v>
      </c>
      <c r="BK141" s="2">
        <f t="shared" si="5"/>
        <v>0</v>
      </c>
      <c r="BL141" t="b">
        <f t="shared" si="6"/>
        <v>1</v>
      </c>
    </row>
    <row r="142" spans="1:64" x14ac:dyDescent="0.35">
      <c r="A142" t="s">
        <v>440</v>
      </c>
      <c r="B142" t="s">
        <v>441</v>
      </c>
      <c r="C142">
        <v>2014</v>
      </c>
      <c r="D142" t="s">
        <v>442</v>
      </c>
      <c r="E142" t="s">
        <v>443</v>
      </c>
      <c r="F142" t="s">
        <v>66</v>
      </c>
      <c r="G142" t="s">
        <v>101</v>
      </c>
      <c r="H142" t="s">
        <v>102</v>
      </c>
      <c r="I142" t="s">
        <v>102</v>
      </c>
      <c r="J142" t="s">
        <v>70</v>
      </c>
      <c r="L142">
        <v>4</v>
      </c>
      <c r="M142" t="b">
        <v>0</v>
      </c>
      <c r="N142">
        <v>2</v>
      </c>
      <c r="O142">
        <v>1</v>
      </c>
      <c r="P142">
        <v>7</v>
      </c>
      <c r="Q142">
        <v>1</v>
      </c>
      <c r="R142">
        <v>6</v>
      </c>
      <c r="S142">
        <v>5</v>
      </c>
      <c r="T142">
        <v>23</v>
      </c>
      <c r="U142">
        <v>138</v>
      </c>
      <c r="V142">
        <v>113</v>
      </c>
      <c r="W142">
        <v>20</v>
      </c>
      <c r="X142">
        <v>5.65</v>
      </c>
      <c r="Y142">
        <v>2</v>
      </c>
      <c r="Z142">
        <v>17</v>
      </c>
      <c r="AA142">
        <v>0</v>
      </c>
      <c r="AB142">
        <v>0</v>
      </c>
      <c r="AC142">
        <v>1</v>
      </c>
      <c r="AD142">
        <v>1</v>
      </c>
      <c r="AE142">
        <v>10</v>
      </c>
      <c r="AF142">
        <v>0</v>
      </c>
      <c r="AG142">
        <v>0</v>
      </c>
      <c r="AH142">
        <v>1</v>
      </c>
      <c r="AI142">
        <v>11</v>
      </c>
      <c r="AJ142">
        <v>0</v>
      </c>
      <c r="AK142">
        <v>0</v>
      </c>
      <c r="AL142">
        <v>2</v>
      </c>
      <c r="AM142">
        <v>13</v>
      </c>
      <c r="AN142">
        <v>2</v>
      </c>
      <c r="AO142">
        <v>17</v>
      </c>
      <c r="AP142">
        <v>3</v>
      </c>
      <c r="AQ142">
        <v>27</v>
      </c>
      <c r="AR142">
        <v>0.1231884057971015</v>
      </c>
      <c r="AS142">
        <v>0</v>
      </c>
      <c r="AT142">
        <v>7.2463768115942032E-2</v>
      </c>
      <c r="AU142">
        <v>0</v>
      </c>
      <c r="AV142">
        <v>7.9710144927536225E-2</v>
      </c>
      <c r="AW142">
        <v>9.420289855072464E-2</v>
      </c>
      <c r="AX142">
        <v>0.1231884057971015</v>
      </c>
      <c r="AY142">
        <v>0.19565217391304349</v>
      </c>
      <c r="AZ142">
        <v>2.8985507246376819E-2</v>
      </c>
      <c r="BA142">
        <v>0.66666666666666663</v>
      </c>
      <c r="BB142">
        <v>0.77500000000000002</v>
      </c>
      <c r="BC142">
        <v>0.2</v>
      </c>
      <c r="BD142">
        <v>0.64311594202898537</v>
      </c>
      <c r="BE142">
        <v>4</v>
      </c>
      <c r="BF142">
        <v>0.57119565217391299</v>
      </c>
      <c r="BG142">
        <v>0.59</v>
      </c>
      <c r="BH142" t="s">
        <v>71</v>
      </c>
      <c r="BI142">
        <v>0.56999999999999995</v>
      </c>
      <c r="BJ142" t="s">
        <v>71</v>
      </c>
      <c r="BK142" s="2">
        <f t="shared" si="5"/>
        <v>2.0000000000000018E-2</v>
      </c>
      <c r="BL142" t="b">
        <f t="shared" si="6"/>
        <v>1</v>
      </c>
    </row>
    <row r="143" spans="1:64" x14ac:dyDescent="0.35">
      <c r="A143" t="s">
        <v>444</v>
      </c>
      <c r="B143" t="s">
        <v>441</v>
      </c>
      <c r="C143">
        <v>2015</v>
      </c>
      <c r="D143" t="s">
        <v>442</v>
      </c>
      <c r="E143" t="s">
        <v>443</v>
      </c>
      <c r="F143" t="s">
        <v>66</v>
      </c>
      <c r="G143" t="s">
        <v>101</v>
      </c>
      <c r="H143" t="s">
        <v>102</v>
      </c>
      <c r="I143" t="s">
        <v>102</v>
      </c>
      <c r="J143" t="s">
        <v>70</v>
      </c>
      <c r="L143">
        <v>4</v>
      </c>
      <c r="M143" t="b">
        <v>0</v>
      </c>
      <c r="N143">
        <v>1</v>
      </c>
      <c r="O143">
        <v>2</v>
      </c>
      <c r="P143">
        <v>10</v>
      </c>
      <c r="Q143">
        <v>2</v>
      </c>
      <c r="R143">
        <v>8</v>
      </c>
      <c r="S143">
        <v>6</v>
      </c>
      <c r="T143">
        <v>32</v>
      </c>
      <c r="U143">
        <v>413</v>
      </c>
      <c r="V143">
        <v>146</v>
      </c>
      <c r="W143">
        <v>24</v>
      </c>
      <c r="X143">
        <v>6.083333333333333</v>
      </c>
      <c r="Y143">
        <v>2</v>
      </c>
      <c r="Z143">
        <v>16</v>
      </c>
      <c r="AA143">
        <v>0</v>
      </c>
      <c r="AB143">
        <v>0</v>
      </c>
      <c r="AC143">
        <v>1</v>
      </c>
      <c r="AD143">
        <v>1</v>
      </c>
      <c r="AE143">
        <v>17</v>
      </c>
      <c r="AF143">
        <v>1</v>
      </c>
      <c r="AG143">
        <v>1</v>
      </c>
      <c r="AH143">
        <v>0</v>
      </c>
      <c r="AI143">
        <v>0</v>
      </c>
      <c r="AJ143">
        <v>1</v>
      </c>
      <c r="AK143">
        <v>1</v>
      </c>
      <c r="AL143">
        <v>1</v>
      </c>
      <c r="AM143">
        <v>1</v>
      </c>
      <c r="AN143">
        <v>3</v>
      </c>
      <c r="AO143">
        <v>17</v>
      </c>
      <c r="AP143">
        <v>3</v>
      </c>
      <c r="AQ143">
        <v>33</v>
      </c>
      <c r="AR143">
        <v>3.8740920096852302E-2</v>
      </c>
      <c r="AS143">
        <v>0</v>
      </c>
      <c r="AT143">
        <v>4.1162227602905568E-2</v>
      </c>
      <c r="AU143">
        <v>2.4213075060532689E-3</v>
      </c>
      <c r="AV143">
        <v>0</v>
      </c>
      <c r="AW143">
        <v>2.4213075060532689E-3</v>
      </c>
      <c r="AX143">
        <v>4.1162227602905568E-2</v>
      </c>
      <c r="AY143">
        <v>7.990314769975787E-2</v>
      </c>
      <c r="AZ143">
        <v>3.8740920096852302E-2</v>
      </c>
      <c r="BA143">
        <v>0.83333333333333337</v>
      </c>
      <c r="BB143">
        <v>0.84722222222222221</v>
      </c>
      <c r="BC143">
        <v>0.2</v>
      </c>
      <c r="BD143">
        <v>0.64921307506053261</v>
      </c>
      <c r="BE143">
        <v>4</v>
      </c>
      <c r="BF143">
        <v>0.63244215765402201</v>
      </c>
      <c r="BG143">
        <v>0.63</v>
      </c>
      <c r="BH143" t="s">
        <v>86</v>
      </c>
      <c r="BI143">
        <v>0.63</v>
      </c>
      <c r="BJ143" t="s">
        <v>86</v>
      </c>
      <c r="BK143" s="2">
        <f t="shared" si="5"/>
        <v>0</v>
      </c>
      <c r="BL143" t="b">
        <f t="shared" si="6"/>
        <v>1</v>
      </c>
    </row>
    <row r="144" spans="1:64" x14ac:dyDescent="0.35">
      <c r="A144" t="s">
        <v>445</v>
      </c>
      <c r="B144" t="s">
        <v>441</v>
      </c>
      <c r="C144">
        <v>2016</v>
      </c>
      <c r="D144" t="s">
        <v>442</v>
      </c>
      <c r="E144" t="s">
        <v>443</v>
      </c>
      <c r="F144" t="s">
        <v>66</v>
      </c>
      <c r="G144" t="s">
        <v>101</v>
      </c>
      <c r="H144" t="s">
        <v>102</v>
      </c>
      <c r="I144" t="s">
        <v>102</v>
      </c>
      <c r="J144" t="s">
        <v>70</v>
      </c>
      <c r="L144">
        <v>4</v>
      </c>
      <c r="M144" t="b">
        <v>0</v>
      </c>
      <c r="N144">
        <v>1</v>
      </c>
      <c r="O144">
        <v>2</v>
      </c>
      <c r="P144">
        <v>13</v>
      </c>
      <c r="Q144">
        <v>5</v>
      </c>
      <c r="R144">
        <v>8</v>
      </c>
      <c r="S144">
        <v>6</v>
      </c>
      <c r="T144">
        <v>35</v>
      </c>
      <c r="U144">
        <v>451</v>
      </c>
      <c r="V144">
        <v>181</v>
      </c>
      <c r="W144">
        <v>28</v>
      </c>
      <c r="X144">
        <v>6.4642857142857144</v>
      </c>
      <c r="Y144">
        <v>6</v>
      </c>
      <c r="Z144">
        <v>238</v>
      </c>
      <c r="AA144">
        <v>1</v>
      </c>
      <c r="AB144">
        <v>25</v>
      </c>
      <c r="AC144">
        <v>3</v>
      </c>
      <c r="AD144">
        <v>3</v>
      </c>
      <c r="AE144">
        <v>13</v>
      </c>
      <c r="AF144">
        <v>1</v>
      </c>
      <c r="AG144">
        <v>13</v>
      </c>
      <c r="AH144">
        <v>1</v>
      </c>
      <c r="AI144">
        <v>1</v>
      </c>
      <c r="AJ144">
        <v>2</v>
      </c>
      <c r="AK144">
        <v>23</v>
      </c>
      <c r="AL144">
        <v>3</v>
      </c>
      <c r="AM144">
        <v>24</v>
      </c>
      <c r="AN144">
        <v>8</v>
      </c>
      <c r="AO144">
        <v>276</v>
      </c>
      <c r="AP144">
        <v>10</v>
      </c>
      <c r="AQ144">
        <v>276</v>
      </c>
      <c r="AR144">
        <v>0.52771618625277161</v>
      </c>
      <c r="AS144">
        <v>5.543237250554324E-2</v>
      </c>
      <c r="AT144">
        <v>2.8824833702882479E-2</v>
      </c>
      <c r="AU144">
        <v>2.8824833702882479E-2</v>
      </c>
      <c r="AV144">
        <v>2.2172949002217291E-3</v>
      </c>
      <c r="AW144">
        <v>5.3215077605321508E-2</v>
      </c>
      <c r="AX144">
        <v>0.61197339246119731</v>
      </c>
      <c r="AY144">
        <v>0.61197339246119731</v>
      </c>
      <c r="AZ144">
        <v>0.55875831485587579</v>
      </c>
      <c r="BA144">
        <v>0.83333333333333337</v>
      </c>
      <c r="BB144">
        <v>0.9107142857142857</v>
      </c>
      <c r="BC144">
        <v>0.66666666666666663</v>
      </c>
      <c r="BD144">
        <v>0.9742239467849223</v>
      </c>
      <c r="BE144">
        <v>4</v>
      </c>
      <c r="BF144">
        <v>0.84623455812480197</v>
      </c>
      <c r="BG144">
        <v>0.86</v>
      </c>
      <c r="BH144" t="s">
        <v>164</v>
      </c>
      <c r="BI144">
        <v>0.85</v>
      </c>
      <c r="BJ144" t="s">
        <v>164</v>
      </c>
      <c r="BK144" s="2">
        <f t="shared" si="5"/>
        <v>1.0000000000000009E-2</v>
      </c>
      <c r="BL144" t="b">
        <f t="shared" si="6"/>
        <v>1</v>
      </c>
    </row>
    <row r="145" spans="1:64" x14ac:dyDescent="0.35">
      <c r="A145" t="s">
        <v>446</v>
      </c>
      <c r="B145" t="s">
        <v>441</v>
      </c>
      <c r="C145">
        <v>2017</v>
      </c>
      <c r="D145" t="s">
        <v>442</v>
      </c>
      <c r="E145" t="s">
        <v>443</v>
      </c>
      <c r="F145" t="s">
        <v>66</v>
      </c>
      <c r="G145" t="s">
        <v>101</v>
      </c>
      <c r="H145" t="s">
        <v>102</v>
      </c>
      <c r="I145" t="s">
        <v>102</v>
      </c>
      <c r="J145" t="s">
        <v>70</v>
      </c>
      <c r="L145">
        <v>4</v>
      </c>
      <c r="M145" t="b">
        <v>0</v>
      </c>
      <c r="N145">
        <v>1</v>
      </c>
      <c r="O145">
        <v>1</v>
      </c>
      <c r="P145">
        <v>6</v>
      </c>
      <c r="Q145">
        <v>2</v>
      </c>
      <c r="R145">
        <v>4</v>
      </c>
      <c r="S145">
        <v>5</v>
      </c>
      <c r="T145">
        <v>20</v>
      </c>
      <c r="U145">
        <v>152</v>
      </c>
      <c r="V145">
        <v>96</v>
      </c>
      <c r="W145">
        <v>17</v>
      </c>
      <c r="X145">
        <v>5.6470588235294121</v>
      </c>
      <c r="Y145">
        <v>2</v>
      </c>
      <c r="Z145">
        <v>29</v>
      </c>
      <c r="AA145">
        <v>1</v>
      </c>
      <c r="AB145">
        <v>9</v>
      </c>
      <c r="AC145">
        <v>3</v>
      </c>
      <c r="AD145">
        <v>3</v>
      </c>
      <c r="AE145">
        <v>19</v>
      </c>
      <c r="AF145">
        <v>1</v>
      </c>
      <c r="AG145">
        <v>7</v>
      </c>
      <c r="AH145">
        <v>1</v>
      </c>
      <c r="AI145">
        <v>5</v>
      </c>
      <c r="AJ145">
        <v>0</v>
      </c>
      <c r="AK145">
        <v>0</v>
      </c>
      <c r="AL145">
        <v>1</v>
      </c>
      <c r="AM145">
        <v>5</v>
      </c>
      <c r="AN145">
        <v>4</v>
      </c>
      <c r="AO145">
        <v>45</v>
      </c>
      <c r="AP145">
        <v>6</v>
      </c>
      <c r="AQ145">
        <v>57</v>
      </c>
      <c r="AR145">
        <v>0.19078947368421051</v>
      </c>
      <c r="AS145">
        <v>5.921052631578947E-2</v>
      </c>
      <c r="AT145">
        <v>0.125</v>
      </c>
      <c r="AU145">
        <v>4.6052631578947373E-2</v>
      </c>
      <c r="AV145">
        <v>3.2894736842105261E-2</v>
      </c>
      <c r="AW145">
        <v>3.2894736842105261E-2</v>
      </c>
      <c r="AX145">
        <v>0.29605263157894729</v>
      </c>
      <c r="AY145">
        <v>0.375</v>
      </c>
      <c r="AZ145">
        <v>0.26315789473684209</v>
      </c>
      <c r="BA145">
        <v>0.66666666666666663</v>
      </c>
      <c r="BB145">
        <v>0.77450980392156865</v>
      </c>
      <c r="BC145">
        <v>0.4</v>
      </c>
      <c r="BD145">
        <v>0.78947368421052622</v>
      </c>
      <c r="BE145">
        <v>4</v>
      </c>
      <c r="BF145">
        <v>0.65766253869969038</v>
      </c>
      <c r="BG145">
        <v>0.71</v>
      </c>
      <c r="BH145" t="s">
        <v>86</v>
      </c>
      <c r="BI145">
        <v>0.66</v>
      </c>
      <c r="BJ145" t="s">
        <v>86</v>
      </c>
      <c r="BK145" s="2">
        <f t="shared" si="5"/>
        <v>4.9999999999999933E-2</v>
      </c>
      <c r="BL145" t="b">
        <f t="shared" si="6"/>
        <v>1</v>
      </c>
    </row>
    <row r="146" spans="1:64" x14ac:dyDescent="0.35">
      <c r="A146" t="s">
        <v>447</v>
      </c>
      <c r="B146" t="s">
        <v>441</v>
      </c>
      <c r="C146">
        <v>2020</v>
      </c>
      <c r="D146" t="s">
        <v>442</v>
      </c>
      <c r="E146" t="s">
        <v>443</v>
      </c>
      <c r="F146" t="s">
        <v>66</v>
      </c>
      <c r="G146" t="s">
        <v>101</v>
      </c>
      <c r="H146" t="s">
        <v>102</v>
      </c>
      <c r="I146" t="s">
        <v>102</v>
      </c>
      <c r="J146" t="s">
        <v>70</v>
      </c>
      <c r="L146">
        <v>4</v>
      </c>
      <c r="M146" t="b">
        <v>0</v>
      </c>
      <c r="N146">
        <v>1</v>
      </c>
      <c r="O146">
        <v>1</v>
      </c>
      <c r="P146">
        <v>6</v>
      </c>
      <c r="Q146">
        <v>3</v>
      </c>
      <c r="R146">
        <v>3</v>
      </c>
      <c r="S146">
        <v>4</v>
      </c>
      <c r="T146">
        <v>25</v>
      </c>
      <c r="U146">
        <v>379</v>
      </c>
      <c r="V146">
        <v>98</v>
      </c>
      <c r="W146">
        <v>18</v>
      </c>
      <c r="X146">
        <v>5.4444444444444446</v>
      </c>
      <c r="Y146">
        <v>4</v>
      </c>
      <c r="Z146">
        <v>92</v>
      </c>
      <c r="AA146">
        <v>0</v>
      </c>
      <c r="AB146">
        <v>0</v>
      </c>
      <c r="AC146">
        <v>1</v>
      </c>
      <c r="AD146">
        <v>1</v>
      </c>
      <c r="AE146">
        <v>108</v>
      </c>
      <c r="AF146">
        <v>1</v>
      </c>
      <c r="AG146">
        <v>1</v>
      </c>
      <c r="AH146">
        <v>2</v>
      </c>
      <c r="AI146">
        <v>7</v>
      </c>
      <c r="AJ146">
        <v>2</v>
      </c>
      <c r="AK146">
        <v>2</v>
      </c>
      <c r="AL146">
        <v>4</v>
      </c>
      <c r="AM146">
        <v>9</v>
      </c>
      <c r="AN146">
        <v>5</v>
      </c>
      <c r="AO146">
        <v>93</v>
      </c>
      <c r="AP146">
        <v>5</v>
      </c>
      <c r="AQ146">
        <v>200</v>
      </c>
      <c r="AR146">
        <v>0.2427440633245383</v>
      </c>
      <c r="AS146">
        <v>0</v>
      </c>
      <c r="AT146">
        <v>0.28496042216358841</v>
      </c>
      <c r="AU146">
        <v>2.6385224274406332E-3</v>
      </c>
      <c r="AV146">
        <v>1.8469656992084429E-2</v>
      </c>
      <c r="AW146">
        <v>2.3746701846965701E-2</v>
      </c>
      <c r="AX146">
        <v>0.24538258575197891</v>
      </c>
      <c r="AY146">
        <v>0.52770448548812665</v>
      </c>
      <c r="AZ146">
        <v>0.22163588390501321</v>
      </c>
      <c r="BA146">
        <v>0.5</v>
      </c>
      <c r="BB146">
        <v>0.74074074074074081</v>
      </c>
      <c r="BC146">
        <v>0.33333333333333331</v>
      </c>
      <c r="BD146">
        <v>0.76352242744063326</v>
      </c>
      <c r="BE146">
        <v>4</v>
      </c>
      <c r="BF146">
        <v>0.58439912537867689</v>
      </c>
      <c r="BG146">
        <v>0.59</v>
      </c>
      <c r="BH146" t="s">
        <v>71</v>
      </c>
      <c r="BI146">
        <v>0.57999999999999996</v>
      </c>
      <c r="BJ146" t="s">
        <v>71</v>
      </c>
      <c r="BK146" s="2">
        <f t="shared" si="5"/>
        <v>1.0000000000000009E-2</v>
      </c>
      <c r="BL146" t="b">
        <f t="shared" si="6"/>
        <v>1</v>
      </c>
    </row>
    <row r="147" spans="1:64" x14ac:dyDescent="0.35">
      <c r="A147" t="s">
        <v>448</v>
      </c>
      <c r="B147" t="s">
        <v>449</v>
      </c>
      <c r="C147">
        <v>2014</v>
      </c>
      <c r="D147" t="s">
        <v>450</v>
      </c>
      <c r="E147" t="s">
        <v>451</v>
      </c>
      <c r="F147" t="s">
        <v>66</v>
      </c>
      <c r="G147" t="s">
        <v>101</v>
      </c>
      <c r="H147" t="s">
        <v>170</v>
      </c>
      <c r="I147" t="s">
        <v>452</v>
      </c>
      <c r="J147" t="s">
        <v>70</v>
      </c>
      <c r="L147">
        <v>1</v>
      </c>
      <c r="M147" t="b">
        <v>0</v>
      </c>
      <c r="N147">
        <v>1</v>
      </c>
      <c r="O147">
        <v>1</v>
      </c>
      <c r="P147">
        <v>6</v>
      </c>
      <c r="Q147">
        <v>4</v>
      </c>
      <c r="R147">
        <v>2</v>
      </c>
      <c r="S147">
        <v>4</v>
      </c>
      <c r="T147">
        <v>21</v>
      </c>
      <c r="U147">
        <v>298</v>
      </c>
      <c r="V147">
        <v>89</v>
      </c>
      <c r="W147">
        <v>19</v>
      </c>
      <c r="X147">
        <v>4.6842105263157894</v>
      </c>
      <c r="Y147">
        <v>1</v>
      </c>
      <c r="Z147">
        <v>49</v>
      </c>
      <c r="AA147">
        <v>0</v>
      </c>
      <c r="AB147">
        <v>0</v>
      </c>
      <c r="AC147">
        <v>1</v>
      </c>
      <c r="AD147">
        <v>1</v>
      </c>
      <c r="AE147">
        <v>32</v>
      </c>
      <c r="AF147">
        <v>2</v>
      </c>
      <c r="AG147">
        <v>7</v>
      </c>
      <c r="AH147">
        <v>0</v>
      </c>
      <c r="AI147">
        <v>0</v>
      </c>
      <c r="AJ147">
        <v>4</v>
      </c>
      <c r="AK147">
        <v>32</v>
      </c>
      <c r="AL147">
        <v>4</v>
      </c>
      <c r="AM147">
        <v>32</v>
      </c>
      <c r="AN147">
        <v>3</v>
      </c>
      <c r="AO147">
        <v>56</v>
      </c>
      <c r="AP147">
        <v>2</v>
      </c>
      <c r="AQ147">
        <v>81</v>
      </c>
      <c r="AR147">
        <v>0.16442953020134229</v>
      </c>
      <c r="AS147">
        <v>0</v>
      </c>
      <c r="AT147">
        <v>0.1073825503355705</v>
      </c>
      <c r="AU147">
        <v>2.3489932885906041E-2</v>
      </c>
      <c r="AV147">
        <v>0</v>
      </c>
      <c r="AW147">
        <v>0.1073825503355705</v>
      </c>
      <c r="AX147">
        <v>0.1879194630872483</v>
      </c>
      <c r="AY147">
        <v>0.27181208053691269</v>
      </c>
      <c r="AZ147">
        <v>8.0536912751677861E-2</v>
      </c>
      <c r="BA147">
        <v>0.5</v>
      </c>
      <c r="BB147">
        <v>0.61403508771929827</v>
      </c>
      <c r="BC147">
        <v>0.1333333333333333</v>
      </c>
      <c r="BD147">
        <v>0.67533557046979864</v>
      </c>
      <c r="BE147">
        <v>4</v>
      </c>
      <c r="BF147">
        <v>0.48067599788060761</v>
      </c>
      <c r="BG147">
        <v>0.48</v>
      </c>
      <c r="BH147" t="s">
        <v>71</v>
      </c>
      <c r="BI147">
        <v>0.48</v>
      </c>
      <c r="BJ147" t="s">
        <v>71</v>
      </c>
      <c r="BK147" s="2">
        <f t="shared" si="5"/>
        <v>0</v>
      </c>
      <c r="BL147" t="b">
        <f t="shared" si="6"/>
        <v>1</v>
      </c>
    </row>
    <row r="148" spans="1:64" x14ac:dyDescent="0.35">
      <c r="A148" t="s">
        <v>453</v>
      </c>
      <c r="B148" t="s">
        <v>449</v>
      </c>
      <c r="C148">
        <v>2018</v>
      </c>
      <c r="D148" t="s">
        <v>450</v>
      </c>
      <c r="E148" t="s">
        <v>451</v>
      </c>
      <c r="F148" t="s">
        <v>66</v>
      </c>
      <c r="G148" t="s">
        <v>101</v>
      </c>
      <c r="H148" t="s">
        <v>170</v>
      </c>
      <c r="I148" t="s">
        <v>452</v>
      </c>
      <c r="J148" t="s">
        <v>70</v>
      </c>
      <c r="L148">
        <v>1</v>
      </c>
      <c r="M148" t="b">
        <v>0</v>
      </c>
      <c r="N148">
        <v>1</v>
      </c>
      <c r="O148">
        <v>2</v>
      </c>
      <c r="P148">
        <v>10</v>
      </c>
      <c r="Q148">
        <v>5</v>
      </c>
      <c r="R148">
        <v>5</v>
      </c>
      <c r="S148">
        <v>6</v>
      </c>
      <c r="T148">
        <v>35</v>
      </c>
      <c r="U148">
        <v>410</v>
      </c>
      <c r="V148">
        <v>132</v>
      </c>
      <c r="W148">
        <v>22</v>
      </c>
      <c r="X148">
        <v>6</v>
      </c>
      <c r="Y148">
        <v>8</v>
      </c>
      <c r="Z148">
        <v>96</v>
      </c>
      <c r="AA148">
        <v>0</v>
      </c>
      <c r="AB148">
        <v>0</v>
      </c>
      <c r="AC148">
        <v>3</v>
      </c>
      <c r="AD148">
        <v>3</v>
      </c>
      <c r="AE148">
        <v>66</v>
      </c>
      <c r="AF148">
        <v>0</v>
      </c>
      <c r="AG148">
        <v>0</v>
      </c>
      <c r="AH148">
        <v>2</v>
      </c>
      <c r="AI148">
        <v>22</v>
      </c>
      <c r="AJ148">
        <v>1</v>
      </c>
      <c r="AK148">
        <v>4</v>
      </c>
      <c r="AL148">
        <v>3</v>
      </c>
      <c r="AM148">
        <v>26</v>
      </c>
      <c r="AN148">
        <v>8</v>
      </c>
      <c r="AO148">
        <v>96</v>
      </c>
      <c r="AP148">
        <v>11</v>
      </c>
      <c r="AQ148">
        <v>162</v>
      </c>
      <c r="AR148">
        <v>0.23414634146341459</v>
      </c>
      <c r="AS148">
        <v>0</v>
      </c>
      <c r="AT148">
        <v>0.16097560975609759</v>
      </c>
      <c r="AU148">
        <v>0</v>
      </c>
      <c r="AV148">
        <v>5.3658536585365853E-2</v>
      </c>
      <c r="AW148">
        <v>6.3414634146341464E-2</v>
      </c>
      <c r="AX148">
        <v>0.23414634146341459</v>
      </c>
      <c r="AY148">
        <v>0.39512195121951221</v>
      </c>
      <c r="AZ148">
        <v>0.17073170731707321</v>
      </c>
      <c r="BA148">
        <v>0.83333333333333337</v>
      </c>
      <c r="BB148">
        <v>0.83333333333333337</v>
      </c>
      <c r="BC148">
        <v>0.73333333333333328</v>
      </c>
      <c r="BD148">
        <v>0.73170731707317083</v>
      </c>
      <c r="BE148">
        <v>4</v>
      </c>
      <c r="BF148">
        <v>0.78292682926829271</v>
      </c>
      <c r="BG148">
        <v>0.79</v>
      </c>
      <c r="BH148" t="s">
        <v>86</v>
      </c>
      <c r="BI148">
        <v>0.78</v>
      </c>
      <c r="BJ148" t="s">
        <v>86</v>
      </c>
      <c r="BK148" s="2">
        <f t="shared" si="5"/>
        <v>1.0000000000000009E-2</v>
      </c>
      <c r="BL148" t="b">
        <f t="shared" si="6"/>
        <v>1</v>
      </c>
    </row>
    <row r="149" spans="1:64" x14ac:dyDescent="0.35">
      <c r="A149" t="s">
        <v>454</v>
      </c>
      <c r="B149" t="s">
        <v>449</v>
      </c>
      <c r="C149">
        <v>2021</v>
      </c>
      <c r="D149" t="s">
        <v>450</v>
      </c>
      <c r="E149" t="s">
        <v>451</v>
      </c>
      <c r="F149" t="s">
        <v>66</v>
      </c>
      <c r="G149" t="s">
        <v>101</v>
      </c>
      <c r="H149" t="s">
        <v>170</v>
      </c>
      <c r="I149" t="s">
        <v>452</v>
      </c>
      <c r="J149" t="s">
        <v>70</v>
      </c>
      <c r="L149">
        <v>1</v>
      </c>
      <c r="M149" t="b">
        <v>0</v>
      </c>
      <c r="N149">
        <v>2</v>
      </c>
      <c r="O149">
        <v>2</v>
      </c>
      <c r="P149">
        <v>5</v>
      </c>
      <c r="Q149">
        <v>2</v>
      </c>
      <c r="R149">
        <v>3</v>
      </c>
      <c r="S149">
        <v>4</v>
      </c>
      <c r="T149">
        <v>21</v>
      </c>
      <c r="U149">
        <v>77</v>
      </c>
      <c r="V149">
        <v>99</v>
      </c>
      <c r="W149">
        <v>19</v>
      </c>
      <c r="X149">
        <v>5.2105263157894726</v>
      </c>
      <c r="Y149">
        <v>3</v>
      </c>
      <c r="Z149">
        <v>8</v>
      </c>
      <c r="AA149">
        <v>1</v>
      </c>
      <c r="AB149">
        <v>1</v>
      </c>
      <c r="AC149">
        <v>1</v>
      </c>
      <c r="AD149">
        <v>1</v>
      </c>
      <c r="AE149">
        <v>13</v>
      </c>
      <c r="AF149">
        <v>1</v>
      </c>
      <c r="AG149">
        <v>2</v>
      </c>
      <c r="AH149">
        <v>2</v>
      </c>
      <c r="AI149">
        <v>6</v>
      </c>
      <c r="AJ149">
        <v>2</v>
      </c>
      <c r="AK149">
        <v>4</v>
      </c>
      <c r="AL149">
        <v>4</v>
      </c>
      <c r="AM149">
        <v>10</v>
      </c>
      <c r="AN149">
        <v>5</v>
      </c>
      <c r="AO149">
        <v>11</v>
      </c>
      <c r="AP149">
        <v>5</v>
      </c>
      <c r="AQ149">
        <v>22</v>
      </c>
      <c r="AR149">
        <v>0.1038961038961039</v>
      </c>
      <c r="AS149">
        <v>1.298701298701299E-2</v>
      </c>
      <c r="AT149">
        <v>0.1688311688311688</v>
      </c>
      <c r="AU149">
        <v>2.5974025974025979E-2</v>
      </c>
      <c r="AV149">
        <v>7.792207792207792E-2</v>
      </c>
      <c r="AW149">
        <v>0.12987012987012991</v>
      </c>
      <c r="AX149">
        <v>0.14285714285714279</v>
      </c>
      <c r="AY149">
        <v>0.2857142857142857</v>
      </c>
      <c r="AZ149">
        <v>1.298701298701299E-2</v>
      </c>
      <c r="BA149">
        <v>0.5</v>
      </c>
      <c r="BB149">
        <v>0.70175438596491213</v>
      </c>
      <c r="BC149">
        <v>0.33333333333333331</v>
      </c>
      <c r="BD149">
        <v>0.63311688311688297</v>
      </c>
      <c r="BE149">
        <v>4</v>
      </c>
      <c r="BF149">
        <v>0.54205115060378206</v>
      </c>
      <c r="BG149">
        <v>0.55000000000000004</v>
      </c>
      <c r="BH149" t="s">
        <v>71</v>
      </c>
      <c r="BI149">
        <v>0.54</v>
      </c>
      <c r="BJ149" t="s">
        <v>71</v>
      </c>
      <c r="BK149" s="2">
        <f t="shared" si="5"/>
        <v>1.0000000000000009E-2</v>
      </c>
      <c r="BL149" t="b">
        <f t="shared" si="6"/>
        <v>1</v>
      </c>
    </row>
    <row r="150" spans="1:64" x14ac:dyDescent="0.35">
      <c r="A150" t="s">
        <v>455</v>
      </c>
      <c r="B150" t="s">
        <v>456</v>
      </c>
      <c r="C150">
        <v>2016</v>
      </c>
      <c r="D150" t="s">
        <v>457</v>
      </c>
      <c r="E150" t="s">
        <v>458</v>
      </c>
      <c r="F150" t="s">
        <v>66</v>
      </c>
      <c r="G150" t="s">
        <v>101</v>
      </c>
      <c r="H150" t="s">
        <v>150</v>
      </c>
      <c r="I150" t="s">
        <v>459</v>
      </c>
      <c r="J150" t="s">
        <v>70</v>
      </c>
      <c r="L150">
        <v>1</v>
      </c>
      <c r="M150" t="b">
        <v>0</v>
      </c>
      <c r="N150">
        <v>1</v>
      </c>
      <c r="O150">
        <v>5</v>
      </c>
      <c r="P150">
        <v>18</v>
      </c>
      <c r="Q150">
        <v>3</v>
      </c>
      <c r="R150">
        <v>15</v>
      </c>
      <c r="S150">
        <v>7</v>
      </c>
      <c r="T150">
        <v>54</v>
      </c>
      <c r="U150">
        <v>1151</v>
      </c>
      <c r="V150">
        <v>245</v>
      </c>
      <c r="W150">
        <v>38</v>
      </c>
      <c r="X150">
        <v>6.4473684210526319</v>
      </c>
      <c r="Y150">
        <v>6</v>
      </c>
      <c r="Z150">
        <v>132</v>
      </c>
      <c r="AA150">
        <v>4</v>
      </c>
      <c r="AB150">
        <v>51</v>
      </c>
      <c r="AC150">
        <v>5</v>
      </c>
      <c r="AD150">
        <v>5</v>
      </c>
      <c r="AE150">
        <v>141</v>
      </c>
      <c r="AF150">
        <v>2</v>
      </c>
      <c r="AG150">
        <v>27</v>
      </c>
      <c r="AH150">
        <v>0</v>
      </c>
      <c r="AI150">
        <v>0</v>
      </c>
      <c r="AJ150">
        <v>2</v>
      </c>
      <c r="AK150">
        <v>5</v>
      </c>
      <c r="AL150">
        <v>2</v>
      </c>
      <c r="AM150">
        <v>5</v>
      </c>
      <c r="AN150">
        <v>12</v>
      </c>
      <c r="AO150">
        <v>210</v>
      </c>
      <c r="AP150">
        <v>15</v>
      </c>
      <c r="AQ150">
        <v>324</v>
      </c>
      <c r="AR150">
        <v>0.11468288444830579</v>
      </c>
      <c r="AS150">
        <v>4.4309296264118163E-2</v>
      </c>
      <c r="AT150">
        <v>0.1225021720243267</v>
      </c>
      <c r="AU150">
        <v>2.3457862728062551E-2</v>
      </c>
      <c r="AV150">
        <v>0</v>
      </c>
      <c r="AW150">
        <v>4.3440486533449178E-3</v>
      </c>
      <c r="AX150">
        <v>0.18245004344048649</v>
      </c>
      <c r="AY150">
        <v>0.28149435273675072</v>
      </c>
      <c r="AZ150">
        <v>0.17810599478714159</v>
      </c>
      <c r="BA150">
        <v>1</v>
      </c>
      <c r="BB150">
        <v>0.90789473684210531</v>
      </c>
      <c r="BC150">
        <v>1</v>
      </c>
      <c r="BD150">
        <v>0.73631624674196339</v>
      </c>
      <c r="BE150">
        <v>4</v>
      </c>
      <c r="BF150">
        <v>0.91105274589601715</v>
      </c>
      <c r="BG150">
        <v>0.82</v>
      </c>
      <c r="BH150" t="s">
        <v>164</v>
      </c>
      <c r="BI150">
        <v>0.91</v>
      </c>
      <c r="BJ150" t="s">
        <v>164</v>
      </c>
      <c r="BK150" s="2">
        <f t="shared" si="5"/>
        <v>-9.000000000000008E-2</v>
      </c>
      <c r="BL150" t="b">
        <f t="shared" si="6"/>
        <v>1</v>
      </c>
    </row>
    <row r="151" spans="1:64" x14ac:dyDescent="0.35">
      <c r="A151" t="s">
        <v>460</v>
      </c>
      <c r="B151" t="s">
        <v>456</v>
      </c>
      <c r="C151">
        <v>2021</v>
      </c>
      <c r="D151" t="s">
        <v>457</v>
      </c>
      <c r="E151" t="s">
        <v>458</v>
      </c>
      <c r="F151" t="s">
        <v>66</v>
      </c>
      <c r="G151" t="s">
        <v>101</v>
      </c>
      <c r="H151" t="s">
        <v>150</v>
      </c>
      <c r="I151" t="s">
        <v>459</v>
      </c>
      <c r="J151" t="s">
        <v>70</v>
      </c>
      <c r="L151">
        <v>1</v>
      </c>
      <c r="M151" t="b">
        <v>0</v>
      </c>
      <c r="N151">
        <v>1</v>
      </c>
      <c r="O151">
        <v>3</v>
      </c>
      <c r="P151">
        <v>11</v>
      </c>
      <c r="Q151">
        <v>1</v>
      </c>
      <c r="R151">
        <v>10</v>
      </c>
      <c r="S151">
        <v>7</v>
      </c>
      <c r="T151">
        <v>31</v>
      </c>
      <c r="U151">
        <v>725</v>
      </c>
      <c r="V151">
        <v>155</v>
      </c>
      <c r="W151">
        <v>24</v>
      </c>
      <c r="X151">
        <v>6.458333333333333</v>
      </c>
      <c r="Y151">
        <v>4</v>
      </c>
      <c r="Z151">
        <v>257</v>
      </c>
      <c r="AA151">
        <v>2</v>
      </c>
      <c r="AB151">
        <v>42</v>
      </c>
      <c r="AC151">
        <v>7</v>
      </c>
      <c r="AD151">
        <v>6</v>
      </c>
      <c r="AE151">
        <v>128</v>
      </c>
      <c r="AF151">
        <v>1</v>
      </c>
      <c r="AG151">
        <v>47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7</v>
      </c>
      <c r="AO151">
        <v>346</v>
      </c>
      <c r="AP151">
        <v>12</v>
      </c>
      <c r="AQ151">
        <v>427</v>
      </c>
      <c r="AR151">
        <v>0.35448275862068968</v>
      </c>
      <c r="AS151">
        <v>5.7931034482758617E-2</v>
      </c>
      <c r="AT151">
        <v>0.17655172413793099</v>
      </c>
      <c r="AU151">
        <v>6.4827586206896548E-2</v>
      </c>
      <c r="AV151">
        <v>0</v>
      </c>
      <c r="AW151">
        <v>0</v>
      </c>
      <c r="AX151">
        <v>0.47724137931034483</v>
      </c>
      <c r="AY151">
        <v>0.58896551724137935</v>
      </c>
      <c r="AZ151">
        <v>0.47724137931034483</v>
      </c>
      <c r="BA151">
        <v>1</v>
      </c>
      <c r="BB151">
        <v>0.90972222222222221</v>
      </c>
      <c r="BC151">
        <v>0.8</v>
      </c>
      <c r="BD151">
        <v>0.92327586206896539</v>
      </c>
      <c r="BE151">
        <v>4</v>
      </c>
      <c r="BF151">
        <v>0.90824952107279688</v>
      </c>
      <c r="BG151">
        <v>0.86</v>
      </c>
      <c r="BH151" t="s">
        <v>164</v>
      </c>
      <c r="BI151">
        <v>0.91</v>
      </c>
      <c r="BJ151" t="s">
        <v>164</v>
      </c>
      <c r="BK151" s="2">
        <f t="shared" si="5"/>
        <v>-5.0000000000000044E-2</v>
      </c>
      <c r="BL151" t="b">
        <f t="shared" si="6"/>
        <v>1</v>
      </c>
    </row>
    <row r="152" spans="1:64" x14ac:dyDescent="0.35">
      <c r="A152" t="s">
        <v>461</v>
      </c>
      <c r="B152" t="s">
        <v>462</v>
      </c>
      <c r="C152">
        <v>2016</v>
      </c>
      <c r="D152" t="s">
        <v>463</v>
      </c>
      <c r="E152" t="s">
        <v>464</v>
      </c>
      <c r="F152" t="s">
        <v>66</v>
      </c>
      <c r="G152" t="s">
        <v>101</v>
      </c>
      <c r="H152" t="s">
        <v>348</v>
      </c>
      <c r="I152" t="s">
        <v>465</v>
      </c>
      <c r="J152" t="s">
        <v>70</v>
      </c>
      <c r="L152">
        <v>1</v>
      </c>
      <c r="M152" t="b">
        <v>0</v>
      </c>
      <c r="N152">
        <v>1</v>
      </c>
      <c r="O152">
        <v>3</v>
      </c>
      <c r="P152">
        <v>10</v>
      </c>
      <c r="Q152">
        <v>1</v>
      </c>
      <c r="R152">
        <v>9</v>
      </c>
      <c r="S152">
        <v>6</v>
      </c>
      <c r="T152">
        <v>35</v>
      </c>
      <c r="U152">
        <v>259</v>
      </c>
      <c r="V152">
        <v>164</v>
      </c>
      <c r="W152">
        <v>24</v>
      </c>
      <c r="X152">
        <v>6.833333333333333</v>
      </c>
      <c r="Y152">
        <v>3</v>
      </c>
      <c r="Z152">
        <v>19</v>
      </c>
      <c r="AA152">
        <v>1</v>
      </c>
      <c r="AB152">
        <v>1</v>
      </c>
      <c r="AC152">
        <v>6</v>
      </c>
      <c r="AD152">
        <v>5</v>
      </c>
      <c r="AE152">
        <v>34</v>
      </c>
      <c r="AF152">
        <v>3</v>
      </c>
      <c r="AG152">
        <v>70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7</v>
      </c>
      <c r="AO152">
        <v>90</v>
      </c>
      <c r="AP152">
        <v>9</v>
      </c>
      <c r="AQ152">
        <v>54</v>
      </c>
      <c r="AR152">
        <v>7.3359073359073365E-2</v>
      </c>
      <c r="AS152">
        <v>3.8610038610038611E-3</v>
      </c>
      <c r="AT152">
        <v>0.13127413127413129</v>
      </c>
      <c r="AU152">
        <v>0.27027027027027029</v>
      </c>
      <c r="AV152">
        <v>0</v>
      </c>
      <c r="AW152">
        <v>0</v>
      </c>
      <c r="AX152">
        <v>0.34749034749034752</v>
      </c>
      <c r="AY152">
        <v>0.20849420849420849</v>
      </c>
      <c r="AZ152">
        <v>0.34749034749034752</v>
      </c>
      <c r="BA152">
        <v>0.83333333333333337</v>
      </c>
      <c r="BB152">
        <v>0.97222222222222221</v>
      </c>
      <c r="BC152">
        <v>0.6</v>
      </c>
      <c r="BD152">
        <v>0.84218146718146714</v>
      </c>
      <c r="BE152">
        <v>4</v>
      </c>
      <c r="BF152">
        <v>0.8119342556842557</v>
      </c>
      <c r="BG152">
        <v>0.81</v>
      </c>
      <c r="BH152" t="s">
        <v>164</v>
      </c>
      <c r="BI152">
        <v>0.81</v>
      </c>
      <c r="BJ152" t="s">
        <v>164</v>
      </c>
      <c r="BK152" s="2">
        <f t="shared" si="5"/>
        <v>0</v>
      </c>
      <c r="BL152" t="b">
        <f t="shared" si="6"/>
        <v>1</v>
      </c>
    </row>
    <row r="153" spans="1:64" x14ac:dyDescent="0.35">
      <c r="A153" t="s">
        <v>466</v>
      </c>
      <c r="B153" t="s">
        <v>462</v>
      </c>
      <c r="C153">
        <v>2019</v>
      </c>
      <c r="D153" t="s">
        <v>463</v>
      </c>
      <c r="E153" t="s">
        <v>464</v>
      </c>
      <c r="F153" t="s">
        <v>66</v>
      </c>
      <c r="G153" t="s">
        <v>101</v>
      </c>
      <c r="H153" t="s">
        <v>348</v>
      </c>
      <c r="I153" t="s">
        <v>465</v>
      </c>
      <c r="J153" t="s">
        <v>70</v>
      </c>
      <c r="L153">
        <v>1</v>
      </c>
      <c r="M153" t="b">
        <v>0</v>
      </c>
      <c r="N153">
        <v>1</v>
      </c>
      <c r="O153">
        <v>2</v>
      </c>
      <c r="P153">
        <v>6</v>
      </c>
      <c r="Q153">
        <v>3</v>
      </c>
      <c r="R153">
        <v>3</v>
      </c>
      <c r="S153">
        <v>5</v>
      </c>
      <c r="T153">
        <v>41</v>
      </c>
      <c r="U153">
        <v>1232</v>
      </c>
      <c r="V153">
        <v>102</v>
      </c>
      <c r="W153">
        <v>20</v>
      </c>
      <c r="X153">
        <v>5.0999999999999996</v>
      </c>
      <c r="Y153">
        <v>8</v>
      </c>
      <c r="Z153">
        <v>194</v>
      </c>
      <c r="AA153">
        <v>0</v>
      </c>
      <c r="AB153">
        <v>0</v>
      </c>
      <c r="AC153">
        <v>4</v>
      </c>
      <c r="AD153">
        <v>4</v>
      </c>
      <c r="AE153">
        <v>126</v>
      </c>
      <c r="AF153">
        <v>3</v>
      </c>
      <c r="AG153">
        <v>77</v>
      </c>
      <c r="AH153">
        <v>0</v>
      </c>
      <c r="AI153">
        <v>0</v>
      </c>
      <c r="AJ153">
        <v>1</v>
      </c>
      <c r="AK153">
        <v>8</v>
      </c>
      <c r="AL153">
        <v>1</v>
      </c>
      <c r="AM153">
        <v>8</v>
      </c>
      <c r="AN153">
        <v>11</v>
      </c>
      <c r="AO153">
        <v>271</v>
      </c>
      <c r="AP153">
        <v>12</v>
      </c>
      <c r="AQ153">
        <v>320</v>
      </c>
      <c r="AR153">
        <v>0.15746753246753251</v>
      </c>
      <c r="AS153">
        <v>0</v>
      </c>
      <c r="AT153">
        <v>0.10227272727272731</v>
      </c>
      <c r="AU153">
        <v>6.25E-2</v>
      </c>
      <c r="AV153">
        <v>0</v>
      </c>
      <c r="AW153">
        <v>6.4935064935064939E-3</v>
      </c>
      <c r="AX153">
        <v>0.21996753246753251</v>
      </c>
      <c r="AY153">
        <v>0.25974025974025972</v>
      </c>
      <c r="AZ153">
        <v>0.21347402597402601</v>
      </c>
      <c r="BA153">
        <v>0.66666666666666663</v>
      </c>
      <c r="BB153">
        <v>0.68333333333333324</v>
      </c>
      <c r="BC153">
        <v>0.8</v>
      </c>
      <c r="BD153">
        <v>0.75842126623376616</v>
      </c>
      <c r="BE153">
        <v>4</v>
      </c>
      <c r="BF153">
        <v>0.72710531655844157</v>
      </c>
      <c r="BG153">
        <v>0.73</v>
      </c>
      <c r="BH153" t="s">
        <v>86</v>
      </c>
      <c r="BI153">
        <v>0.73</v>
      </c>
      <c r="BJ153" t="s">
        <v>86</v>
      </c>
      <c r="BK153" s="2">
        <f t="shared" si="5"/>
        <v>0</v>
      </c>
      <c r="BL153" t="b">
        <f t="shared" si="6"/>
        <v>1</v>
      </c>
    </row>
    <row r="154" spans="1:64" x14ac:dyDescent="0.35">
      <c r="A154" t="s">
        <v>467</v>
      </c>
      <c r="B154" t="s">
        <v>462</v>
      </c>
      <c r="C154">
        <v>2022</v>
      </c>
      <c r="D154" t="s">
        <v>463</v>
      </c>
      <c r="E154" t="s">
        <v>464</v>
      </c>
      <c r="F154" t="s">
        <v>66</v>
      </c>
      <c r="G154" t="s">
        <v>101</v>
      </c>
      <c r="H154" t="s">
        <v>348</v>
      </c>
      <c r="I154" t="s">
        <v>465</v>
      </c>
      <c r="J154" t="s">
        <v>70</v>
      </c>
      <c r="L154">
        <v>1</v>
      </c>
      <c r="M154" t="b">
        <v>0</v>
      </c>
      <c r="N154">
        <v>1</v>
      </c>
      <c r="O154">
        <v>2</v>
      </c>
      <c r="P154">
        <v>4</v>
      </c>
      <c r="Q154">
        <v>1</v>
      </c>
      <c r="R154">
        <v>3</v>
      </c>
      <c r="S154">
        <v>5</v>
      </c>
      <c r="T154">
        <v>29</v>
      </c>
      <c r="U154">
        <v>319</v>
      </c>
      <c r="V154">
        <v>124</v>
      </c>
      <c r="W154">
        <v>21</v>
      </c>
      <c r="X154">
        <v>5.9047619047619051</v>
      </c>
      <c r="Y154">
        <v>5</v>
      </c>
      <c r="Z154">
        <v>77</v>
      </c>
      <c r="AA154">
        <v>1</v>
      </c>
      <c r="AB154">
        <v>12</v>
      </c>
      <c r="AC154">
        <v>4</v>
      </c>
      <c r="AD154">
        <v>3</v>
      </c>
      <c r="AE154">
        <v>37</v>
      </c>
      <c r="AF154">
        <v>4</v>
      </c>
      <c r="AG154">
        <v>59</v>
      </c>
      <c r="AH154">
        <v>1</v>
      </c>
      <c r="AI154">
        <v>1</v>
      </c>
      <c r="AJ154">
        <v>0</v>
      </c>
      <c r="AK154">
        <v>0</v>
      </c>
      <c r="AL154">
        <v>1</v>
      </c>
      <c r="AM154">
        <v>1</v>
      </c>
      <c r="AN154">
        <v>10</v>
      </c>
      <c r="AO154">
        <v>148</v>
      </c>
      <c r="AP154">
        <v>9</v>
      </c>
      <c r="AQ154">
        <v>126</v>
      </c>
      <c r="AR154">
        <v>0.2413793103448276</v>
      </c>
      <c r="AS154">
        <v>3.7617554858934171E-2</v>
      </c>
      <c r="AT154">
        <v>0.115987460815047</v>
      </c>
      <c r="AU154">
        <v>0.1849529780564263</v>
      </c>
      <c r="AV154">
        <v>3.134796238244514E-3</v>
      </c>
      <c r="AW154">
        <v>3.134796238244514E-3</v>
      </c>
      <c r="AX154">
        <v>0.46394984326018812</v>
      </c>
      <c r="AY154">
        <v>0.39498432601880878</v>
      </c>
      <c r="AZ154">
        <v>0.46081504702194348</v>
      </c>
      <c r="BA154">
        <v>0.66666666666666663</v>
      </c>
      <c r="BB154">
        <v>0.81746031746031755</v>
      </c>
      <c r="BC154">
        <v>0.6</v>
      </c>
      <c r="BD154">
        <v>0.91300940438871458</v>
      </c>
      <c r="BE154">
        <v>4</v>
      </c>
      <c r="BF154">
        <v>0.74928409712892474</v>
      </c>
      <c r="BG154">
        <v>0.75</v>
      </c>
      <c r="BH154" t="s">
        <v>86</v>
      </c>
      <c r="BI154">
        <v>0.75</v>
      </c>
      <c r="BJ154" t="s">
        <v>86</v>
      </c>
      <c r="BK154" s="2">
        <f t="shared" si="5"/>
        <v>0</v>
      </c>
      <c r="BL154" t="b">
        <f t="shared" si="6"/>
        <v>1</v>
      </c>
    </row>
    <row r="155" spans="1:64" x14ac:dyDescent="0.35">
      <c r="A155" t="s">
        <v>468</v>
      </c>
      <c r="B155" t="s">
        <v>469</v>
      </c>
      <c r="C155">
        <v>2016</v>
      </c>
      <c r="D155" t="s">
        <v>470</v>
      </c>
      <c r="E155" t="s">
        <v>471</v>
      </c>
      <c r="F155" t="s">
        <v>66</v>
      </c>
      <c r="G155" t="s">
        <v>101</v>
      </c>
      <c r="H155" t="s">
        <v>184</v>
      </c>
      <c r="I155" t="s">
        <v>472</v>
      </c>
      <c r="J155" t="s">
        <v>70</v>
      </c>
      <c r="L155">
        <v>1</v>
      </c>
      <c r="M155" t="b">
        <v>0</v>
      </c>
      <c r="N155">
        <v>1</v>
      </c>
      <c r="O155">
        <v>1</v>
      </c>
      <c r="P155">
        <v>6</v>
      </c>
      <c r="Q155">
        <v>4</v>
      </c>
      <c r="R155">
        <v>2</v>
      </c>
      <c r="S155">
        <v>4</v>
      </c>
      <c r="T155">
        <v>21</v>
      </c>
      <c r="U155">
        <v>586</v>
      </c>
      <c r="V155">
        <v>81</v>
      </c>
      <c r="W155">
        <v>17</v>
      </c>
      <c r="X155">
        <v>4.7647058823529411</v>
      </c>
      <c r="Y155">
        <v>2</v>
      </c>
      <c r="Z155">
        <v>79</v>
      </c>
      <c r="AA155">
        <v>0</v>
      </c>
      <c r="AB155">
        <v>0</v>
      </c>
      <c r="AC155">
        <v>3</v>
      </c>
      <c r="AD155">
        <v>3</v>
      </c>
      <c r="AE155">
        <v>87</v>
      </c>
      <c r="AF155">
        <v>0</v>
      </c>
      <c r="AG155">
        <v>0</v>
      </c>
      <c r="AH155">
        <v>2</v>
      </c>
      <c r="AI155">
        <v>90</v>
      </c>
      <c r="AJ155">
        <v>3</v>
      </c>
      <c r="AK155">
        <v>53</v>
      </c>
      <c r="AL155">
        <v>5</v>
      </c>
      <c r="AM155">
        <v>143</v>
      </c>
      <c r="AN155">
        <v>2</v>
      </c>
      <c r="AO155">
        <v>79</v>
      </c>
      <c r="AP155">
        <v>5</v>
      </c>
      <c r="AQ155">
        <v>166</v>
      </c>
      <c r="AR155">
        <v>0.1348122866894198</v>
      </c>
      <c r="AS155">
        <v>0</v>
      </c>
      <c r="AT155">
        <v>0.14846416382252561</v>
      </c>
      <c r="AU155">
        <v>0</v>
      </c>
      <c r="AV155">
        <v>0.15358361774744031</v>
      </c>
      <c r="AW155">
        <v>0.24402730375426621</v>
      </c>
      <c r="AX155">
        <v>0.1348122866894198</v>
      </c>
      <c r="AY155">
        <v>0.28327645051194539</v>
      </c>
      <c r="AZ155">
        <v>-0.1092150170648464</v>
      </c>
      <c r="BA155">
        <v>0.5</v>
      </c>
      <c r="BB155">
        <v>0.62745098039215685</v>
      </c>
      <c r="BC155">
        <v>0.33333333333333331</v>
      </c>
      <c r="BD155">
        <v>0.55674061433447097</v>
      </c>
      <c r="BE155">
        <v>4</v>
      </c>
      <c r="BF155">
        <v>0.5043812320149903</v>
      </c>
      <c r="BG155">
        <v>0.52</v>
      </c>
      <c r="BH155" t="s">
        <v>71</v>
      </c>
      <c r="BI155">
        <v>0.5</v>
      </c>
      <c r="BJ155" t="s">
        <v>71</v>
      </c>
      <c r="BK155" s="2">
        <f t="shared" si="5"/>
        <v>2.0000000000000018E-2</v>
      </c>
      <c r="BL155" t="b">
        <f t="shared" si="6"/>
        <v>1</v>
      </c>
    </row>
    <row r="156" spans="1:64" x14ac:dyDescent="0.35">
      <c r="A156" t="s">
        <v>473</v>
      </c>
      <c r="B156" t="s">
        <v>469</v>
      </c>
      <c r="C156">
        <v>2019</v>
      </c>
      <c r="D156" t="s">
        <v>470</v>
      </c>
      <c r="E156" t="s">
        <v>471</v>
      </c>
      <c r="F156" t="s">
        <v>66</v>
      </c>
      <c r="G156" t="s">
        <v>101</v>
      </c>
      <c r="H156" t="s">
        <v>184</v>
      </c>
      <c r="I156" t="s">
        <v>472</v>
      </c>
      <c r="J156" t="s">
        <v>70</v>
      </c>
      <c r="L156">
        <v>1</v>
      </c>
      <c r="M156" t="b">
        <v>0</v>
      </c>
      <c r="N156">
        <v>3</v>
      </c>
      <c r="O156">
        <v>1</v>
      </c>
      <c r="P156">
        <v>4</v>
      </c>
      <c r="Q156">
        <v>3</v>
      </c>
      <c r="R156">
        <v>1</v>
      </c>
      <c r="S156">
        <v>4</v>
      </c>
      <c r="T156">
        <v>24</v>
      </c>
      <c r="U156">
        <v>261</v>
      </c>
      <c r="V156">
        <v>110</v>
      </c>
      <c r="W156">
        <v>19</v>
      </c>
      <c r="X156">
        <v>5.7894736842105274</v>
      </c>
      <c r="Y156">
        <v>0</v>
      </c>
      <c r="Z156">
        <v>0</v>
      </c>
      <c r="AA156">
        <v>0</v>
      </c>
      <c r="AB156">
        <v>0</v>
      </c>
      <c r="AC156">
        <v>3</v>
      </c>
      <c r="AD156">
        <v>3</v>
      </c>
      <c r="AE156">
        <v>20</v>
      </c>
      <c r="AF156">
        <v>3</v>
      </c>
      <c r="AG156">
        <v>14</v>
      </c>
      <c r="AH156">
        <v>0</v>
      </c>
      <c r="AI156">
        <v>0</v>
      </c>
      <c r="AJ156">
        <v>1</v>
      </c>
      <c r="AK156">
        <v>3</v>
      </c>
      <c r="AL156">
        <v>1</v>
      </c>
      <c r="AM156">
        <v>3</v>
      </c>
      <c r="AN156">
        <v>3</v>
      </c>
      <c r="AO156">
        <v>14</v>
      </c>
      <c r="AP156">
        <v>3</v>
      </c>
      <c r="AQ156">
        <v>20</v>
      </c>
      <c r="AR156">
        <v>0</v>
      </c>
      <c r="AS156">
        <v>0</v>
      </c>
      <c r="AT156">
        <v>7.662835249042145E-2</v>
      </c>
      <c r="AU156">
        <v>5.3639846743295021E-2</v>
      </c>
      <c r="AV156">
        <v>0</v>
      </c>
      <c r="AW156">
        <v>1.149425287356322E-2</v>
      </c>
      <c r="AX156">
        <v>5.3639846743295021E-2</v>
      </c>
      <c r="AY156">
        <v>7.662835249042145E-2</v>
      </c>
      <c r="AZ156">
        <v>4.2145593869731802E-2</v>
      </c>
      <c r="BA156">
        <v>0.5</v>
      </c>
      <c r="BB156">
        <v>0.79824561403508787</v>
      </c>
      <c r="BC156">
        <v>0.2</v>
      </c>
      <c r="BD156">
        <v>0.65134099616858232</v>
      </c>
      <c r="BE156">
        <v>4</v>
      </c>
      <c r="BF156">
        <v>0.53739665255091751</v>
      </c>
      <c r="BG156">
        <v>0.54</v>
      </c>
      <c r="BH156" t="s">
        <v>71</v>
      </c>
      <c r="BI156">
        <v>0.54</v>
      </c>
      <c r="BJ156" t="s">
        <v>71</v>
      </c>
      <c r="BK156" s="2">
        <f t="shared" si="5"/>
        <v>0</v>
      </c>
      <c r="BL156" t="b">
        <f t="shared" si="6"/>
        <v>1</v>
      </c>
    </row>
    <row r="157" spans="1:64" x14ac:dyDescent="0.35">
      <c r="A157" t="s">
        <v>474</v>
      </c>
      <c r="B157" t="s">
        <v>475</v>
      </c>
      <c r="C157">
        <v>2014</v>
      </c>
      <c r="D157" t="s">
        <v>476</v>
      </c>
      <c r="E157" t="s">
        <v>477</v>
      </c>
      <c r="F157" t="s">
        <v>66</v>
      </c>
      <c r="G157" t="s">
        <v>144</v>
      </c>
      <c r="H157" t="s">
        <v>424</v>
      </c>
      <c r="I157" t="s">
        <v>150</v>
      </c>
      <c r="J157" t="s">
        <v>70</v>
      </c>
      <c r="L157">
        <v>2</v>
      </c>
      <c r="M157" t="b">
        <v>0</v>
      </c>
      <c r="N157">
        <v>4</v>
      </c>
      <c r="O157">
        <v>1</v>
      </c>
      <c r="P157">
        <v>1</v>
      </c>
      <c r="Q157">
        <v>4</v>
      </c>
      <c r="R157">
        <v>-3</v>
      </c>
      <c r="S157">
        <v>2</v>
      </c>
      <c r="T157">
        <v>15</v>
      </c>
      <c r="U157">
        <v>133</v>
      </c>
      <c r="V157">
        <v>40</v>
      </c>
      <c r="W157">
        <v>12</v>
      </c>
      <c r="X157">
        <v>3.333333333333333</v>
      </c>
      <c r="Y157">
        <v>0</v>
      </c>
      <c r="Z157">
        <v>0</v>
      </c>
      <c r="AA157">
        <v>0</v>
      </c>
      <c r="AB157">
        <v>0</v>
      </c>
      <c r="AC157">
        <v>2</v>
      </c>
      <c r="AD157">
        <v>1</v>
      </c>
      <c r="AE157">
        <v>16</v>
      </c>
      <c r="AF157">
        <v>1</v>
      </c>
      <c r="AG157">
        <v>5</v>
      </c>
      <c r="AH157">
        <v>1</v>
      </c>
      <c r="AI157">
        <v>3</v>
      </c>
      <c r="AJ157">
        <v>2</v>
      </c>
      <c r="AK157">
        <v>4</v>
      </c>
      <c r="AL157">
        <v>3</v>
      </c>
      <c r="AM157">
        <v>7</v>
      </c>
      <c r="AN157">
        <v>1</v>
      </c>
      <c r="AO157">
        <v>5</v>
      </c>
      <c r="AP157">
        <v>1</v>
      </c>
      <c r="AQ157">
        <v>16</v>
      </c>
      <c r="AR157">
        <v>0</v>
      </c>
      <c r="AS157">
        <v>0</v>
      </c>
      <c r="AT157">
        <v>0.1203007518796992</v>
      </c>
      <c r="AU157">
        <v>3.7593984962406013E-2</v>
      </c>
      <c r="AV157">
        <v>2.2556390977443611E-2</v>
      </c>
      <c r="AW157">
        <v>5.2631578947368418E-2</v>
      </c>
      <c r="AX157">
        <v>3.7593984962406013E-2</v>
      </c>
      <c r="AY157">
        <v>0.1203007518796992</v>
      </c>
      <c r="AZ157">
        <v>-1.503759398496241E-2</v>
      </c>
      <c r="BA157">
        <v>0.16666666666666671</v>
      </c>
      <c r="BB157">
        <v>0.38888888888888878</v>
      </c>
      <c r="BC157">
        <v>6.6666666666666666E-2</v>
      </c>
      <c r="BD157">
        <v>0.61560150375939848</v>
      </c>
      <c r="BE157">
        <v>4</v>
      </c>
      <c r="BF157">
        <v>0.30945593149540518</v>
      </c>
      <c r="BG157">
        <v>0.31</v>
      </c>
      <c r="BH157" t="s">
        <v>104</v>
      </c>
      <c r="BI157">
        <v>0.31</v>
      </c>
      <c r="BJ157" t="s">
        <v>104</v>
      </c>
      <c r="BK157" s="2">
        <f t="shared" si="5"/>
        <v>0</v>
      </c>
      <c r="BL157" t="b">
        <f t="shared" si="6"/>
        <v>1</v>
      </c>
    </row>
    <row r="158" spans="1:64" x14ac:dyDescent="0.35">
      <c r="A158" t="s">
        <v>478</v>
      </c>
      <c r="B158" t="s">
        <v>475</v>
      </c>
      <c r="C158">
        <v>2015</v>
      </c>
      <c r="D158" t="s">
        <v>476</v>
      </c>
      <c r="E158" t="s">
        <v>477</v>
      </c>
      <c r="F158" t="s">
        <v>66</v>
      </c>
      <c r="G158" t="s">
        <v>144</v>
      </c>
      <c r="H158" t="s">
        <v>424</v>
      </c>
      <c r="I158" t="s">
        <v>150</v>
      </c>
      <c r="J158" t="s">
        <v>70</v>
      </c>
      <c r="L158">
        <v>2</v>
      </c>
      <c r="M158" t="b">
        <v>0</v>
      </c>
      <c r="N158">
        <v>4</v>
      </c>
      <c r="O158">
        <v>3</v>
      </c>
      <c r="P158">
        <v>2</v>
      </c>
      <c r="Q158">
        <v>5</v>
      </c>
      <c r="R158">
        <v>-3</v>
      </c>
      <c r="S158">
        <v>3</v>
      </c>
      <c r="T158">
        <v>25</v>
      </c>
      <c r="U158">
        <v>586</v>
      </c>
      <c r="V158">
        <v>73</v>
      </c>
      <c r="W158">
        <v>18</v>
      </c>
      <c r="X158">
        <v>4.0555555555555554</v>
      </c>
      <c r="Y158">
        <v>1</v>
      </c>
      <c r="Z158">
        <v>6</v>
      </c>
      <c r="AA158">
        <v>0</v>
      </c>
      <c r="AB158">
        <v>0</v>
      </c>
      <c r="AC158">
        <v>3</v>
      </c>
      <c r="AD158">
        <v>3</v>
      </c>
      <c r="AE158">
        <v>66</v>
      </c>
      <c r="AF158">
        <v>2</v>
      </c>
      <c r="AG158">
        <v>6</v>
      </c>
      <c r="AH158">
        <v>4</v>
      </c>
      <c r="AI158">
        <v>44</v>
      </c>
      <c r="AJ158">
        <v>1</v>
      </c>
      <c r="AK158">
        <v>3</v>
      </c>
      <c r="AL158">
        <v>6</v>
      </c>
      <c r="AM158">
        <v>107</v>
      </c>
      <c r="AN158">
        <v>3</v>
      </c>
      <c r="AO158">
        <v>12</v>
      </c>
      <c r="AP158">
        <v>4</v>
      </c>
      <c r="AQ158">
        <v>72</v>
      </c>
      <c r="AR158">
        <v>1.0238907849829349E-2</v>
      </c>
      <c r="AS158">
        <v>0</v>
      </c>
      <c r="AT158">
        <v>0.1126279863481229</v>
      </c>
      <c r="AU158">
        <v>1.0238907849829349E-2</v>
      </c>
      <c r="AV158">
        <v>7.5085324232081918E-2</v>
      </c>
      <c r="AW158">
        <v>0.1825938566552901</v>
      </c>
      <c r="AX158">
        <v>2.0477815699658699E-2</v>
      </c>
      <c r="AY158">
        <v>0.1228668941979522</v>
      </c>
      <c r="AZ158">
        <v>-0.1621160409556314</v>
      </c>
      <c r="BA158">
        <v>0.33333333333333331</v>
      </c>
      <c r="BB158">
        <v>0.50925925925925919</v>
      </c>
      <c r="BC158">
        <v>0.26666666666666672</v>
      </c>
      <c r="BD158">
        <v>0.52367747440273038</v>
      </c>
      <c r="BE158">
        <v>4</v>
      </c>
      <c r="BF158">
        <v>0.40823418341549739</v>
      </c>
      <c r="BG158">
        <v>0.43</v>
      </c>
      <c r="BH158" t="s">
        <v>71</v>
      </c>
      <c r="BI158">
        <v>0.41</v>
      </c>
      <c r="BJ158" t="s">
        <v>71</v>
      </c>
      <c r="BK158" s="2">
        <f t="shared" si="5"/>
        <v>2.0000000000000018E-2</v>
      </c>
      <c r="BL158" t="b">
        <f t="shared" si="6"/>
        <v>1</v>
      </c>
    </row>
    <row r="159" spans="1:64" x14ac:dyDescent="0.35">
      <c r="A159" t="s">
        <v>479</v>
      </c>
      <c r="B159" t="s">
        <v>480</v>
      </c>
      <c r="C159">
        <v>2016</v>
      </c>
      <c r="D159" t="s">
        <v>481</v>
      </c>
      <c r="E159" t="s">
        <v>482</v>
      </c>
      <c r="F159" t="s">
        <v>66</v>
      </c>
      <c r="G159" t="s">
        <v>101</v>
      </c>
      <c r="H159" t="s">
        <v>170</v>
      </c>
      <c r="I159" t="s">
        <v>483</v>
      </c>
      <c r="J159" t="s">
        <v>70</v>
      </c>
      <c r="L159">
        <v>1</v>
      </c>
      <c r="M159" t="b">
        <v>0</v>
      </c>
      <c r="N159">
        <v>3</v>
      </c>
      <c r="O159">
        <v>1</v>
      </c>
      <c r="P159">
        <v>1</v>
      </c>
      <c r="Q159">
        <v>2</v>
      </c>
      <c r="R159">
        <v>-1</v>
      </c>
      <c r="S159">
        <v>4</v>
      </c>
      <c r="T159">
        <v>15</v>
      </c>
      <c r="U159">
        <v>2084</v>
      </c>
      <c r="V159">
        <v>35</v>
      </c>
      <c r="W159">
        <v>8</v>
      </c>
      <c r="X159">
        <v>4.375</v>
      </c>
      <c r="Y159">
        <v>3</v>
      </c>
      <c r="Z159">
        <v>366</v>
      </c>
      <c r="AA159">
        <v>0</v>
      </c>
      <c r="AB159">
        <v>0</v>
      </c>
      <c r="AC159">
        <v>2</v>
      </c>
      <c r="AD159">
        <v>2</v>
      </c>
      <c r="AE159">
        <v>936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1</v>
      </c>
      <c r="AM159">
        <v>1</v>
      </c>
      <c r="AN159">
        <v>3</v>
      </c>
      <c r="AO159">
        <v>366</v>
      </c>
      <c r="AP159">
        <v>5</v>
      </c>
      <c r="AQ159">
        <v>1302</v>
      </c>
      <c r="AR159">
        <v>0.17562380038387709</v>
      </c>
      <c r="AS159">
        <v>0</v>
      </c>
      <c r="AT159">
        <v>0.44913627639155468</v>
      </c>
      <c r="AU159">
        <v>0</v>
      </c>
      <c r="AV159">
        <v>4.7984644913627637E-4</v>
      </c>
      <c r="AW159">
        <v>4.7984644913627637E-4</v>
      </c>
      <c r="AX159">
        <v>0.17562380038387709</v>
      </c>
      <c r="AY159">
        <v>0.62476007677543188</v>
      </c>
      <c r="AZ159">
        <v>0.17514395393474089</v>
      </c>
      <c r="BA159">
        <v>0.5</v>
      </c>
      <c r="BB159">
        <v>0.5625</v>
      </c>
      <c r="BC159">
        <v>0.33333333333333331</v>
      </c>
      <c r="BD159">
        <v>0.73446497120921295</v>
      </c>
      <c r="BE159">
        <v>4</v>
      </c>
      <c r="BF159">
        <v>0.53257457613563652</v>
      </c>
      <c r="BG159">
        <v>0.53</v>
      </c>
      <c r="BH159" t="s">
        <v>71</v>
      </c>
      <c r="BI159">
        <v>0.53</v>
      </c>
      <c r="BJ159" t="s">
        <v>71</v>
      </c>
      <c r="BK159" s="2">
        <f t="shared" si="5"/>
        <v>0</v>
      </c>
      <c r="BL159" t="b">
        <f t="shared" si="6"/>
        <v>1</v>
      </c>
    </row>
    <row r="160" spans="1:64" x14ac:dyDescent="0.35">
      <c r="A160" t="s">
        <v>484</v>
      </c>
      <c r="B160" t="s">
        <v>480</v>
      </c>
      <c r="C160">
        <v>2020</v>
      </c>
      <c r="D160" t="s">
        <v>481</v>
      </c>
      <c r="E160" t="s">
        <v>482</v>
      </c>
      <c r="F160" t="s">
        <v>66</v>
      </c>
      <c r="G160" t="s">
        <v>101</v>
      </c>
      <c r="H160" t="s">
        <v>170</v>
      </c>
      <c r="I160" t="s">
        <v>483</v>
      </c>
      <c r="J160" t="s">
        <v>70</v>
      </c>
      <c r="L160">
        <v>1</v>
      </c>
      <c r="M160" t="b">
        <v>0</v>
      </c>
      <c r="N160">
        <v>2</v>
      </c>
      <c r="O160">
        <v>1</v>
      </c>
      <c r="P160">
        <v>1</v>
      </c>
      <c r="Q160">
        <v>2</v>
      </c>
      <c r="R160">
        <v>-1</v>
      </c>
      <c r="S160">
        <v>4</v>
      </c>
      <c r="T160">
        <v>16</v>
      </c>
      <c r="U160">
        <v>181</v>
      </c>
      <c r="V160">
        <v>62</v>
      </c>
      <c r="W160">
        <v>12</v>
      </c>
      <c r="X160">
        <v>5.166666666666667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  <c r="AE160">
        <v>2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5</v>
      </c>
      <c r="AL160">
        <v>1</v>
      </c>
      <c r="AM160">
        <v>5</v>
      </c>
      <c r="AN160">
        <v>0</v>
      </c>
      <c r="AO160">
        <v>0</v>
      </c>
      <c r="AP160">
        <v>1</v>
      </c>
      <c r="AQ160">
        <v>2</v>
      </c>
      <c r="AR160">
        <v>0</v>
      </c>
      <c r="AS160">
        <v>0</v>
      </c>
      <c r="AT160">
        <v>1.104972375690608E-2</v>
      </c>
      <c r="AU160">
        <v>0</v>
      </c>
      <c r="AV160">
        <v>0</v>
      </c>
      <c r="AW160">
        <v>2.7624309392265189E-2</v>
      </c>
      <c r="AX160">
        <v>0</v>
      </c>
      <c r="AY160">
        <v>1.104972375690608E-2</v>
      </c>
      <c r="AZ160">
        <v>-2.7624309392265189E-2</v>
      </c>
      <c r="BA160">
        <v>0.5</v>
      </c>
      <c r="BB160">
        <v>0.69444444444444453</v>
      </c>
      <c r="BC160">
        <v>6.6666666666666666E-2</v>
      </c>
      <c r="BD160">
        <v>0.60773480662983415</v>
      </c>
      <c r="BE160">
        <v>4</v>
      </c>
      <c r="BF160">
        <v>0.46721147943523628</v>
      </c>
      <c r="BG160">
        <v>0.46</v>
      </c>
      <c r="BH160" t="s">
        <v>71</v>
      </c>
      <c r="BI160">
        <v>0.47</v>
      </c>
      <c r="BJ160" t="s">
        <v>71</v>
      </c>
      <c r="BK160" s="2">
        <f t="shared" si="5"/>
        <v>-9.9999999999999534E-3</v>
      </c>
      <c r="BL160" t="b">
        <f t="shared" si="6"/>
        <v>1</v>
      </c>
    </row>
    <row r="161" spans="1:64" x14ac:dyDescent="0.35">
      <c r="A161" t="s">
        <v>485</v>
      </c>
      <c r="B161" t="s">
        <v>486</v>
      </c>
      <c r="C161">
        <v>2014</v>
      </c>
      <c r="D161" t="s">
        <v>487</v>
      </c>
      <c r="E161" t="s">
        <v>488</v>
      </c>
      <c r="F161" t="s">
        <v>66</v>
      </c>
      <c r="G161" t="s">
        <v>101</v>
      </c>
      <c r="H161" t="s">
        <v>129</v>
      </c>
      <c r="I161" t="s">
        <v>489</v>
      </c>
      <c r="J161" t="s">
        <v>70</v>
      </c>
      <c r="L161">
        <v>1</v>
      </c>
      <c r="M161" t="b">
        <v>0</v>
      </c>
      <c r="N161">
        <v>1</v>
      </c>
      <c r="O161">
        <v>3</v>
      </c>
      <c r="P161">
        <v>9</v>
      </c>
      <c r="Q161">
        <v>2</v>
      </c>
      <c r="R161">
        <v>7</v>
      </c>
      <c r="S161">
        <v>6</v>
      </c>
      <c r="T161">
        <v>18</v>
      </c>
      <c r="U161">
        <v>94</v>
      </c>
      <c r="V161">
        <v>93</v>
      </c>
      <c r="W161">
        <v>16</v>
      </c>
      <c r="X161">
        <v>5.8125</v>
      </c>
      <c r="Y161">
        <v>4</v>
      </c>
      <c r="Z161">
        <v>13</v>
      </c>
      <c r="AA161">
        <v>1</v>
      </c>
      <c r="AB161">
        <v>1</v>
      </c>
      <c r="AC161">
        <v>2</v>
      </c>
      <c r="AD161">
        <v>2</v>
      </c>
      <c r="AE161">
        <v>27</v>
      </c>
      <c r="AF161">
        <v>0</v>
      </c>
      <c r="AG161">
        <v>0</v>
      </c>
      <c r="AH161">
        <v>1</v>
      </c>
      <c r="AI161">
        <v>1</v>
      </c>
      <c r="AJ161">
        <v>2</v>
      </c>
      <c r="AK161">
        <v>2</v>
      </c>
      <c r="AL161">
        <v>3</v>
      </c>
      <c r="AM161">
        <v>3</v>
      </c>
      <c r="AN161">
        <v>5</v>
      </c>
      <c r="AO161">
        <v>14</v>
      </c>
      <c r="AP161">
        <v>7</v>
      </c>
      <c r="AQ161">
        <v>41</v>
      </c>
      <c r="AR161">
        <v>0.13829787234042551</v>
      </c>
      <c r="AS161">
        <v>1.063829787234043E-2</v>
      </c>
      <c r="AT161">
        <v>0.28723404255319152</v>
      </c>
      <c r="AU161">
        <v>0</v>
      </c>
      <c r="AV161">
        <v>1.063829787234043E-2</v>
      </c>
      <c r="AW161">
        <v>3.1914893617021267E-2</v>
      </c>
      <c r="AX161">
        <v>0.14893617021276601</v>
      </c>
      <c r="AY161">
        <v>0.43617021276595752</v>
      </c>
      <c r="AZ161">
        <v>0.1170212765957447</v>
      </c>
      <c r="BA161">
        <v>0.83333333333333337</v>
      </c>
      <c r="BB161">
        <v>0.80208333333333337</v>
      </c>
      <c r="BC161">
        <v>0.46666666666666667</v>
      </c>
      <c r="BD161">
        <v>0.6981382978723405</v>
      </c>
      <c r="BE161">
        <v>4</v>
      </c>
      <c r="BF161">
        <v>0.70005540780141851</v>
      </c>
      <c r="BG161">
        <v>0.69</v>
      </c>
      <c r="BH161" t="s">
        <v>86</v>
      </c>
      <c r="BI161">
        <v>0.7</v>
      </c>
      <c r="BJ161" t="s">
        <v>86</v>
      </c>
      <c r="BK161" s="2">
        <f t="shared" si="5"/>
        <v>-1.0000000000000009E-2</v>
      </c>
      <c r="BL161" t="b">
        <f t="shared" si="6"/>
        <v>1</v>
      </c>
    </row>
    <row r="162" spans="1:64" x14ac:dyDescent="0.35">
      <c r="A162" t="s">
        <v>490</v>
      </c>
      <c r="B162" t="s">
        <v>486</v>
      </c>
      <c r="C162">
        <v>2018</v>
      </c>
      <c r="D162" t="s">
        <v>487</v>
      </c>
      <c r="E162" t="s">
        <v>488</v>
      </c>
      <c r="F162" t="s">
        <v>66</v>
      </c>
      <c r="G162" t="s">
        <v>101</v>
      </c>
      <c r="H162" t="s">
        <v>129</v>
      </c>
      <c r="I162" t="s">
        <v>489</v>
      </c>
      <c r="J162" t="s">
        <v>70</v>
      </c>
      <c r="L162">
        <v>1</v>
      </c>
      <c r="M162" t="b">
        <v>0</v>
      </c>
      <c r="N162">
        <v>1</v>
      </c>
      <c r="O162">
        <v>2</v>
      </c>
      <c r="P162">
        <v>6</v>
      </c>
      <c r="Q162">
        <v>1</v>
      </c>
      <c r="R162">
        <v>5</v>
      </c>
      <c r="S162">
        <v>6</v>
      </c>
      <c r="T162">
        <v>13</v>
      </c>
      <c r="U162">
        <v>128</v>
      </c>
      <c r="V162">
        <v>67</v>
      </c>
      <c r="W162">
        <v>11</v>
      </c>
      <c r="X162">
        <v>6.0909090909090908</v>
      </c>
      <c r="Y162">
        <v>1</v>
      </c>
      <c r="Z162">
        <v>1</v>
      </c>
      <c r="AA162">
        <v>1</v>
      </c>
      <c r="AB162">
        <v>1</v>
      </c>
      <c r="AC162">
        <v>2</v>
      </c>
      <c r="AD162">
        <v>2</v>
      </c>
      <c r="AE162">
        <v>42</v>
      </c>
      <c r="AF162">
        <v>1</v>
      </c>
      <c r="AG162">
        <v>1</v>
      </c>
      <c r="AH162">
        <v>1</v>
      </c>
      <c r="AI162">
        <v>7</v>
      </c>
      <c r="AJ162">
        <v>1</v>
      </c>
      <c r="AK162">
        <v>9</v>
      </c>
      <c r="AL162">
        <v>2</v>
      </c>
      <c r="AM162">
        <v>16</v>
      </c>
      <c r="AN162">
        <v>3</v>
      </c>
      <c r="AO162">
        <v>3</v>
      </c>
      <c r="AP162">
        <v>4</v>
      </c>
      <c r="AQ162">
        <v>44</v>
      </c>
      <c r="AR162">
        <v>7.8125E-3</v>
      </c>
      <c r="AS162">
        <v>7.8125E-3</v>
      </c>
      <c r="AT162">
        <v>0.328125</v>
      </c>
      <c r="AU162">
        <v>7.8125E-3</v>
      </c>
      <c r="AV162">
        <v>5.46875E-2</v>
      </c>
      <c r="AW162">
        <v>0.125</v>
      </c>
      <c r="AX162">
        <v>2.34375E-2</v>
      </c>
      <c r="AY162">
        <v>0.34375</v>
      </c>
      <c r="AZ162">
        <v>-0.1015625</v>
      </c>
      <c r="BA162">
        <v>0.83333333333333337</v>
      </c>
      <c r="BB162">
        <v>0.84848484848484851</v>
      </c>
      <c r="BC162">
        <v>0.26666666666666672</v>
      </c>
      <c r="BD162">
        <v>0.5615234375</v>
      </c>
      <c r="BE162">
        <v>4</v>
      </c>
      <c r="BF162">
        <v>0.62750207149621218</v>
      </c>
      <c r="BG162">
        <v>0.64</v>
      </c>
      <c r="BH162" t="s">
        <v>86</v>
      </c>
      <c r="BI162">
        <v>0.63</v>
      </c>
      <c r="BJ162" t="s">
        <v>86</v>
      </c>
      <c r="BK162" s="2">
        <f t="shared" si="5"/>
        <v>1.0000000000000009E-2</v>
      </c>
      <c r="BL162" t="b">
        <f t="shared" si="6"/>
        <v>1</v>
      </c>
    </row>
    <row r="163" spans="1:64" x14ac:dyDescent="0.35">
      <c r="A163" t="s">
        <v>491</v>
      </c>
      <c r="B163" t="s">
        <v>486</v>
      </c>
      <c r="C163">
        <v>2021</v>
      </c>
      <c r="D163" t="s">
        <v>487</v>
      </c>
      <c r="E163" t="s">
        <v>488</v>
      </c>
      <c r="F163" t="s">
        <v>66</v>
      </c>
      <c r="G163" t="s">
        <v>101</v>
      </c>
      <c r="H163" t="s">
        <v>129</v>
      </c>
      <c r="I163" t="s">
        <v>489</v>
      </c>
      <c r="J163" t="s">
        <v>70</v>
      </c>
      <c r="L163">
        <v>1</v>
      </c>
      <c r="M163" t="b">
        <v>0</v>
      </c>
      <c r="N163">
        <v>1</v>
      </c>
      <c r="O163">
        <v>2</v>
      </c>
      <c r="P163">
        <v>3</v>
      </c>
      <c r="Q163">
        <v>1</v>
      </c>
      <c r="R163">
        <v>2</v>
      </c>
      <c r="S163">
        <v>5</v>
      </c>
      <c r="T163">
        <v>11</v>
      </c>
      <c r="U163">
        <v>94</v>
      </c>
      <c r="V163">
        <v>42</v>
      </c>
      <c r="W163">
        <v>10</v>
      </c>
      <c r="X163">
        <v>4.2</v>
      </c>
      <c r="Y163">
        <v>1</v>
      </c>
      <c r="Z163">
        <v>13</v>
      </c>
      <c r="AA163">
        <v>0</v>
      </c>
      <c r="AB163">
        <v>0</v>
      </c>
      <c r="AC163">
        <v>2</v>
      </c>
      <c r="AD163">
        <v>2</v>
      </c>
      <c r="AE163">
        <v>17</v>
      </c>
      <c r="AF163">
        <v>0</v>
      </c>
      <c r="AG163">
        <v>0</v>
      </c>
      <c r="AH163">
        <v>1</v>
      </c>
      <c r="AI163">
        <v>5</v>
      </c>
      <c r="AJ163">
        <v>1</v>
      </c>
      <c r="AK163">
        <v>3</v>
      </c>
      <c r="AL163">
        <v>2</v>
      </c>
      <c r="AM163">
        <v>8</v>
      </c>
      <c r="AN163">
        <v>1</v>
      </c>
      <c r="AO163">
        <v>13</v>
      </c>
      <c r="AP163">
        <v>3</v>
      </c>
      <c r="AQ163">
        <v>30</v>
      </c>
      <c r="AR163">
        <v>0.13829787234042551</v>
      </c>
      <c r="AS163">
        <v>0</v>
      </c>
      <c r="AT163">
        <v>0.18085106382978719</v>
      </c>
      <c r="AU163">
        <v>0</v>
      </c>
      <c r="AV163">
        <v>5.3191489361702128E-2</v>
      </c>
      <c r="AW163">
        <v>8.5106382978723402E-2</v>
      </c>
      <c r="AX163">
        <v>0.13829787234042551</v>
      </c>
      <c r="AY163">
        <v>0.31914893617021278</v>
      </c>
      <c r="AZ163">
        <v>5.3191489361702142E-2</v>
      </c>
      <c r="BA163">
        <v>0.66666666666666663</v>
      </c>
      <c r="BB163">
        <v>0.53333333333333333</v>
      </c>
      <c r="BC163">
        <v>0.2</v>
      </c>
      <c r="BD163">
        <v>0.65824468085106369</v>
      </c>
      <c r="BE163">
        <v>4</v>
      </c>
      <c r="BF163">
        <v>0.51456117021276593</v>
      </c>
      <c r="BG163">
        <v>0.52</v>
      </c>
      <c r="BH163" t="s">
        <v>71</v>
      </c>
      <c r="BI163">
        <v>0.51</v>
      </c>
      <c r="BJ163" t="s">
        <v>71</v>
      </c>
      <c r="BK163" s="2">
        <f t="shared" si="5"/>
        <v>1.0000000000000009E-2</v>
      </c>
      <c r="BL163" t="b">
        <f t="shared" si="6"/>
        <v>1</v>
      </c>
    </row>
    <row r="164" spans="1:64" x14ac:dyDescent="0.35">
      <c r="A164" t="s">
        <v>492</v>
      </c>
      <c r="B164" t="s">
        <v>493</v>
      </c>
      <c r="C164">
        <v>2017</v>
      </c>
      <c r="D164" t="s">
        <v>494</v>
      </c>
      <c r="E164" t="s">
        <v>495</v>
      </c>
      <c r="F164" t="s">
        <v>66</v>
      </c>
      <c r="G164" t="s">
        <v>101</v>
      </c>
      <c r="H164" t="s">
        <v>129</v>
      </c>
      <c r="I164" t="s">
        <v>496</v>
      </c>
      <c r="J164" t="s">
        <v>70</v>
      </c>
      <c r="L164">
        <v>1</v>
      </c>
      <c r="M164" t="b">
        <v>0</v>
      </c>
      <c r="N164">
        <v>1</v>
      </c>
      <c r="O164">
        <v>2</v>
      </c>
      <c r="P164">
        <v>7</v>
      </c>
      <c r="Q164">
        <v>0</v>
      </c>
      <c r="R164">
        <v>7</v>
      </c>
      <c r="S164">
        <v>6</v>
      </c>
      <c r="T164">
        <v>18</v>
      </c>
      <c r="U164">
        <v>437</v>
      </c>
      <c r="V164">
        <v>77</v>
      </c>
      <c r="W164">
        <v>13</v>
      </c>
      <c r="X164">
        <v>5.9230769230769234</v>
      </c>
      <c r="Y164">
        <v>3</v>
      </c>
      <c r="Z164">
        <v>196</v>
      </c>
      <c r="AA164">
        <v>1</v>
      </c>
      <c r="AB164">
        <v>26</v>
      </c>
      <c r="AC164">
        <v>4</v>
      </c>
      <c r="AD164">
        <v>4</v>
      </c>
      <c r="AE164">
        <v>49</v>
      </c>
      <c r="AF164">
        <v>0</v>
      </c>
      <c r="AG164">
        <v>0</v>
      </c>
      <c r="AH164">
        <v>1</v>
      </c>
      <c r="AI164">
        <v>17</v>
      </c>
      <c r="AJ164">
        <v>0</v>
      </c>
      <c r="AK164">
        <v>0</v>
      </c>
      <c r="AL164">
        <v>1</v>
      </c>
      <c r="AM164">
        <v>17</v>
      </c>
      <c r="AN164">
        <v>4</v>
      </c>
      <c r="AO164">
        <v>222</v>
      </c>
      <c r="AP164">
        <v>8</v>
      </c>
      <c r="AQ164">
        <v>271</v>
      </c>
      <c r="AR164">
        <v>0.44851258581235698</v>
      </c>
      <c r="AS164">
        <v>5.9496567505720833E-2</v>
      </c>
      <c r="AT164">
        <v>0.1121281464530892</v>
      </c>
      <c r="AU164">
        <v>0</v>
      </c>
      <c r="AV164">
        <v>3.8901601830663622E-2</v>
      </c>
      <c r="AW164">
        <v>3.8901601830663622E-2</v>
      </c>
      <c r="AX164">
        <v>0.50800915331807783</v>
      </c>
      <c r="AY164">
        <v>0.62013729977116705</v>
      </c>
      <c r="AZ164">
        <v>0.46910755148741418</v>
      </c>
      <c r="BA164">
        <v>0.83333333333333337</v>
      </c>
      <c r="BB164">
        <v>0.8205128205128206</v>
      </c>
      <c r="BC164">
        <v>0.53333333333333333</v>
      </c>
      <c r="BD164">
        <v>0.91819221967963383</v>
      </c>
      <c r="BE164">
        <v>4</v>
      </c>
      <c r="BF164">
        <v>0.77634292671478033</v>
      </c>
      <c r="BG164">
        <v>0.78</v>
      </c>
      <c r="BH164" t="s">
        <v>86</v>
      </c>
      <c r="BI164">
        <v>0.78</v>
      </c>
      <c r="BJ164" t="s">
        <v>86</v>
      </c>
      <c r="BK164" s="2">
        <f t="shared" si="5"/>
        <v>0</v>
      </c>
      <c r="BL164" t="b">
        <f t="shared" si="6"/>
        <v>1</v>
      </c>
    </row>
    <row r="165" spans="1:64" x14ac:dyDescent="0.35">
      <c r="A165" t="s">
        <v>497</v>
      </c>
      <c r="B165" t="s">
        <v>498</v>
      </c>
      <c r="C165">
        <v>2014</v>
      </c>
      <c r="D165" t="s">
        <v>499</v>
      </c>
      <c r="E165" t="s">
        <v>500</v>
      </c>
      <c r="F165" t="s">
        <v>66</v>
      </c>
      <c r="G165" t="s">
        <v>101</v>
      </c>
      <c r="H165" t="s">
        <v>184</v>
      </c>
      <c r="I165" t="s">
        <v>501</v>
      </c>
      <c r="J165" t="s">
        <v>70</v>
      </c>
      <c r="L165">
        <v>2</v>
      </c>
      <c r="M165" t="b">
        <v>0</v>
      </c>
      <c r="N165">
        <v>3</v>
      </c>
      <c r="O165">
        <v>1</v>
      </c>
      <c r="P165">
        <v>5</v>
      </c>
      <c r="Q165">
        <v>5</v>
      </c>
      <c r="R165">
        <v>0</v>
      </c>
      <c r="S165">
        <v>4</v>
      </c>
      <c r="T165">
        <v>23</v>
      </c>
      <c r="U165">
        <v>1920</v>
      </c>
      <c r="V165">
        <v>86</v>
      </c>
      <c r="W165">
        <v>16</v>
      </c>
      <c r="X165">
        <v>5.375</v>
      </c>
      <c r="Y165">
        <v>3</v>
      </c>
      <c r="Z165">
        <v>121</v>
      </c>
      <c r="AA165">
        <v>0</v>
      </c>
      <c r="AB165">
        <v>0</v>
      </c>
      <c r="AC165">
        <v>3</v>
      </c>
      <c r="AD165">
        <v>3</v>
      </c>
      <c r="AE165">
        <v>300</v>
      </c>
      <c r="AF165">
        <v>1</v>
      </c>
      <c r="AG165">
        <v>64</v>
      </c>
      <c r="AH165">
        <v>1</v>
      </c>
      <c r="AI165">
        <v>19</v>
      </c>
      <c r="AJ165">
        <v>3</v>
      </c>
      <c r="AK165">
        <v>63</v>
      </c>
      <c r="AL165">
        <v>5</v>
      </c>
      <c r="AM165">
        <v>107</v>
      </c>
      <c r="AN165">
        <v>4</v>
      </c>
      <c r="AO165">
        <v>185</v>
      </c>
      <c r="AP165">
        <v>6</v>
      </c>
      <c r="AQ165">
        <v>421</v>
      </c>
      <c r="AR165">
        <v>6.3020833333333331E-2</v>
      </c>
      <c r="AS165">
        <v>0</v>
      </c>
      <c r="AT165">
        <v>0.15625</v>
      </c>
      <c r="AU165">
        <v>3.3333333333333333E-2</v>
      </c>
      <c r="AV165">
        <v>9.8958333333333329E-3</v>
      </c>
      <c r="AW165">
        <v>5.572916666666667E-2</v>
      </c>
      <c r="AX165">
        <v>9.6354166666666671E-2</v>
      </c>
      <c r="AY165">
        <v>0.2192708333333333</v>
      </c>
      <c r="AZ165">
        <v>4.0625000000000001E-2</v>
      </c>
      <c r="BA165">
        <v>0.5</v>
      </c>
      <c r="BB165">
        <v>0.72916666666666663</v>
      </c>
      <c r="BC165">
        <v>0.4</v>
      </c>
      <c r="BD165">
        <v>0.65039062499999989</v>
      </c>
      <c r="BE165">
        <v>4</v>
      </c>
      <c r="BF165">
        <v>0.56988932291666661</v>
      </c>
      <c r="BG165">
        <v>0.57999999999999996</v>
      </c>
      <c r="BH165" t="s">
        <v>71</v>
      </c>
      <c r="BI165">
        <v>0.56999999999999995</v>
      </c>
      <c r="BJ165" t="s">
        <v>71</v>
      </c>
      <c r="BK165" s="2">
        <f t="shared" si="5"/>
        <v>1.0000000000000009E-2</v>
      </c>
      <c r="BL165" t="b">
        <f t="shared" si="6"/>
        <v>1</v>
      </c>
    </row>
    <row r="166" spans="1:64" x14ac:dyDescent="0.35">
      <c r="A166" t="s">
        <v>502</v>
      </c>
      <c r="B166" t="s">
        <v>498</v>
      </c>
      <c r="C166">
        <v>2019</v>
      </c>
      <c r="D166" t="s">
        <v>499</v>
      </c>
      <c r="E166" t="s">
        <v>500</v>
      </c>
      <c r="F166" t="s">
        <v>66</v>
      </c>
      <c r="G166" t="s">
        <v>101</v>
      </c>
      <c r="H166" t="s">
        <v>184</v>
      </c>
      <c r="I166" t="s">
        <v>501</v>
      </c>
      <c r="J166" t="s">
        <v>70</v>
      </c>
      <c r="L166">
        <v>2</v>
      </c>
      <c r="M166" t="b">
        <v>0</v>
      </c>
      <c r="N166">
        <v>1</v>
      </c>
      <c r="O166">
        <v>1</v>
      </c>
      <c r="P166">
        <v>4</v>
      </c>
      <c r="Q166">
        <v>3</v>
      </c>
      <c r="R166">
        <v>1</v>
      </c>
      <c r="S166">
        <v>4</v>
      </c>
      <c r="T166">
        <v>23</v>
      </c>
      <c r="U166">
        <v>452</v>
      </c>
      <c r="V166">
        <v>93</v>
      </c>
      <c r="W166">
        <v>17</v>
      </c>
      <c r="X166">
        <v>5.4705882352941178</v>
      </c>
      <c r="Y166">
        <v>1</v>
      </c>
      <c r="Z166">
        <v>23</v>
      </c>
      <c r="AA166">
        <v>0</v>
      </c>
      <c r="AB166">
        <v>0</v>
      </c>
      <c r="AC166">
        <v>2</v>
      </c>
      <c r="AD166">
        <v>2</v>
      </c>
      <c r="AE166">
        <v>86</v>
      </c>
      <c r="AF166">
        <v>1</v>
      </c>
      <c r="AG166">
        <v>12</v>
      </c>
      <c r="AH166">
        <v>1</v>
      </c>
      <c r="AI166">
        <v>13</v>
      </c>
      <c r="AJ166">
        <v>1</v>
      </c>
      <c r="AK166">
        <v>8</v>
      </c>
      <c r="AL166">
        <v>2</v>
      </c>
      <c r="AM166">
        <v>21</v>
      </c>
      <c r="AN166">
        <v>2</v>
      </c>
      <c r="AO166">
        <v>35</v>
      </c>
      <c r="AP166">
        <v>3</v>
      </c>
      <c r="AQ166">
        <v>109</v>
      </c>
      <c r="AR166">
        <v>5.0884955752212392E-2</v>
      </c>
      <c r="AS166">
        <v>0</v>
      </c>
      <c r="AT166">
        <v>0.19026548672566371</v>
      </c>
      <c r="AU166">
        <v>2.6548672566371681E-2</v>
      </c>
      <c r="AV166">
        <v>2.8761061946902651E-2</v>
      </c>
      <c r="AW166">
        <v>4.6460176991150452E-2</v>
      </c>
      <c r="AX166">
        <v>7.7433628318584066E-2</v>
      </c>
      <c r="AY166">
        <v>0.24115044247787609</v>
      </c>
      <c r="AZ166">
        <v>3.0973451327433621E-2</v>
      </c>
      <c r="BA166">
        <v>0.5</v>
      </c>
      <c r="BB166">
        <v>0.74509803921568629</v>
      </c>
      <c r="BC166">
        <v>0.2</v>
      </c>
      <c r="BD166">
        <v>0.64435840707964598</v>
      </c>
      <c r="BE166">
        <v>4</v>
      </c>
      <c r="BF166">
        <v>0.52236411157383311</v>
      </c>
      <c r="BG166">
        <v>0.53</v>
      </c>
      <c r="BH166" t="s">
        <v>71</v>
      </c>
      <c r="BI166">
        <v>0.52</v>
      </c>
      <c r="BJ166" t="s">
        <v>71</v>
      </c>
      <c r="BK166" s="2">
        <f t="shared" si="5"/>
        <v>1.0000000000000009E-2</v>
      </c>
      <c r="BL166" t="b">
        <f t="shared" si="6"/>
        <v>1</v>
      </c>
    </row>
    <row r="167" spans="1:64" x14ac:dyDescent="0.35">
      <c r="A167" t="s">
        <v>503</v>
      </c>
      <c r="B167" t="s">
        <v>504</v>
      </c>
      <c r="C167">
        <v>2014</v>
      </c>
      <c r="D167" t="s">
        <v>505</v>
      </c>
      <c r="E167" t="s">
        <v>506</v>
      </c>
      <c r="F167" t="s">
        <v>66</v>
      </c>
      <c r="G167" t="s">
        <v>101</v>
      </c>
      <c r="H167" t="s">
        <v>129</v>
      </c>
      <c r="I167" t="s">
        <v>129</v>
      </c>
      <c r="J167" t="s">
        <v>70</v>
      </c>
      <c r="L167">
        <v>3</v>
      </c>
      <c r="M167" t="b">
        <v>0</v>
      </c>
      <c r="N167">
        <v>1</v>
      </c>
      <c r="O167">
        <v>3</v>
      </c>
      <c r="P167">
        <v>14</v>
      </c>
      <c r="Q167">
        <v>5</v>
      </c>
      <c r="R167">
        <v>9</v>
      </c>
      <c r="S167">
        <v>6</v>
      </c>
      <c r="T167">
        <v>42</v>
      </c>
      <c r="U167">
        <v>2592</v>
      </c>
      <c r="V167">
        <v>194</v>
      </c>
      <c r="W167">
        <v>31</v>
      </c>
      <c r="X167">
        <v>6.258064516129032</v>
      </c>
      <c r="Y167">
        <v>5</v>
      </c>
      <c r="Z167">
        <v>196</v>
      </c>
      <c r="AA167">
        <v>2</v>
      </c>
      <c r="AB167">
        <v>44</v>
      </c>
      <c r="AC167">
        <v>4</v>
      </c>
      <c r="AD167">
        <v>4</v>
      </c>
      <c r="AE167">
        <v>180</v>
      </c>
      <c r="AF167">
        <v>1</v>
      </c>
      <c r="AG167">
        <v>75</v>
      </c>
      <c r="AH167">
        <v>0</v>
      </c>
      <c r="AI167">
        <v>0</v>
      </c>
      <c r="AJ167">
        <v>2</v>
      </c>
      <c r="AK167">
        <v>14</v>
      </c>
      <c r="AL167">
        <v>2</v>
      </c>
      <c r="AM167">
        <v>14</v>
      </c>
      <c r="AN167">
        <v>8</v>
      </c>
      <c r="AO167">
        <v>315</v>
      </c>
      <c r="AP167">
        <v>11</v>
      </c>
      <c r="AQ167">
        <v>420</v>
      </c>
      <c r="AR167">
        <v>7.5617283950617287E-2</v>
      </c>
      <c r="AS167">
        <v>1.6975308641975311E-2</v>
      </c>
      <c r="AT167">
        <v>6.9444444444444448E-2</v>
      </c>
      <c r="AU167">
        <v>2.8935185185185189E-2</v>
      </c>
      <c r="AV167">
        <v>0</v>
      </c>
      <c r="AW167">
        <v>5.4012345679012343E-3</v>
      </c>
      <c r="AX167">
        <v>0.1215277777777778</v>
      </c>
      <c r="AY167">
        <v>0.16203703703703701</v>
      </c>
      <c r="AZ167">
        <v>0.1161265432098765</v>
      </c>
      <c r="BA167">
        <v>0.83333333333333337</v>
      </c>
      <c r="BB167">
        <v>0.87634408602150538</v>
      </c>
      <c r="BC167">
        <v>0.73333333333333328</v>
      </c>
      <c r="BD167">
        <v>0.69757908950617287</v>
      </c>
      <c r="BE167">
        <v>4</v>
      </c>
      <c r="BF167">
        <v>0.7851474605485862</v>
      </c>
      <c r="BG167">
        <v>0.78</v>
      </c>
      <c r="BH167" t="s">
        <v>86</v>
      </c>
      <c r="BI167">
        <v>0.79</v>
      </c>
      <c r="BJ167" t="s">
        <v>86</v>
      </c>
      <c r="BK167" s="2">
        <f t="shared" si="5"/>
        <v>-1.0000000000000009E-2</v>
      </c>
      <c r="BL167" t="b">
        <f t="shared" si="6"/>
        <v>1</v>
      </c>
    </row>
    <row r="168" spans="1:64" x14ac:dyDescent="0.35">
      <c r="A168" t="s">
        <v>507</v>
      </c>
      <c r="B168" t="s">
        <v>508</v>
      </c>
      <c r="C168">
        <v>2015</v>
      </c>
      <c r="D168" t="s">
        <v>509</v>
      </c>
      <c r="E168" t="s">
        <v>510</v>
      </c>
      <c r="F168" t="s">
        <v>66</v>
      </c>
      <c r="G168" t="s">
        <v>101</v>
      </c>
      <c r="H168" t="s">
        <v>195</v>
      </c>
      <c r="I168" t="s">
        <v>511</v>
      </c>
      <c r="J168" t="s">
        <v>70</v>
      </c>
      <c r="L168">
        <v>3</v>
      </c>
      <c r="M168" t="b">
        <v>0</v>
      </c>
      <c r="N168">
        <v>1</v>
      </c>
      <c r="O168">
        <v>5</v>
      </c>
      <c r="P168">
        <v>18</v>
      </c>
      <c r="Q168">
        <v>4</v>
      </c>
      <c r="R168">
        <v>14</v>
      </c>
      <c r="S168">
        <v>7</v>
      </c>
      <c r="T168">
        <v>41</v>
      </c>
      <c r="U168">
        <v>1473</v>
      </c>
      <c r="V168">
        <v>203</v>
      </c>
      <c r="W168">
        <v>30</v>
      </c>
      <c r="X168">
        <v>6.7666666666666666</v>
      </c>
      <c r="Y168">
        <v>8</v>
      </c>
      <c r="Z168">
        <v>253</v>
      </c>
      <c r="AA168">
        <v>4</v>
      </c>
      <c r="AB168">
        <v>367</v>
      </c>
      <c r="AC168">
        <v>4</v>
      </c>
      <c r="AD168">
        <v>4</v>
      </c>
      <c r="AE168">
        <v>69</v>
      </c>
      <c r="AF168">
        <v>1</v>
      </c>
      <c r="AG168">
        <v>17</v>
      </c>
      <c r="AH168">
        <v>0</v>
      </c>
      <c r="AI168">
        <v>0</v>
      </c>
      <c r="AJ168">
        <v>2</v>
      </c>
      <c r="AK168">
        <v>19</v>
      </c>
      <c r="AL168">
        <v>2</v>
      </c>
      <c r="AM168">
        <v>19</v>
      </c>
      <c r="AN168">
        <v>13</v>
      </c>
      <c r="AO168">
        <v>637</v>
      </c>
      <c r="AP168">
        <v>16</v>
      </c>
      <c r="AQ168">
        <v>689</v>
      </c>
      <c r="AR168">
        <v>0.1717583163611677</v>
      </c>
      <c r="AS168">
        <v>0.24915139171758319</v>
      </c>
      <c r="AT168">
        <v>4.684317718940937E-2</v>
      </c>
      <c r="AU168">
        <v>1.1541072640868981E-2</v>
      </c>
      <c r="AV168">
        <v>0</v>
      </c>
      <c r="AW168">
        <v>1.289884589273591E-2</v>
      </c>
      <c r="AX168">
        <v>0.43245078071961979</v>
      </c>
      <c r="AY168">
        <v>0.46775288526816022</v>
      </c>
      <c r="AZ168">
        <v>0.41955193482688391</v>
      </c>
      <c r="BA168">
        <v>1</v>
      </c>
      <c r="BB168">
        <v>0.96111111111111114</v>
      </c>
      <c r="BC168">
        <v>1.0666666666666671</v>
      </c>
      <c r="BD168">
        <v>0.88721995926680242</v>
      </c>
      <c r="BE168">
        <v>4</v>
      </c>
      <c r="BF168">
        <v>0.97874943426114502</v>
      </c>
      <c r="BG168">
        <v>1</v>
      </c>
      <c r="BH168" t="s">
        <v>164</v>
      </c>
      <c r="BI168">
        <v>0.98</v>
      </c>
      <c r="BJ168" t="s">
        <v>164</v>
      </c>
      <c r="BK168" s="2">
        <f t="shared" si="5"/>
        <v>2.0000000000000018E-2</v>
      </c>
      <c r="BL168" t="b">
        <f t="shared" si="6"/>
        <v>1</v>
      </c>
    </row>
    <row r="169" spans="1:64" x14ac:dyDescent="0.35">
      <c r="A169" t="s">
        <v>512</v>
      </c>
      <c r="B169" t="s">
        <v>508</v>
      </c>
      <c r="C169">
        <v>2019</v>
      </c>
      <c r="D169" t="s">
        <v>509</v>
      </c>
      <c r="E169" t="s">
        <v>510</v>
      </c>
      <c r="F169" t="s">
        <v>66</v>
      </c>
      <c r="G169" t="s">
        <v>101</v>
      </c>
      <c r="H169" t="s">
        <v>195</v>
      </c>
      <c r="I169" t="s">
        <v>511</v>
      </c>
      <c r="J169" t="s">
        <v>70</v>
      </c>
      <c r="L169">
        <v>3</v>
      </c>
      <c r="M169" t="b">
        <v>0</v>
      </c>
      <c r="N169">
        <v>1</v>
      </c>
      <c r="O169">
        <v>3</v>
      </c>
      <c r="P169">
        <v>9</v>
      </c>
      <c r="Q169">
        <v>1</v>
      </c>
      <c r="R169">
        <v>8</v>
      </c>
      <c r="S169">
        <v>6</v>
      </c>
      <c r="T169">
        <v>23</v>
      </c>
      <c r="U169">
        <v>286</v>
      </c>
      <c r="V169">
        <v>109</v>
      </c>
      <c r="W169">
        <v>16</v>
      </c>
      <c r="X169">
        <v>6.8125</v>
      </c>
      <c r="Y169">
        <v>2</v>
      </c>
      <c r="Z169">
        <v>12</v>
      </c>
      <c r="AA169">
        <v>1</v>
      </c>
      <c r="AB169">
        <v>6</v>
      </c>
      <c r="AC169">
        <v>3</v>
      </c>
      <c r="AD169">
        <v>3</v>
      </c>
      <c r="AE169">
        <v>27</v>
      </c>
      <c r="AF169">
        <v>1</v>
      </c>
      <c r="AG169">
        <v>6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4</v>
      </c>
      <c r="AO169">
        <v>24</v>
      </c>
      <c r="AP169">
        <v>6</v>
      </c>
      <c r="AQ169">
        <v>45</v>
      </c>
      <c r="AR169">
        <v>4.195804195804196E-2</v>
      </c>
      <c r="AS169">
        <v>2.097902097902098E-2</v>
      </c>
      <c r="AT169">
        <v>9.4405594405594401E-2</v>
      </c>
      <c r="AU169">
        <v>2.097902097902098E-2</v>
      </c>
      <c r="AV169">
        <v>0</v>
      </c>
      <c r="AW169">
        <v>0</v>
      </c>
      <c r="AX169">
        <v>8.3916083916083919E-2</v>
      </c>
      <c r="AY169">
        <v>0.15734265734265729</v>
      </c>
      <c r="AZ169">
        <v>8.3916083916083919E-2</v>
      </c>
      <c r="BA169">
        <v>0.83333333333333337</v>
      </c>
      <c r="BB169">
        <v>0.96875</v>
      </c>
      <c r="BC169">
        <v>0.4</v>
      </c>
      <c r="BD169">
        <v>0.67744755244755239</v>
      </c>
      <c r="BE169">
        <v>4</v>
      </c>
      <c r="BF169">
        <v>0.71988272144522147</v>
      </c>
      <c r="BG169">
        <v>0.75</v>
      </c>
      <c r="BH169" t="s">
        <v>86</v>
      </c>
      <c r="BI169">
        <v>0.72</v>
      </c>
      <c r="BJ169" t="s">
        <v>86</v>
      </c>
      <c r="BK169" s="2">
        <f t="shared" si="5"/>
        <v>3.0000000000000027E-2</v>
      </c>
      <c r="BL169" t="b">
        <f t="shared" si="6"/>
        <v>1</v>
      </c>
    </row>
    <row r="170" spans="1:64" x14ac:dyDescent="0.35">
      <c r="A170" t="s">
        <v>513</v>
      </c>
      <c r="B170" t="s">
        <v>514</v>
      </c>
      <c r="C170">
        <v>2017</v>
      </c>
      <c r="D170" t="s">
        <v>515</v>
      </c>
      <c r="E170" t="s">
        <v>516</v>
      </c>
      <c r="F170" t="s">
        <v>66</v>
      </c>
      <c r="G170" t="s">
        <v>101</v>
      </c>
      <c r="H170" t="s">
        <v>195</v>
      </c>
      <c r="I170" t="s">
        <v>517</v>
      </c>
      <c r="J170" t="s">
        <v>70</v>
      </c>
      <c r="L170">
        <v>1</v>
      </c>
      <c r="M170" t="b">
        <v>0</v>
      </c>
      <c r="N170">
        <v>1</v>
      </c>
      <c r="O170">
        <v>2</v>
      </c>
      <c r="P170">
        <v>6</v>
      </c>
      <c r="Q170">
        <v>3</v>
      </c>
      <c r="R170">
        <v>3</v>
      </c>
      <c r="S170">
        <v>5</v>
      </c>
      <c r="T170">
        <v>24</v>
      </c>
      <c r="U170">
        <v>277</v>
      </c>
      <c r="V170">
        <v>76</v>
      </c>
      <c r="W170">
        <v>16</v>
      </c>
      <c r="X170">
        <v>4.75</v>
      </c>
      <c r="Y170">
        <v>3</v>
      </c>
      <c r="Z170">
        <v>33</v>
      </c>
      <c r="AA170">
        <v>0</v>
      </c>
      <c r="AB170">
        <v>0</v>
      </c>
      <c r="AC170">
        <v>3</v>
      </c>
      <c r="AD170">
        <v>3</v>
      </c>
      <c r="AE170">
        <v>43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6</v>
      </c>
      <c r="AL170">
        <v>1</v>
      </c>
      <c r="AM170">
        <v>6</v>
      </c>
      <c r="AN170">
        <v>3</v>
      </c>
      <c r="AO170">
        <v>33</v>
      </c>
      <c r="AP170">
        <v>6</v>
      </c>
      <c r="AQ170">
        <v>76</v>
      </c>
      <c r="AR170">
        <v>0.1191335740072202</v>
      </c>
      <c r="AS170">
        <v>0</v>
      </c>
      <c r="AT170">
        <v>0.1552346570397112</v>
      </c>
      <c r="AU170">
        <v>0</v>
      </c>
      <c r="AV170">
        <v>0</v>
      </c>
      <c r="AW170">
        <v>2.166064981949458E-2</v>
      </c>
      <c r="AX170">
        <v>0.1191335740072202</v>
      </c>
      <c r="AY170">
        <v>0.27436823104693142</v>
      </c>
      <c r="AZ170">
        <v>9.7472924187725629E-2</v>
      </c>
      <c r="BA170">
        <v>0.66666666666666663</v>
      </c>
      <c r="BB170">
        <v>0.625</v>
      </c>
      <c r="BC170">
        <v>0.4</v>
      </c>
      <c r="BD170">
        <v>0.6859205776173285</v>
      </c>
      <c r="BE170">
        <v>4</v>
      </c>
      <c r="BF170">
        <v>0.59439681107099873</v>
      </c>
      <c r="BG170">
        <v>0.59</v>
      </c>
      <c r="BH170" t="s">
        <v>71</v>
      </c>
      <c r="BI170">
        <v>0.59</v>
      </c>
      <c r="BJ170" t="s">
        <v>71</v>
      </c>
      <c r="BK170" s="2">
        <f t="shared" si="5"/>
        <v>0</v>
      </c>
      <c r="BL170" t="b">
        <f t="shared" si="6"/>
        <v>1</v>
      </c>
    </row>
    <row r="171" spans="1:64" x14ac:dyDescent="0.35">
      <c r="A171" t="s">
        <v>518</v>
      </c>
      <c r="B171" t="s">
        <v>514</v>
      </c>
      <c r="C171">
        <v>2022</v>
      </c>
      <c r="D171" t="s">
        <v>515</v>
      </c>
      <c r="E171" t="s">
        <v>516</v>
      </c>
      <c r="F171" t="s">
        <v>66</v>
      </c>
      <c r="G171" t="s">
        <v>101</v>
      </c>
      <c r="H171" t="s">
        <v>195</v>
      </c>
      <c r="I171" t="s">
        <v>517</v>
      </c>
      <c r="J171" t="s">
        <v>70</v>
      </c>
      <c r="L171">
        <v>1</v>
      </c>
      <c r="M171" t="b">
        <v>0</v>
      </c>
      <c r="N171">
        <v>1</v>
      </c>
      <c r="O171">
        <v>2</v>
      </c>
      <c r="P171">
        <v>8</v>
      </c>
      <c r="Q171">
        <v>1</v>
      </c>
      <c r="R171">
        <v>7</v>
      </c>
      <c r="S171">
        <v>6</v>
      </c>
      <c r="T171">
        <v>23</v>
      </c>
      <c r="U171">
        <v>191</v>
      </c>
      <c r="V171">
        <v>122</v>
      </c>
      <c r="W171">
        <v>19</v>
      </c>
      <c r="X171">
        <v>6.4210526315789478</v>
      </c>
      <c r="Y171">
        <v>6</v>
      </c>
      <c r="Z171">
        <v>71</v>
      </c>
      <c r="AA171">
        <v>1</v>
      </c>
      <c r="AB171">
        <v>7</v>
      </c>
      <c r="AC171">
        <v>5</v>
      </c>
      <c r="AD171">
        <v>5</v>
      </c>
      <c r="AE171">
        <v>13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1</v>
      </c>
      <c r="AM171">
        <v>1</v>
      </c>
      <c r="AN171">
        <v>7</v>
      </c>
      <c r="AO171">
        <v>78</v>
      </c>
      <c r="AP171">
        <v>12</v>
      </c>
      <c r="AQ171">
        <v>91</v>
      </c>
      <c r="AR171">
        <v>0.37172774869109948</v>
      </c>
      <c r="AS171">
        <v>3.6649214659685861E-2</v>
      </c>
      <c r="AT171">
        <v>6.8062827225130892E-2</v>
      </c>
      <c r="AU171">
        <v>0</v>
      </c>
      <c r="AV171">
        <v>0</v>
      </c>
      <c r="AW171">
        <v>5.235602094240838E-3</v>
      </c>
      <c r="AX171">
        <v>0.40837696335078533</v>
      </c>
      <c r="AY171">
        <v>0.47643979057591618</v>
      </c>
      <c r="AZ171">
        <v>0.40314136125654448</v>
      </c>
      <c r="BA171">
        <v>0.83333333333333337</v>
      </c>
      <c r="BB171">
        <v>0.90350877192982459</v>
      </c>
      <c r="BC171">
        <v>0.8</v>
      </c>
      <c r="BD171">
        <v>0.87696335078534027</v>
      </c>
      <c r="BE171">
        <v>4</v>
      </c>
      <c r="BF171">
        <v>0.85345136401212462</v>
      </c>
      <c r="BG171">
        <v>0.89</v>
      </c>
      <c r="BH171" t="s">
        <v>164</v>
      </c>
      <c r="BI171">
        <v>0.85</v>
      </c>
      <c r="BJ171" t="s">
        <v>164</v>
      </c>
      <c r="BK171" s="2">
        <f t="shared" si="5"/>
        <v>4.0000000000000036E-2</v>
      </c>
      <c r="BL171" t="b">
        <f t="shared" si="6"/>
        <v>1</v>
      </c>
    </row>
    <row r="172" spans="1:64" x14ac:dyDescent="0.35">
      <c r="A172" t="s">
        <v>519</v>
      </c>
      <c r="B172" t="s">
        <v>520</v>
      </c>
      <c r="C172">
        <v>2014</v>
      </c>
      <c r="D172" t="s">
        <v>521</v>
      </c>
      <c r="E172" t="s">
        <v>522</v>
      </c>
      <c r="F172" t="s">
        <v>66</v>
      </c>
      <c r="G172" t="s">
        <v>101</v>
      </c>
      <c r="H172" t="s">
        <v>184</v>
      </c>
      <c r="I172" t="s">
        <v>523</v>
      </c>
      <c r="J172" t="s">
        <v>70</v>
      </c>
      <c r="L172">
        <v>1</v>
      </c>
      <c r="M172" t="b">
        <v>1</v>
      </c>
      <c r="N172">
        <v>1</v>
      </c>
      <c r="O172">
        <v>4</v>
      </c>
      <c r="P172">
        <v>11</v>
      </c>
      <c r="Q172">
        <v>4</v>
      </c>
      <c r="R172">
        <v>7</v>
      </c>
      <c r="S172">
        <v>6</v>
      </c>
      <c r="T172">
        <v>30</v>
      </c>
      <c r="U172">
        <v>456</v>
      </c>
      <c r="V172">
        <v>138</v>
      </c>
      <c r="W172">
        <v>22</v>
      </c>
      <c r="X172">
        <v>6.2727272727272716</v>
      </c>
      <c r="Y172">
        <v>4</v>
      </c>
      <c r="Z172">
        <v>159</v>
      </c>
      <c r="AA172">
        <v>1</v>
      </c>
      <c r="AB172">
        <v>12</v>
      </c>
      <c r="AC172">
        <v>6</v>
      </c>
      <c r="AD172">
        <v>6</v>
      </c>
      <c r="AE172">
        <v>186</v>
      </c>
      <c r="AF172">
        <v>1</v>
      </c>
      <c r="AG172">
        <v>1</v>
      </c>
      <c r="AH172">
        <v>1</v>
      </c>
      <c r="AI172">
        <v>4</v>
      </c>
      <c r="AJ172">
        <v>2</v>
      </c>
      <c r="AK172">
        <v>18</v>
      </c>
      <c r="AL172">
        <v>3</v>
      </c>
      <c r="AM172">
        <v>22</v>
      </c>
      <c r="AN172">
        <v>6</v>
      </c>
      <c r="AO172">
        <v>172</v>
      </c>
      <c r="AP172">
        <v>11</v>
      </c>
      <c r="AQ172">
        <v>357</v>
      </c>
      <c r="AR172">
        <v>0.34868421052631582</v>
      </c>
      <c r="AS172">
        <v>2.6315789473684209E-2</v>
      </c>
      <c r="AT172">
        <v>0.40789473684210531</v>
      </c>
      <c r="AU172">
        <v>2.1929824561403512E-3</v>
      </c>
      <c r="AV172">
        <v>8.771929824561403E-3</v>
      </c>
      <c r="AW172">
        <v>4.8245614035087717E-2</v>
      </c>
      <c r="AX172">
        <v>0.37719298245614041</v>
      </c>
      <c r="AY172">
        <v>0.78289473684210531</v>
      </c>
      <c r="AZ172">
        <v>0.32894736842105271</v>
      </c>
      <c r="BA172">
        <v>0.83333333333333337</v>
      </c>
      <c r="BB172">
        <v>0.87878787878787856</v>
      </c>
      <c r="BC172">
        <v>0.73333333333333328</v>
      </c>
      <c r="BD172">
        <v>0.83059210526315785</v>
      </c>
      <c r="BE172">
        <v>4</v>
      </c>
      <c r="BF172">
        <v>0.81901166267942571</v>
      </c>
      <c r="BG172">
        <v>0.84</v>
      </c>
      <c r="BH172" t="s">
        <v>164</v>
      </c>
      <c r="BI172">
        <v>0.82</v>
      </c>
      <c r="BJ172" t="s">
        <v>164</v>
      </c>
      <c r="BK172" s="2">
        <f t="shared" si="5"/>
        <v>2.0000000000000018E-2</v>
      </c>
      <c r="BL172" t="b">
        <f t="shared" si="6"/>
        <v>1</v>
      </c>
    </row>
    <row r="173" spans="1:64" x14ac:dyDescent="0.35">
      <c r="A173" t="s">
        <v>524</v>
      </c>
      <c r="B173" t="s">
        <v>520</v>
      </c>
      <c r="C173">
        <v>2021</v>
      </c>
      <c r="D173" t="s">
        <v>521</v>
      </c>
      <c r="E173" t="s">
        <v>522</v>
      </c>
      <c r="F173" t="s">
        <v>66</v>
      </c>
      <c r="G173" t="s">
        <v>101</v>
      </c>
      <c r="H173" t="s">
        <v>184</v>
      </c>
      <c r="I173" t="s">
        <v>523</v>
      </c>
      <c r="J173" t="s">
        <v>70</v>
      </c>
      <c r="L173">
        <v>1</v>
      </c>
      <c r="M173" t="b">
        <v>1</v>
      </c>
      <c r="N173">
        <v>1</v>
      </c>
      <c r="O173">
        <v>2</v>
      </c>
      <c r="P173">
        <v>7</v>
      </c>
      <c r="Q173">
        <v>6</v>
      </c>
      <c r="R173">
        <v>1</v>
      </c>
      <c r="S173">
        <v>5</v>
      </c>
      <c r="T173">
        <v>27</v>
      </c>
      <c r="U173">
        <v>574</v>
      </c>
      <c r="V173">
        <v>108</v>
      </c>
      <c r="W173">
        <v>21</v>
      </c>
      <c r="X173">
        <v>5.1428571428571432</v>
      </c>
      <c r="Y173">
        <v>3</v>
      </c>
      <c r="Z173">
        <v>50</v>
      </c>
      <c r="AA173">
        <v>1</v>
      </c>
      <c r="AB173">
        <v>2</v>
      </c>
      <c r="AC173">
        <v>7</v>
      </c>
      <c r="AD173">
        <v>7</v>
      </c>
      <c r="AE173">
        <v>161</v>
      </c>
      <c r="AF173">
        <v>1</v>
      </c>
      <c r="AG173">
        <v>5</v>
      </c>
      <c r="AH173">
        <v>1</v>
      </c>
      <c r="AI173">
        <v>34</v>
      </c>
      <c r="AJ173">
        <v>2</v>
      </c>
      <c r="AK173">
        <v>26</v>
      </c>
      <c r="AL173">
        <v>3</v>
      </c>
      <c r="AM173">
        <v>60</v>
      </c>
      <c r="AN173">
        <v>5</v>
      </c>
      <c r="AO173">
        <v>57</v>
      </c>
      <c r="AP173">
        <v>11</v>
      </c>
      <c r="AQ173">
        <v>213</v>
      </c>
      <c r="AR173">
        <v>8.7108013937282236E-2</v>
      </c>
      <c r="AS173">
        <v>3.4843205574912892E-3</v>
      </c>
      <c r="AT173">
        <v>0.28048780487804881</v>
      </c>
      <c r="AU173">
        <v>8.7108013937282226E-3</v>
      </c>
      <c r="AV173">
        <v>5.9233449477351922E-2</v>
      </c>
      <c r="AW173">
        <v>0.10452961672473871</v>
      </c>
      <c r="AX173">
        <v>9.9303135888501745E-2</v>
      </c>
      <c r="AY173">
        <v>0.3710801393728223</v>
      </c>
      <c r="AZ173">
        <v>-5.2264808362369316E-3</v>
      </c>
      <c r="BA173">
        <v>0.66666666666666663</v>
      </c>
      <c r="BB173">
        <v>0.69047619047619058</v>
      </c>
      <c r="BC173">
        <v>0.73333333333333328</v>
      </c>
      <c r="BD173">
        <v>0.62173344947735187</v>
      </c>
      <c r="BE173">
        <v>4</v>
      </c>
      <c r="BF173">
        <v>0.67805240998838556</v>
      </c>
      <c r="BG173">
        <v>0.69</v>
      </c>
      <c r="BH173" t="s">
        <v>86</v>
      </c>
      <c r="BI173">
        <v>0.68</v>
      </c>
      <c r="BJ173" t="s">
        <v>86</v>
      </c>
      <c r="BK173" s="2">
        <f t="shared" si="5"/>
        <v>9.9999999999998979E-3</v>
      </c>
      <c r="BL173" t="b">
        <f t="shared" si="6"/>
        <v>1</v>
      </c>
    </row>
    <row r="174" spans="1:64" x14ac:dyDescent="0.35">
      <c r="A174" t="s">
        <v>525</v>
      </c>
      <c r="B174" t="s">
        <v>526</v>
      </c>
      <c r="C174">
        <v>2014</v>
      </c>
      <c r="D174" t="s">
        <v>527</v>
      </c>
      <c r="E174" t="s">
        <v>528</v>
      </c>
      <c r="F174" t="s">
        <v>66</v>
      </c>
      <c r="G174" t="s">
        <v>101</v>
      </c>
      <c r="H174" t="s">
        <v>365</v>
      </c>
      <c r="I174" t="s">
        <v>529</v>
      </c>
      <c r="J174" t="s">
        <v>70</v>
      </c>
      <c r="L174">
        <v>1</v>
      </c>
      <c r="M174" t="b">
        <v>1</v>
      </c>
      <c r="N174">
        <v>1</v>
      </c>
      <c r="O174">
        <v>6</v>
      </c>
      <c r="P174">
        <v>16</v>
      </c>
      <c r="Q174">
        <v>1</v>
      </c>
      <c r="R174">
        <v>15</v>
      </c>
      <c r="S174">
        <v>7</v>
      </c>
      <c r="T174">
        <v>34</v>
      </c>
      <c r="U174">
        <v>370</v>
      </c>
      <c r="V174">
        <v>183</v>
      </c>
      <c r="W174">
        <v>26</v>
      </c>
      <c r="X174">
        <v>7.0384615384615383</v>
      </c>
      <c r="Y174">
        <v>3</v>
      </c>
      <c r="Z174">
        <v>104</v>
      </c>
      <c r="AA174">
        <v>5</v>
      </c>
      <c r="AB174">
        <v>122</v>
      </c>
      <c r="AC174">
        <v>4</v>
      </c>
      <c r="AD174">
        <v>4</v>
      </c>
      <c r="AE174">
        <v>8</v>
      </c>
      <c r="AF174">
        <v>2</v>
      </c>
      <c r="AG174">
        <v>2</v>
      </c>
      <c r="AH174">
        <v>2</v>
      </c>
      <c r="AI174">
        <v>9</v>
      </c>
      <c r="AJ174">
        <v>1</v>
      </c>
      <c r="AK174">
        <v>2</v>
      </c>
      <c r="AL174">
        <v>3</v>
      </c>
      <c r="AM174">
        <v>11</v>
      </c>
      <c r="AN174">
        <v>10</v>
      </c>
      <c r="AO174">
        <v>228</v>
      </c>
      <c r="AP174">
        <v>12</v>
      </c>
      <c r="AQ174">
        <v>234</v>
      </c>
      <c r="AR174">
        <v>0.2810810810810811</v>
      </c>
      <c r="AS174">
        <v>0.32972972972972969</v>
      </c>
      <c r="AT174">
        <v>2.1621621621621619E-2</v>
      </c>
      <c r="AU174">
        <v>5.4054054054054057E-3</v>
      </c>
      <c r="AV174">
        <v>2.4324324324324329E-2</v>
      </c>
      <c r="AW174">
        <v>2.9729729729729731E-2</v>
      </c>
      <c r="AX174">
        <v>0.61621621621621625</v>
      </c>
      <c r="AY174">
        <v>0.63243243243243241</v>
      </c>
      <c r="AZ174">
        <v>0.58648648648648649</v>
      </c>
      <c r="BA174">
        <v>1</v>
      </c>
      <c r="BB174">
        <v>1.0064102564102559</v>
      </c>
      <c r="BC174">
        <v>0.8</v>
      </c>
      <c r="BD174">
        <v>0.99155405405405406</v>
      </c>
      <c r="BE174">
        <v>4</v>
      </c>
      <c r="BF174">
        <v>0.94949107761607765</v>
      </c>
      <c r="BG174">
        <v>0.95</v>
      </c>
      <c r="BH174" t="s">
        <v>164</v>
      </c>
      <c r="BI174">
        <v>0.95</v>
      </c>
      <c r="BJ174" t="s">
        <v>164</v>
      </c>
      <c r="BK174" s="2">
        <f t="shared" si="5"/>
        <v>0</v>
      </c>
      <c r="BL174" t="b">
        <f t="shared" si="6"/>
        <v>1</v>
      </c>
    </row>
    <row r="175" spans="1:64" x14ac:dyDescent="0.35">
      <c r="A175" t="s">
        <v>530</v>
      </c>
      <c r="B175" t="s">
        <v>526</v>
      </c>
      <c r="C175">
        <v>2015</v>
      </c>
      <c r="D175" t="s">
        <v>527</v>
      </c>
      <c r="E175" t="s">
        <v>528</v>
      </c>
      <c r="F175" t="s">
        <v>66</v>
      </c>
      <c r="G175" t="s">
        <v>101</v>
      </c>
      <c r="H175" t="s">
        <v>365</v>
      </c>
      <c r="I175" t="s">
        <v>529</v>
      </c>
      <c r="J175" t="s">
        <v>70</v>
      </c>
      <c r="L175">
        <v>1</v>
      </c>
      <c r="M175" t="b">
        <v>1</v>
      </c>
      <c r="N175">
        <v>1</v>
      </c>
      <c r="O175">
        <v>5</v>
      </c>
      <c r="P175">
        <v>19</v>
      </c>
      <c r="Q175">
        <v>1</v>
      </c>
      <c r="R175">
        <v>18</v>
      </c>
      <c r="S175">
        <v>7</v>
      </c>
      <c r="T175">
        <v>40</v>
      </c>
      <c r="U175">
        <v>661</v>
      </c>
      <c r="V175">
        <v>220</v>
      </c>
      <c r="W175">
        <v>30</v>
      </c>
      <c r="X175">
        <v>7.333333333333333</v>
      </c>
      <c r="Y175">
        <v>6</v>
      </c>
      <c r="Z175">
        <v>207</v>
      </c>
      <c r="AA175">
        <v>3</v>
      </c>
      <c r="AB175">
        <v>130</v>
      </c>
      <c r="AC175">
        <v>6</v>
      </c>
      <c r="AD175">
        <v>6</v>
      </c>
      <c r="AE175">
        <v>34</v>
      </c>
      <c r="AF175">
        <v>0</v>
      </c>
      <c r="AG175">
        <v>0</v>
      </c>
      <c r="AH175">
        <v>2</v>
      </c>
      <c r="AI175">
        <v>18</v>
      </c>
      <c r="AJ175">
        <v>1</v>
      </c>
      <c r="AK175">
        <v>1</v>
      </c>
      <c r="AL175">
        <v>3</v>
      </c>
      <c r="AM175">
        <v>19</v>
      </c>
      <c r="AN175">
        <v>9</v>
      </c>
      <c r="AO175">
        <v>337</v>
      </c>
      <c r="AP175">
        <v>15</v>
      </c>
      <c r="AQ175">
        <v>371</v>
      </c>
      <c r="AR175">
        <v>0.31316187594553713</v>
      </c>
      <c r="AS175">
        <v>0.19667170953101359</v>
      </c>
      <c r="AT175">
        <v>5.1437216338880487E-2</v>
      </c>
      <c r="AU175">
        <v>0</v>
      </c>
      <c r="AV175">
        <v>2.7231467473524961E-2</v>
      </c>
      <c r="AW175">
        <v>2.8744326777609679E-2</v>
      </c>
      <c r="AX175">
        <v>0.50983358547655067</v>
      </c>
      <c r="AY175">
        <v>0.56127080181543121</v>
      </c>
      <c r="AZ175">
        <v>0.48108925869894098</v>
      </c>
      <c r="BA175">
        <v>1</v>
      </c>
      <c r="BB175">
        <v>1.055555555555556</v>
      </c>
      <c r="BC175">
        <v>1</v>
      </c>
      <c r="BD175">
        <v>0.92568078668683806</v>
      </c>
      <c r="BE175">
        <v>4</v>
      </c>
      <c r="BF175">
        <v>0.99530908556059838</v>
      </c>
      <c r="BG175">
        <v>0.99</v>
      </c>
      <c r="BH175" t="s">
        <v>164</v>
      </c>
      <c r="BI175">
        <v>1</v>
      </c>
      <c r="BJ175" t="s">
        <v>164</v>
      </c>
      <c r="BK175" s="2">
        <f t="shared" si="5"/>
        <v>-1.0000000000000009E-2</v>
      </c>
      <c r="BL175" t="b">
        <f t="shared" si="6"/>
        <v>1</v>
      </c>
    </row>
    <row r="176" spans="1:64" x14ac:dyDescent="0.35">
      <c r="A176" t="s">
        <v>531</v>
      </c>
      <c r="B176" t="s">
        <v>526</v>
      </c>
      <c r="C176">
        <v>2016</v>
      </c>
      <c r="D176" t="s">
        <v>527</v>
      </c>
      <c r="E176" t="s">
        <v>528</v>
      </c>
      <c r="F176" t="s">
        <v>66</v>
      </c>
      <c r="G176" t="s">
        <v>101</v>
      </c>
      <c r="H176" t="s">
        <v>365</v>
      </c>
      <c r="I176" t="s">
        <v>529</v>
      </c>
      <c r="J176" t="s">
        <v>70</v>
      </c>
      <c r="L176">
        <v>1</v>
      </c>
      <c r="M176" t="b">
        <v>1</v>
      </c>
      <c r="N176">
        <v>1</v>
      </c>
      <c r="O176">
        <v>5</v>
      </c>
      <c r="P176">
        <v>14</v>
      </c>
      <c r="Q176">
        <v>1</v>
      </c>
      <c r="R176">
        <v>13</v>
      </c>
      <c r="S176">
        <v>7</v>
      </c>
      <c r="T176">
        <v>35</v>
      </c>
      <c r="U176">
        <v>779</v>
      </c>
      <c r="V176">
        <v>168</v>
      </c>
      <c r="W176">
        <v>25</v>
      </c>
      <c r="X176">
        <v>6.72</v>
      </c>
      <c r="Y176">
        <v>7</v>
      </c>
      <c r="Z176">
        <v>98</v>
      </c>
      <c r="AA176">
        <v>3</v>
      </c>
      <c r="AB176">
        <v>213</v>
      </c>
      <c r="AC176">
        <v>3</v>
      </c>
      <c r="AD176">
        <v>3</v>
      </c>
      <c r="AE176">
        <v>76</v>
      </c>
      <c r="AF176">
        <v>0</v>
      </c>
      <c r="AG176">
        <v>0</v>
      </c>
      <c r="AH176">
        <v>1</v>
      </c>
      <c r="AI176">
        <v>14</v>
      </c>
      <c r="AJ176">
        <v>0</v>
      </c>
      <c r="AK176">
        <v>0</v>
      </c>
      <c r="AL176">
        <v>1</v>
      </c>
      <c r="AM176">
        <v>14</v>
      </c>
      <c r="AN176">
        <v>10</v>
      </c>
      <c r="AO176">
        <v>311</v>
      </c>
      <c r="AP176">
        <v>13</v>
      </c>
      <c r="AQ176">
        <v>387</v>
      </c>
      <c r="AR176">
        <v>0.1258023106546855</v>
      </c>
      <c r="AS176">
        <v>0.27342747111681642</v>
      </c>
      <c r="AT176">
        <v>9.7560975609756101E-2</v>
      </c>
      <c r="AU176">
        <v>0</v>
      </c>
      <c r="AV176">
        <v>1.7971758664955071E-2</v>
      </c>
      <c r="AW176">
        <v>1.7971758664955071E-2</v>
      </c>
      <c r="AX176">
        <v>0.39922978177150192</v>
      </c>
      <c r="AY176">
        <v>0.496790757381258</v>
      </c>
      <c r="AZ176">
        <v>0.38125802310654677</v>
      </c>
      <c r="BA176">
        <v>1</v>
      </c>
      <c r="BB176">
        <v>0.95333333333333325</v>
      </c>
      <c r="BC176">
        <v>0.8666666666666667</v>
      </c>
      <c r="BD176">
        <v>0.86328626444159173</v>
      </c>
      <c r="BE176">
        <v>4</v>
      </c>
      <c r="BF176">
        <v>0.92082156611039789</v>
      </c>
      <c r="BG176">
        <v>0.92</v>
      </c>
      <c r="BH176" t="s">
        <v>164</v>
      </c>
      <c r="BI176">
        <v>0.92</v>
      </c>
      <c r="BJ176" t="s">
        <v>164</v>
      </c>
      <c r="BK176" s="2">
        <f t="shared" si="5"/>
        <v>0</v>
      </c>
      <c r="BL176" t="b">
        <f t="shared" si="6"/>
        <v>1</v>
      </c>
    </row>
    <row r="177" spans="1:64" x14ac:dyDescent="0.35">
      <c r="A177" t="s">
        <v>532</v>
      </c>
      <c r="B177" t="s">
        <v>526</v>
      </c>
      <c r="C177">
        <v>2017</v>
      </c>
      <c r="D177" t="s">
        <v>527</v>
      </c>
      <c r="E177" t="s">
        <v>528</v>
      </c>
      <c r="F177" t="s">
        <v>66</v>
      </c>
      <c r="G177" t="s">
        <v>101</v>
      </c>
      <c r="H177" t="s">
        <v>365</v>
      </c>
      <c r="I177" t="s">
        <v>529</v>
      </c>
      <c r="J177" t="s">
        <v>70</v>
      </c>
      <c r="L177">
        <v>1</v>
      </c>
      <c r="M177" t="b">
        <v>1</v>
      </c>
      <c r="N177">
        <v>1</v>
      </c>
      <c r="O177">
        <v>3</v>
      </c>
      <c r="P177">
        <v>10</v>
      </c>
      <c r="Q177">
        <v>0</v>
      </c>
      <c r="R177">
        <v>10</v>
      </c>
      <c r="S177">
        <v>7</v>
      </c>
      <c r="T177">
        <v>16</v>
      </c>
      <c r="U177">
        <v>182</v>
      </c>
      <c r="V177">
        <v>109</v>
      </c>
      <c r="W177">
        <v>15</v>
      </c>
      <c r="X177">
        <v>7.2666666666666666</v>
      </c>
      <c r="Y177">
        <v>3</v>
      </c>
      <c r="Z177">
        <v>60</v>
      </c>
      <c r="AA177">
        <v>2</v>
      </c>
      <c r="AB177">
        <v>19</v>
      </c>
      <c r="AC177">
        <v>1</v>
      </c>
      <c r="AD177">
        <v>1</v>
      </c>
      <c r="AE177">
        <v>3</v>
      </c>
      <c r="AF177">
        <v>0</v>
      </c>
      <c r="AG177">
        <v>0</v>
      </c>
      <c r="AH177">
        <v>2</v>
      </c>
      <c r="AI177">
        <v>39</v>
      </c>
      <c r="AJ177">
        <v>0</v>
      </c>
      <c r="AK177">
        <v>0</v>
      </c>
      <c r="AL177">
        <v>3</v>
      </c>
      <c r="AM177">
        <v>48</v>
      </c>
      <c r="AN177">
        <v>5</v>
      </c>
      <c r="AO177">
        <v>79</v>
      </c>
      <c r="AP177">
        <v>6</v>
      </c>
      <c r="AQ177">
        <v>82</v>
      </c>
      <c r="AR177">
        <v>0.32967032967032972</v>
      </c>
      <c r="AS177">
        <v>0.1043956043956044</v>
      </c>
      <c r="AT177">
        <v>1.648351648351648E-2</v>
      </c>
      <c r="AU177">
        <v>0</v>
      </c>
      <c r="AV177">
        <v>0.2142857142857143</v>
      </c>
      <c r="AW177">
        <v>0.26373626373626369</v>
      </c>
      <c r="AX177">
        <v>0.43406593406593408</v>
      </c>
      <c r="AY177">
        <v>0.45054945054945061</v>
      </c>
      <c r="AZ177">
        <v>0.17032967032967031</v>
      </c>
      <c r="BA177">
        <v>1</v>
      </c>
      <c r="BB177">
        <v>1.044444444444445</v>
      </c>
      <c r="BC177">
        <v>0.4</v>
      </c>
      <c r="BD177">
        <v>0.73145604395604391</v>
      </c>
      <c r="BE177">
        <v>4</v>
      </c>
      <c r="BF177">
        <v>0.79397512210012211</v>
      </c>
      <c r="BG177">
        <v>0.78</v>
      </c>
      <c r="BH177" t="s">
        <v>86</v>
      </c>
      <c r="BI177">
        <v>0.79</v>
      </c>
      <c r="BJ177" t="s">
        <v>86</v>
      </c>
      <c r="BK177" s="2">
        <f t="shared" si="5"/>
        <v>-1.0000000000000009E-2</v>
      </c>
      <c r="BL177" t="b">
        <f t="shared" si="6"/>
        <v>1</v>
      </c>
    </row>
    <row r="178" spans="1:64" x14ac:dyDescent="0.35">
      <c r="A178" t="s">
        <v>533</v>
      </c>
      <c r="B178" t="s">
        <v>526</v>
      </c>
      <c r="C178">
        <v>2020</v>
      </c>
      <c r="D178" t="s">
        <v>527</v>
      </c>
      <c r="E178" t="s">
        <v>528</v>
      </c>
      <c r="F178" t="s">
        <v>66</v>
      </c>
      <c r="G178" t="s">
        <v>101</v>
      </c>
      <c r="H178" t="s">
        <v>365</v>
      </c>
      <c r="I178" t="s">
        <v>529</v>
      </c>
      <c r="J178" t="s">
        <v>70</v>
      </c>
      <c r="L178">
        <v>1</v>
      </c>
      <c r="M178" t="b">
        <v>1</v>
      </c>
      <c r="N178">
        <v>1</v>
      </c>
      <c r="O178">
        <v>4</v>
      </c>
      <c r="P178">
        <v>16</v>
      </c>
      <c r="Q178">
        <v>1</v>
      </c>
      <c r="R178">
        <v>15</v>
      </c>
      <c r="S178">
        <v>7</v>
      </c>
      <c r="T178">
        <v>37</v>
      </c>
      <c r="U178">
        <v>750</v>
      </c>
      <c r="V178">
        <v>187</v>
      </c>
      <c r="W178">
        <v>27</v>
      </c>
      <c r="X178">
        <v>6.9259259259259256</v>
      </c>
      <c r="Y178">
        <v>6</v>
      </c>
      <c r="Z178">
        <v>112</v>
      </c>
      <c r="AA178">
        <v>2</v>
      </c>
      <c r="AB178">
        <v>20</v>
      </c>
      <c r="AC178">
        <v>6</v>
      </c>
      <c r="AD178">
        <v>6</v>
      </c>
      <c r="AE178">
        <v>105</v>
      </c>
      <c r="AF178">
        <v>0</v>
      </c>
      <c r="AG178">
        <v>0</v>
      </c>
      <c r="AH178">
        <v>2</v>
      </c>
      <c r="AI178">
        <v>15</v>
      </c>
      <c r="AJ178">
        <v>2</v>
      </c>
      <c r="AK178">
        <v>12</v>
      </c>
      <c r="AL178">
        <v>4</v>
      </c>
      <c r="AM178">
        <v>27</v>
      </c>
      <c r="AN178">
        <v>8</v>
      </c>
      <c r="AO178">
        <v>132</v>
      </c>
      <c r="AP178">
        <v>14</v>
      </c>
      <c r="AQ178">
        <v>237</v>
      </c>
      <c r="AR178">
        <v>0.14933333333333329</v>
      </c>
      <c r="AS178">
        <v>2.6666666666666668E-2</v>
      </c>
      <c r="AT178">
        <v>0.14000000000000001</v>
      </c>
      <c r="AU178">
        <v>0</v>
      </c>
      <c r="AV178">
        <v>0.02</v>
      </c>
      <c r="AW178">
        <v>3.5999999999999997E-2</v>
      </c>
      <c r="AX178">
        <v>0.17599999999999999</v>
      </c>
      <c r="AY178">
        <v>0.316</v>
      </c>
      <c r="AZ178">
        <v>0.14000000000000001</v>
      </c>
      <c r="BA178">
        <v>1</v>
      </c>
      <c r="BB178">
        <v>0.98765432098765427</v>
      </c>
      <c r="BC178">
        <v>0.93333333333333335</v>
      </c>
      <c r="BD178">
        <v>0.71250000000000002</v>
      </c>
      <c r="BE178">
        <v>4</v>
      </c>
      <c r="BF178">
        <v>0.90837191358024694</v>
      </c>
      <c r="BG178">
        <v>0.91</v>
      </c>
      <c r="BH178" t="s">
        <v>164</v>
      </c>
      <c r="BI178">
        <v>0.91</v>
      </c>
      <c r="BJ178" t="s">
        <v>164</v>
      </c>
      <c r="BK178" s="2">
        <f t="shared" si="5"/>
        <v>0</v>
      </c>
      <c r="BL178" t="b">
        <f t="shared" si="6"/>
        <v>1</v>
      </c>
    </row>
    <row r="179" spans="1:64" x14ac:dyDescent="0.35">
      <c r="A179" t="s">
        <v>534</v>
      </c>
      <c r="B179" t="s">
        <v>535</v>
      </c>
      <c r="C179">
        <v>2016</v>
      </c>
      <c r="D179" t="s">
        <v>536</v>
      </c>
      <c r="E179" t="s">
        <v>537</v>
      </c>
      <c r="F179" t="s">
        <v>66</v>
      </c>
      <c r="G179" t="s">
        <v>101</v>
      </c>
      <c r="H179" t="s">
        <v>150</v>
      </c>
      <c r="I179" t="s">
        <v>538</v>
      </c>
      <c r="J179" t="s">
        <v>70</v>
      </c>
      <c r="L179">
        <v>1</v>
      </c>
      <c r="M179" t="b">
        <v>0</v>
      </c>
      <c r="N179">
        <v>1</v>
      </c>
      <c r="O179">
        <v>1</v>
      </c>
      <c r="P179">
        <v>8</v>
      </c>
      <c r="Q179">
        <v>4</v>
      </c>
      <c r="R179">
        <v>4</v>
      </c>
      <c r="S179">
        <v>5</v>
      </c>
      <c r="T179">
        <v>32</v>
      </c>
      <c r="U179">
        <v>415</v>
      </c>
      <c r="V179">
        <v>97</v>
      </c>
      <c r="W179">
        <v>19</v>
      </c>
      <c r="X179">
        <v>5.1052631578947372</v>
      </c>
      <c r="Y179">
        <v>1</v>
      </c>
      <c r="Z179">
        <v>2</v>
      </c>
      <c r="AA179">
        <v>0</v>
      </c>
      <c r="AB179">
        <v>0</v>
      </c>
      <c r="AC179">
        <v>6</v>
      </c>
      <c r="AD179">
        <v>6</v>
      </c>
      <c r="AE179">
        <v>116</v>
      </c>
      <c r="AF179">
        <v>0</v>
      </c>
      <c r="AG179">
        <v>0</v>
      </c>
      <c r="AH179">
        <v>1</v>
      </c>
      <c r="AI179">
        <v>24</v>
      </c>
      <c r="AJ179">
        <v>3</v>
      </c>
      <c r="AK179">
        <v>19</v>
      </c>
      <c r="AL179">
        <v>4</v>
      </c>
      <c r="AM179">
        <v>43</v>
      </c>
      <c r="AN179">
        <v>1</v>
      </c>
      <c r="AO179">
        <v>2</v>
      </c>
      <c r="AP179">
        <v>7</v>
      </c>
      <c r="AQ179">
        <v>118</v>
      </c>
      <c r="AR179">
        <v>4.8192771084337354E-3</v>
      </c>
      <c r="AS179">
        <v>0</v>
      </c>
      <c r="AT179">
        <v>0.27951807228915659</v>
      </c>
      <c r="AU179">
        <v>0</v>
      </c>
      <c r="AV179">
        <v>5.7831325301204821E-2</v>
      </c>
      <c r="AW179">
        <v>0.10361445783132529</v>
      </c>
      <c r="AX179">
        <v>4.8192771084337354E-3</v>
      </c>
      <c r="AY179">
        <v>0.28433734939759042</v>
      </c>
      <c r="AZ179">
        <v>-9.8795180722891576E-2</v>
      </c>
      <c r="BA179">
        <v>0.66666666666666663</v>
      </c>
      <c r="BB179">
        <v>0.68421052631578949</v>
      </c>
      <c r="BC179">
        <v>0.46666666666666667</v>
      </c>
      <c r="BD179">
        <v>0.56325301204819267</v>
      </c>
      <c r="BE179">
        <v>4</v>
      </c>
      <c r="BF179">
        <v>0.59519921792432884</v>
      </c>
      <c r="BG179">
        <v>0.6</v>
      </c>
      <c r="BH179" t="s">
        <v>86</v>
      </c>
      <c r="BI179">
        <v>0.6</v>
      </c>
      <c r="BJ179" t="s">
        <v>86</v>
      </c>
      <c r="BK179" s="2">
        <f t="shared" si="5"/>
        <v>0</v>
      </c>
      <c r="BL179" t="b">
        <f t="shared" si="6"/>
        <v>1</v>
      </c>
    </row>
    <row r="180" spans="1:64" x14ac:dyDescent="0.35">
      <c r="A180" t="s">
        <v>539</v>
      </c>
      <c r="B180" t="s">
        <v>535</v>
      </c>
      <c r="C180">
        <v>2019</v>
      </c>
      <c r="D180" t="s">
        <v>536</v>
      </c>
      <c r="E180" t="s">
        <v>537</v>
      </c>
      <c r="F180" t="s">
        <v>66</v>
      </c>
      <c r="G180" t="s">
        <v>101</v>
      </c>
      <c r="H180" t="s">
        <v>150</v>
      </c>
      <c r="I180" t="s">
        <v>538</v>
      </c>
      <c r="J180" t="s">
        <v>70</v>
      </c>
      <c r="L180">
        <v>1</v>
      </c>
      <c r="M180" t="b">
        <v>0</v>
      </c>
      <c r="N180">
        <v>1</v>
      </c>
      <c r="O180">
        <v>3</v>
      </c>
      <c r="P180">
        <v>10</v>
      </c>
      <c r="Q180">
        <v>7</v>
      </c>
      <c r="R180">
        <v>3</v>
      </c>
      <c r="S180">
        <v>5</v>
      </c>
      <c r="T180">
        <v>45</v>
      </c>
      <c r="U180">
        <v>1244</v>
      </c>
      <c r="V180">
        <v>137</v>
      </c>
      <c r="W180">
        <v>26</v>
      </c>
      <c r="X180">
        <v>5.2692307692307692</v>
      </c>
      <c r="Y180">
        <v>3</v>
      </c>
      <c r="Z180">
        <v>54</v>
      </c>
      <c r="AA180">
        <v>0</v>
      </c>
      <c r="AB180">
        <v>0</v>
      </c>
      <c r="AC180">
        <v>5</v>
      </c>
      <c r="AD180">
        <v>5</v>
      </c>
      <c r="AE180">
        <v>175</v>
      </c>
      <c r="AF180">
        <v>2</v>
      </c>
      <c r="AG180">
        <v>13</v>
      </c>
      <c r="AH180">
        <v>1</v>
      </c>
      <c r="AI180">
        <v>5</v>
      </c>
      <c r="AJ180">
        <v>2</v>
      </c>
      <c r="AK180">
        <v>10</v>
      </c>
      <c r="AL180">
        <v>3</v>
      </c>
      <c r="AM180">
        <v>15</v>
      </c>
      <c r="AN180">
        <v>5</v>
      </c>
      <c r="AO180">
        <v>67</v>
      </c>
      <c r="AP180">
        <v>8</v>
      </c>
      <c r="AQ180">
        <v>229</v>
      </c>
      <c r="AR180">
        <v>4.3408360128617367E-2</v>
      </c>
      <c r="AS180">
        <v>0</v>
      </c>
      <c r="AT180">
        <v>0.14067524115755631</v>
      </c>
      <c r="AU180">
        <v>1.045016077170418E-2</v>
      </c>
      <c r="AV180">
        <v>4.0192926045016066E-3</v>
      </c>
      <c r="AW180">
        <v>1.2057877813504821E-2</v>
      </c>
      <c r="AX180">
        <v>5.3858520900321553E-2</v>
      </c>
      <c r="AY180">
        <v>0.1840836012861736</v>
      </c>
      <c r="AZ180">
        <v>4.1800643086816733E-2</v>
      </c>
      <c r="BA180">
        <v>0.66666666666666663</v>
      </c>
      <c r="BB180">
        <v>0.71153846153846156</v>
      </c>
      <c r="BC180">
        <v>0.53333333333333333</v>
      </c>
      <c r="BD180">
        <v>0.65112540192926038</v>
      </c>
      <c r="BE180">
        <v>4</v>
      </c>
      <c r="BF180">
        <v>0.64066596586693048</v>
      </c>
      <c r="BG180">
        <v>0.64</v>
      </c>
      <c r="BH180" t="s">
        <v>86</v>
      </c>
      <c r="BI180">
        <v>0.64</v>
      </c>
      <c r="BJ180" t="s">
        <v>86</v>
      </c>
      <c r="BK180" s="2">
        <f t="shared" si="5"/>
        <v>0</v>
      </c>
      <c r="BL180" t="b">
        <f t="shared" si="6"/>
        <v>1</v>
      </c>
    </row>
    <row r="181" spans="1:64" x14ac:dyDescent="0.35">
      <c r="A181" t="s">
        <v>540</v>
      </c>
      <c r="B181" t="s">
        <v>541</v>
      </c>
      <c r="C181">
        <v>2015</v>
      </c>
      <c r="D181" t="s">
        <v>542</v>
      </c>
      <c r="E181" t="s">
        <v>543</v>
      </c>
      <c r="F181" t="s">
        <v>66</v>
      </c>
      <c r="G181" t="s">
        <v>101</v>
      </c>
      <c r="H181" t="s">
        <v>211</v>
      </c>
      <c r="I181" t="s">
        <v>211</v>
      </c>
      <c r="J181" t="s">
        <v>70</v>
      </c>
      <c r="L181">
        <v>5</v>
      </c>
      <c r="M181" t="b">
        <v>0</v>
      </c>
      <c r="N181">
        <v>1</v>
      </c>
      <c r="O181">
        <v>1</v>
      </c>
      <c r="P181">
        <v>9</v>
      </c>
      <c r="Q181">
        <v>3</v>
      </c>
      <c r="R181">
        <v>6</v>
      </c>
      <c r="S181">
        <v>5</v>
      </c>
      <c r="T181">
        <v>39</v>
      </c>
      <c r="U181">
        <v>1110</v>
      </c>
      <c r="V181">
        <v>155</v>
      </c>
      <c r="W181">
        <v>27</v>
      </c>
      <c r="X181">
        <v>5.7407407407407396</v>
      </c>
      <c r="Y181">
        <v>2</v>
      </c>
      <c r="Z181">
        <v>35</v>
      </c>
      <c r="AA181">
        <v>3</v>
      </c>
      <c r="AB181">
        <v>26</v>
      </c>
      <c r="AC181">
        <v>2</v>
      </c>
      <c r="AD181">
        <v>2</v>
      </c>
      <c r="AE181">
        <v>56</v>
      </c>
      <c r="AF181">
        <v>2</v>
      </c>
      <c r="AG181">
        <v>48</v>
      </c>
      <c r="AH181">
        <v>0</v>
      </c>
      <c r="AI181">
        <v>0</v>
      </c>
      <c r="AJ181">
        <v>2</v>
      </c>
      <c r="AK181">
        <v>17</v>
      </c>
      <c r="AL181">
        <v>2</v>
      </c>
      <c r="AM181">
        <v>17</v>
      </c>
      <c r="AN181">
        <v>7</v>
      </c>
      <c r="AO181">
        <v>109</v>
      </c>
      <c r="AP181">
        <v>7</v>
      </c>
      <c r="AQ181">
        <v>117</v>
      </c>
      <c r="AR181">
        <v>3.1531531531531529E-2</v>
      </c>
      <c r="AS181">
        <v>2.342342342342342E-2</v>
      </c>
      <c r="AT181">
        <v>5.0450450450450449E-2</v>
      </c>
      <c r="AU181">
        <v>4.3243243243243253E-2</v>
      </c>
      <c r="AV181">
        <v>0</v>
      </c>
      <c r="AW181">
        <v>1.531531531531532E-2</v>
      </c>
      <c r="AX181">
        <v>9.8198198198198194E-2</v>
      </c>
      <c r="AY181">
        <v>0.1054054054054054</v>
      </c>
      <c r="AZ181">
        <v>8.2882882882882883E-2</v>
      </c>
      <c r="BA181">
        <v>0.66666666666666663</v>
      </c>
      <c r="BB181">
        <v>0.7901234567901233</v>
      </c>
      <c r="BC181">
        <v>0.46666666666666667</v>
      </c>
      <c r="BD181">
        <v>0.67680180180180183</v>
      </c>
      <c r="BE181">
        <v>4</v>
      </c>
      <c r="BF181">
        <v>0.65006464798131458</v>
      </c>
      <c r="BG181">
        <v>0.69</v>
      </c>
      <c r="BH181" t="s">
        <v>86</v>
      </c>
      <c r="BI181">
        <v>0.65</v>
      </c>
      <c r="BJ181" t="s">
        <v>86</v>
      </c>
      <c r="BK181" s="2">
        <f t="shared" si="5"/>
        <v>3.9999999999999925E-2</v>
      </c>
      <c r="BL181" t="b">
        <f t="shared" si="6"/>
        <v>1</v>
      </c>
    </row>
    <row r="182" spans="1:64" x14ac:dyDescent="0.35">
      <c r="A182" t="s">
        <v>544</v>
      </c>
      <c r="B182" t="s">
        <v>541</v>
      </c>
      <c r="C182">
        <v>2019</v>
      </c>
      <c r="D182" t="s">
        <v>542</v>
      </c>
      <c r="E182" t="s">
        <v>543</v>
      </c>
      <c r="F182" t="s">
        <v>66</v>
      </c>
      <c r="G182" t="s">
        <v>101</v>
      </c>
      <c r="H182" t="s">
        <v>211</v>
      </c>
      <c r="I182" t="s">
        <v>211</v>
      </c>
      <c r="J182" t="s">
        <v>70</v>
      </c>
      <c r="L182">
        <v>5</v>
      </c>
      <c r="M182" t="b">
        <v>0</v>
      </c>
      <c r="N182">
        <v>1</v>
      </c>
      <c r="O182">
        <v>1</v>
      </c>
      <c r="P182">
        <v>5</v>
      </c>
      <c r="Q182">
        <v>5</v>
      </c>
      <c r="R182">
        <v>0</v>
      </c>
      <c r="S182">
        <v>4</v>
      </c>
      <c r="T182">
        <v>30</v>
      </c>
      <c r="U182">
        <v>666</v>
      </c>
      <c r="V182">
        <v>130</v>
      </c>
      <c r="W182">
        <v>24</v>
      </c>
      <c r="X182">
        <v>5.416666666666667</v>
      </c>
      <c r="Y182">
        <v>1</v>
      </c>
      <c r="Z182">
        <v>32</v>
      </c>
      <c r="AA182">
        <v>0</v>
      </c>
      <c r="AB182">
        <v>0</v>
      </c>
      <c r="AC182">
        <v>3</v>
      </c>
      <c r="AD182">
        <v>3</v>
      </c>
      <c r="AE182">
        <v>14</v>
      </c>
      <c r="AF182">
        <v>3</v>
      </c>
      <c r="AG182">
        <v>55</v>
      </c>
      <c r="AH182">
        <v>0</v>
      </c>
      <c r="AI182">
        <v>0</v>
      </c>
      <c r="AJ182">
        <v>2</v>
      </c>
      <c r="AK182">
        <v>5</v>
      </c>
      <c r="AL182">
        <v>2</v>
      </c>
      <c r="AM182">
        <v>5</v>
      </c>
      <c r="AN182">
        <v>4</v>
      </c>
      <c r="AO182">
        <v>87</v>
      </c>
      <c r="AP182">
        <v>4</v>
      </c>
      <c r="AQ182">
        <v>46</v>
      </c>
      <c r="AR182">
        <v>4.8048048048048048E-2</v>
      </c>
      <c r="AS182">
        <v>0</v>
      </c>
      <c r="AT182">
        <v>2.1021021021021019E-2</v>
      </c>
      <c r="AU182">
        <v>8.2582582582582581E-2</v>
      </c>
      <c r="AV182">
        <v>0</v>
      </c>
      <c r="AW182">
        <v>7.5075075075075066E-3</v>
      </c>
      <c r="AX182">
        <v>0.1306306306306306</v>
      </c>
      <c r="AY182">
        <v>6.9069069069069067E-2</v>
      </c>
      <c r="AZ182">
        <v>0.1231231231231231</v>
      </c>
      <c r="BA182">
        <v>0.5</v>
      </c>
      <c r="BB182">
        <v>0.73611111111111116</v>
      </c>
      <c r="BC182">
        <v>0.26666666666666672</v>
      </c>
      <c r="BD182">
        <v>0.70195195195195192</v>
      </c>
      <c r="BE182">
        <v>4</v>
      </c>
      <c r="BF182">
        <v>0.55118243243243248</v>
      </c>
      <c r="BG182">
        <v>0.55000000000000004</v>
      </c>
      <c r="BH182" t="s">
        <v>71</v>
      </c>
      <c r="BI182">
        <v>0.55000000000000004</v>
      </c>
      <c r="BJ182" t="s">
        <v>71</v>
      </c>
      <c r="BK182" s="2">
        <f t="shared" si="5"/>
        <v>0</v>
      </c>
      <c r="BL182" t="b">
        <f t="shared" si="6"/>
        <v>1</v>
      </c>
    </row>
    <row r="183" spans="1:64" x14ac:dyDescent="0.35">
      <c r="A183" t="s">
        <v>545</v>
      </c>
      <c r="B183" t="s">
        <v>541</v>
      </c>
      <c r="C183">
        <v>2022</v>
      </c>
      <c r="D183" t="s">
        <v>542</v>
      </c>
      <c r="E183" t="s">
        <v>543</v>
      </c>
      <c r="F183" t="s">
        <v>66</v>
      </c>
      <c r="G183" t="s">
        <v>101</v>
      </c>
      <c r="H183" t="s">
        <v>211</v>
      </c>
      <c r="I183" t="s">
        <v>211</v>
      </c>
      <c r="J183" t="s">
        <v>70</v>
      </c>
      <c r="L183">
        <v>5</v>
      </c>
      <c r="M183" t="b">
        <v>0</v>
      </c>
      <c r="N183">
        <v>1</v>
      </c>
      <c r="O183">
        <v>1</v>
      </c>
      <c r="P183">
        <v>8</v>
      </c>
      <c r="Q183">
        <v>3</v>
      </c>
      <c r="R183">
        <v>5</v>
      </c>
      <c r="S183">
        <v>5</v>
      </c>
      <c r="T183">
        <v>45</v>
      </c>
      <c r="U183">
        <v>744</v>
      </c>
      <c r="V183">
        <v>194</v>
      </c>
      <c r="W183">
        <v>34</v>
      </c>
      <c r="X183">
        <v>5.7058823529411766</v>
      </c>
      <c r="Y183">
        <v>4</v>
      </c>
      <c r="Z183">
        <v>45</v>
      </c>
      <c r="AA183">
        <v>1</v>
      </c>
      <c r="AB183">
        <v>1</v>
      </c>
      <c r="AC183">
        <v>4</v>
      </c>
      <c r="AD183">
        <v>4</v>
      </c>
      <c r="AE183">
        <v>52</v>
      </c>
      <c r="AF183">
        <v>6</v>
      </c>
      <c r="AG183">
        <v>466</v>
      </c>
      <c r="AH183">
        <v>2</v>
      </c>
      <c r="AI183">
        <v>12</v>
      </c>
      <c r="AJ183">
        <v>1</v>
      </c>
      <c r="AK183">
        <v>3</v>
      </c>
      <c r="AL183">
        <v>3</v>
      </c>
      <c r="AM183">
        <v>15</v>
      </c>
      <c r="AN183">
        <v>11</v>
      </c>
      <c r="AO183">
        <v>512</v>
      </c>
      <c r="AP183">
        <v>9</v>
      </c>
      <c r="AQ183">
        <v>98</v>
      </c>
      <c r="AR183">
        <v>6.0483870967741937E-2</v>
      </c>
      <c r="AS183">
        <v>1.344086021505376E-3</v>
      </c>
      <c r="AT183">
        <v>6.9892473118279563E-2</v>
      </c>
      <c r="AU183">
        <v>0.62634408602150538</v>
      </c>
      <c r="AV183">
        <v>1.6129032258064519E-2</v>
      </c>
      <c r="AW183">
        <v>2.0161290322580641E-2</v>
      </c>
      <c r="AX183">
        <v>0.68817204301075274</v>
      </c>
      <c r="AY183">
        <v>0.1317204301075269</v>
      </c>
      <c r="AZ183">
        <v>0.66801075268817212</v>
      </c>
      <c r="BA183">
        <v>0.66666666666666663</v>
      </c>
      <c r="BB183">
        <v>0.78431372549019607</v>
      </c>
      <c r="BC183">
        <v>0.6</v>
      </c>
      <c r="BD183">
        <v>1.0425067204301079</v>
      </c>
      <c r="BE183">
        <v>4</v>
      </c>
      <c r="BF183">
        <v>0.77337177814674252</v>
      </c>
      <c r="BG183">
        <v>0.78</v>
      </c>
      <c r="BH183" t="s">
        <v>86</v>
      </c>
      <c r="BI183">
        <v>0.77</v>
      </c>
      <c r="BJ183" t="s">
        <v>86</v>
      </c>
      <c r="BK183" s="2">
        <f t="shared" si="5"/>
        <v>1.0000000000000009E-2</v>
      </c>
      <c r="BL183" t="b">
        <f t="shared" si="6"/>
        <v>1</v>
      </c>
    </row>
    <row r="184" spans="1:64" x14ac:dyDescent="0.35">
      <c r="A184" t="s">
        <v>546</v>
      </c>
      <c r="B184" t="s">
        <v>547</v>
      </c>
      <c r="C184">
        <v>2015</v>
      </c>
      <c r="D184" t="s">
        <v>548</v>
      </c>
      <c r="E184" t="s">
        <v>549</v>
      </c>
      <c r="F184" t="s">
        <v>66</v>
      </c>
      <c r="G184" t="s">
        <v>101</v>
      </c>
      <c r="H184" t="s">
        <v>211</v>
      </c>
      <c r="I184" t="s">
        <v>550</v>
      </c>
      <c r="J184" t="s">
        <v>70</v>
      </c>
      <c r="L184">
        <v>2</v>
      </c>
      <c r="M184" t="b">
        <v>0</v>
      </c>
      <c r="N184">
        <v>1</v>
      </c>
      <c r="O184">
        <v>2</v>
      </c>
      <c r="P184">
        <v>7</v>
      </c>
      <c r="Q184">
        <v>3</v>
      </c>
      <c r="R184">
        <v>4</v>
      </c>
      <c r="S184">
        <v>6</v>
      </c>
      <c r="T184">
        <v>31</v>
      </c>
      <c r="U184">
        <v>1490</v>
      </c>
      <c r="V184">
        <v>116</v>
      </c>
      <c r="W184">
        <v>20</v>
      </c>
      <c r="X184">
        <v>5.8</v>
      </c>
      <c r="Y184">
        <v>3</v>
      </c>
      <c r="Z184">
        <v>50</v>
      </c>
      <c r="AA184">
        <v>1</v>
      </c>
      <c r="AB184">
        <v>29</v>
      </c>
      <c r="AC184">
        <v>3</v>
      </c>
      <c r="AD184">
        <v>3</v>
      </c>
      <c r="AE184">
        <v>61</v>
      </c>
      <c r="AF184">
        <v>2</v>
      </c>
      <c r="AG184">
        <v>85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6</v>
      </c>
      <c r="AO184">
        <v>164</v>
      </c>
      <c r="AP184">
        <v>7</v>
      </c>
      <c r="AQ184">
        <v>140</v>
      </c>
      <c r="AR184">
        <v>3.3557046979865772E-2</v>
      </c>
      <c r="AS184">
        <v>1.9463087248322151E-2</v>
      </c>
      <c r="AT184">
        <v>4.0939597315436241E-2</v>
      </c>
      <c r="AU184">
        <v>5.7046979865771813E-2</v>
      </c>
      <c r="AV184">
        <v>0</v>
      </c>
      <c r="AW184">
        <v>0</v>
      </c>
      <c r="AX184">
        <v>0.11006711409395969</v>
      </c>
      <c r="AY184">
        <v>9.3959731543624164E-2</v>
      </c>
      <c r="AZ184">
        <v>0.11006711409395969</v>
      </c>
      <c r="BA184">
        <v>0.83333333333333337</v>
      </c>
      <c r="BB184">
        <v>0.79999999999999993</v>
      </c>
      <c r="BC184">
        <v>0.46666666666666667</v>
      </c>
      <c r="BD184">
        <v>0.69379194630872476</v>
      </c>
      <c r="BE184">
        <v>4</v>
      </c>
      <c r="BF184">
        <v>0.69844798657718121</v>
      </c>
      <c r="BG184">
        <v>0.69</v>
      </c>
      <c r="BH184" t="s">
        <v>86</v>
      </c>
      <c r="BI184">
        <v>0.7</v>
      </c>
      <c r="BJ184" t="s">
        <v>86</v>
      </c>
      <c r="BK184" s="2">
        <f t="shared" si="5"/>
        <v>-1.0000000000000009E-2</v>
      </c>
      <c r="BL184" t="b">
        <f t="shared" si="6"/>
        <v>1</v>
      </c>
    </row>
    <row r="185" spans="1:64" x14ac:dyDescent="0.35">
      <c r="A185" t="s">
        <v>551</v>
      </c>
      <c r="B185" t="s">
        <v>547</v>
      </c>
      <c r="C185">
        <v>2019</v>
      </c>
      <c r="D185" t="s">
        <v>548</v>
      </c>
      <c r="E185" t="s">
        <v>549</v>
      </c>
      <c r="F185" t="s">
        <v>66</v>
      </c>
      <c r="G185" t="s">
        <v>101</v>
      </c>
      <c r="H185" t="s">
        <v>211</v>
      </c>
      <c r="I185" t="s">
        <v>550</v>
      </c>
      <c r="J185" t="s">
        <v>70</v>
      </c>
      <c r="L185">
        <v>2</v>
      </c>
      <c r="M185" t="b">
        <v>0</v>
      </c>
      <c r="N185">
        <v>1</v>
      </c>
      <c r="O185">
        <v>2</v>
      </c>
      <c r="P185">
        <v>8</v>
      </c>
      <c r="Q185">
        <v>2</v>
      </c>
      <c r="R185">
        <v>6</v>
      </c>
      <c r="S185">
        <v>6</v>
      </c>
      <c r="T185">
        <v>30</v>
      </c>
      <c r="U185">
        <v>698</v>
      </c>
      <c r="V185">
        <v>140</v>
      </c>
      <c r="W185">
        <v>23</v>
      </c>
      <c r="X185">
        <v>6.0869565217391308</v>
      </c>
      <c r="Y185">
        <v>2</v>
      </c>
      <c r="Z185">
        <v>44</v>
      </c>
      <c r="AA185">
        <v>1</v>
      </c>
      <c r="AB185">
        <v>55</v>
      </c>
      <c r="AC185">
        <v>3</v>
      </c>
      <c r="AD185">
        <v>2</v>
      </c>
      <c r="AE185">
        <v>48</v>
      </c>
      <c r="AF185">
        <v>1</v>
      </c>
      <c r="AG185">
        <v>46</v>
      </c>
      <c r="AH185">
        <v>0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4</v>
      </c>
      <c r="AO185">
        <v>145</v>
      </c>
      <c r="AP185">
        <v>5</v>
      </c>
      <c r="AQ185">
        <v>147</v>
      </c>
      <c r="AR185">
        <v>6.3037249283667621E-2</v>
      </c>
      <c r="AS185">
        <v>7.8796561604584522E-2</v>
      </c>
      <c r="AT185">
        <v>6.8767908309455589E-2</v>
      </c>
      <c r="AU185">
        <v>6.5902578796561598E-2</v>
      </c>
      <c r="AV185">
        <v>0</v>
      </c>
      <c r="AW185">
        <v>1.4326647564469909E-3</v>
      </c>
      <c r="AX185">
        <v>0.20773638968481381</v>
      </c>
      <c r="AY185">
        <v>0.2106017191977077</v>
      </c>
      <c r="AZ185">
        <v>0.20630372492836679</v>
      </c>
      <c r="BA185">
        <v>0.83333333333333337</v>
      </c>
      <c r="BB185">
        <v>0.84782608695652184</v>
      </c>
      <c r="BC185">
        <v>0.33333333333333331</v>
      </c>
      <c r="BD185">
        <v>0.75393982808022919</v>
      </c>
      <c r="BE185">
        <v>4</v>
      </c>
      <c r="BF185">
        <v>0.69210814542585442</v>
      </c>
      <c r="BG185">
        <v>0.69</v>
      </c>
      <c r="BH185" t="s">
        <v>86</v>
      </c>
      <c r="BI185">
        <v>0.69</v>
      </c>
      <c r="BJ185" t="s">
        <v>86</v>
      </c>
      <c r="BK185" s="2">
        <f t="shared" si="5"/>
        <v>0</v>
      </c>
      <c r="BL185" t="b">
        <f t="shared" si="6"/>
        <v>1</v>
      </c>
    </row>
    <row r="186" spans="1:64" x14ac:dyDescent="0.35">
      <c r="A186" t="s">
        <v>552</v>
      </c>
      <c r="B186" t="s">
        <v>547</v>
      </c>
      <c r="C186">
        <v>2022</v>
      </c>
      <c r="D186" t="s">
        <v>548</v>
      </c>
      <c r="E186" t="s">
        <v>549</v>
      </c>
      <c r="F186" t="s">
        <v>66</v>
      </c>
      <c r="G186" t="s">
        <v>101</v>
      </c>
      <c r="H186" t="s">
        <v>211</v>
      </c>
      <c r="I186" t="s">
        <v>550</v>
      </c>
      <c r="J186" t="s">
        <v>70</v>
      </c>
      <c r="L186">
        <v>2</v>
      </c>
      <c r="M186" t="b">
        <v>0</v>
      </c>
      <c r="N186">
        <v>1</v>
      </c>
      <c r="O186">
        <v>2</v>
      </c>
      <c r="P186">
        <v>14</v>
      </c>
      <c r="Q186">
        <v>1</v>
      </c>
      <c r="R186">
        <v>13</v>
      </c>
      <c r="S186">
        <v>7</v>
      </c>
      <c r="T186">
        <v>34</v>
      </c>
      <c r="U186">
        <v>812</v>
      </c>
      <c r="V186">
        <v>188</v>
      </c>
      <c r="W186">
        <v>29</v>
      </c>
      <c r="X186">
        <v>6.4827586206896548</v>
      </c>
      <c r="Y186">
        <v>5</v>
      </c>
      <c r="Z186">
        <v>106</v>
      </c>
      <c r="AA186">
        <v>3</v>
      </c>
      <c r="AB186">
        <v>31</v>
      </c>
      <c r="AC186">
        <v>3</v>
      </c>
      <c r="AD186">
        <v>3</v>
      </c>
      <c r="AE186">
        <v>262</v>
      </c>
      <c r="AF186">
        <v>2</v>
      </c>
      <c r="AG186">
        <v>103</v>
      </c>
      <c r="AH186">
        <v>0</v>
      </c>
      <c r="AI186">
        <v>0</v>
      </c>
      <c r="AJ186">
        <v>1</v>
      </c>
      <c r="AK186">
        <v>3</v>
      </c>
      <c r="AL186">
        <v>1</v>
      </c>
      <c r="AM186">
        <v>3</v>
      </c>
      <c r="AN186">
        <v>10</v>
      </c>
      <c r="AO186">
        <v>240</v>
      </c>
      <c r="AP186">
        <v>11</v>
      </c>
      <c r="AQ186">
        <v>399</v>
      </c>
      <c r="AR186">
        <v>0.1305418719211823</v>
      </c>
      <c r="AS186">
        <v>3.8177339901477828E-2</v>
      </c>
      <c r="AT186">
        <v>0.32266009852216748</v>
      </c>
      <c r="AU186">
        <v>0.1268472906403941</v>
      </c>
      <c r="AV186">
        <v>0</v>
      </c>
      <c r="AW186">
        <v>3.6945812807881772E-3</v>
      </c>
      <c r="AX186">
        <v>0.29556650246305421</v>
      </c>
      <c r="AY186">
        <v>0.49137931034482762</v>
      </c>
      <c r="AZ186">
        <v>0.29187192118226601</v>
      </c>
      <c r="BA186">
        <v>1</v>
      </c>
      <c r="BB186">
        <v>0.9137931034482758</v>
      </c>
      <c r="BC186">
        <v>0.73333333333333328</v>
      </c>
      <c r="BD186">
        <v>0.80741995073891626</v>
      </c>
      <c r="BE186">
        <v>4</v>
      </c>
      <c r="BF186">
        <v>0.86363659688013139</v>
      </c>
      <c r="BG186">
        <v>0.86</v>
      </c>
      <c r="BH186" t="s">
        <v>164</v>
      </c>
      <c r="BI186">
        <v>0.86</v>
      </c>
      <c r="BJ186" t="s">
        <v>164</v>
      </c>
      <c r="BK186" s="2">
        <f t="shared" si="5"/>
        <v>0</v>
      </c>
      <c r="BL186" t="b">
        <f t="shared" si="6"/>
        <v>1</v>
      </c>
    </row>
    <row r="187" spans="1:64" x14ac:dyDescent="0.35">
      <c r="A187" t="s">
        <v>553</v>
      </c>
      <c r="B187" t="s">
        <v>554</v>
      </c>
      <c r="C187">
        <v>2017</v>
      </c>
      <c r="D187" t="s">
        <v>555</v>
      </c>
      <c r="E187" t="s">
        <v>556</v>
      </c>
      <c r="F187" t="s">
        <v>66</v>
      </c>
      <c r="G187" t="s">
        <v>101</v>
      </c>
      <c r="H187" t="s">
        <v>102</v>
      </c>
      <c r="I187" t="s">
        <v>557</v>
      </c>
      <c r="J187" t="s">
        <v>70</v>
      </c>
      <c r="L187">
        <v>1</v>
      </c>
      <c r="M187" t="b">
        <v>0</v>
      </c>
      <c r="N187">
        <v>1</v>
      </c>
      <c r="O187">
        <v>3</v>
      </c>
      <c r="P187">
        <v>10</v>
      </c>
      <c r="Q187">
        <v>5</v>
      </c>
      <c r="R187">
        <v>5</v>
      </c>
      <c r="S187">
        <v>6</v>
      </c>
      <c r="T187">
        <v>38</v>
      </c>
      <c r="U187">
        <v>590</v>
      </c>
      <c r="V187">
        <v>147</v>
      </c>
      <c r="W187">
        <v>27</v>
      </c>
      <c r="X187">
        <v>5.4444444444444446</v>
      </c>
      <c r="Y187">
        <v>6</v>
      </c>
      <c r="Z187">
        <v>91</v>
      </c>
      <c r="AA187">
        <v>1</v>
      </c>
      <c r="AB187">
        <v>6</v>
      </c>
      <c r="AC187">
        <v>5</v>
      </c>
      <c r="AD187">
        <v>5</v>
      </c>
      <c r="AE187">
        <v>64</v>
      </c>
      <c r="AF187">
        <v>1</v>
      </c>
      <c r="AG187">
        <v>18</v>
      </c>
      <c r="AH187">
        <v>1</v>
      </c>
      <c r="AI187">
        <v>6</v>
      </c>
      <c r="AJ187">
        <v>1</v>
      </c>
      <c r="AK187">
        <v>6</v>
      </c>
      <c r="AL187">
        <v>2</v>
      </c>
      <c r="AM187">
        <v>12</v>
      </c>
      <c r="AN187">
        <v>8</v>
      </c>
      <c r="AO187">
        <v>115</v>
      </c>
      <c r="AP187">
        <v>12</v>
      </c>
      <c r="AQ187">
        <v>161</v>
      </c>
      <c r="AR187">
        <v>0.1542372881355932</v>
      </c>
      <c r="AS187">
        <v>1.016949152542373E-2</v>
      </c>
      <c r="AT187">
        <v>0.1084745762711864</v>
      </c>
      <c r="AU187">
        <v>3.0508474576271191E-2</v>
      </c>
      <c r="AV187">
        <v>1.016949152542373E-2</v>
      </c>
      <c r="AW187">
        <v>2.033898305084746E-2</v>
      </c>
      <c r="AX187">
        <v>0.19491525423728809</v>
      </c>
      <c r="AY187">
        <v>0.27288135593220342</v>
      </c>
      <c r="AZ187">
        <v>0.1745762711864407</v>
      </c>
      <c r="BA187">
        <v>0.83333333333333337</v>
      </c>
      <c r="BB187">
        <v>0.74074074074074081</v>
      </c>
      <c r="BC187">
        <v>0.8</v>
      </c>
      <c r="BD187">
        <v>0.73411016949152541</v>
      </c>
      <c r="BE187">
        <v>4</v>
      </c>
      <c r="BF187">
        <v>0.77704606089139994</v>
      </c>
      <c r="BG187">
        <v>0.77</v>
      </c>
      <c r="BH187" t="s">
        <v>86</v>
      </c>
      <c r="BI187">
        <v>0.78</v>
      </c>
      <c r="BJ187" t="s">
        <v>86</v>
      </c>
      <c r="BK187" s="2">
        <f t="shared" si="5"/>
        <v>-1.0000000000000009E-2</v>
      </c>
      <c r="BL187" t="b">
        <f t="shared" si="6"/>
        <v>1</v>
      </c>
    </row>
    <row r="188" spans="1:64" x14ac:dyDescent="0.35">
      <c r="A188" t="s">
        <v>558</v>
      </c>
      <c r="B188" t="s">
        <v>554</v>
      </c>
      <c r="C188">
        <v>2021</v>
      </c>
      <c r="D188" t="s">
        <v>555</v>
      </c>
      <c r="E188" t="s">
        <v>556</v>
      </c>
      <c r="F188" t="s">
        <v>66</v>
      </c>
      <c r="G188" t="s">
        <v>101</v>
      </c>
      <c r="H188" t="s">
        <v>102</v>
      </c>
      <c r="I188" t="s">
        <v>557</v>
      </c>
      <c r="J188" t="s">
        <v>70</v>
      </c>
      <c r="L188">
        <v>1</v>
      </c>
      <c r="M188" t="b">
        <v>0</v>
      </c>
      <c r="N188">
        <v>3</v>
      </c>
      <c r="O188">
        <v>1</v>
      </c>
      <c r="P188">
        <v>3</v>
      </c>
      <c r="Q188">
        <v>3</v>
      </c>
      <c r="R188">
        <v>0</v>
      </c>
      <c r="S188">
        <v>4</v>
      </c>
      <c r="T188">
        <v>17</v>
      </c>
      <c r="U188">
        <v>196</v>
      </c>
      <c r="V188">
        <v>68</v>
      </c>
      <c r="W188">
        <v>15</v>
      </c>
      <c r="X188">
        <v>4.5333333333333332</v>
      </c>
      <c r="Y188">
        <v>3</v>
      </c>
      <c r="Z188">
        <v>14</v>
      </c>
      <c r="AA188">
        <v>0</v>
      </c>
      <c r="AB188">
        <v>0</v>
      </c>
      <c r="AC188">
        <v>3</v>
      </c>
      <c r="AD188">
        <v>3</v>
      </c>
      <c r="AE188">
        <v>35</v>
      </c>
      <c r="AF188">
        <v>1</v>
      </c>
      <c r="AG188">
        <v>1</v>
      </c>
      <c r="AH188">
        <v>1</v>
      </c>
      <c r="AI188">
        <v>88</v>
      </c>
      <c r="AJ188">
        <v>1</v>
      </c>
      <c r="AK188">
        <v>6</v>
      </c>
      <c r="AL188">
        <v>2</v>
      </c>
      <c r="AM188">
        <v>94</v>
      </c>
      <c r="AN188">
        <v>4</v>
      </c>
      <c r="AO188">
        <v>15</v>
      </c>
      <c r="AP188">
        <v>6</v>
      </c>
      <c r="AQ188">
        <v>49</v>
      </c>
      <c r="AR188">
        <v>7.1428571428571425E-2</v>
      </c>
      <c r="AS188">
        <v>0</v>
      </c>
      <c r="AT188">
        <v>0.1785714285714286</v>
      </c>
      <c r="AU188">
        <v>5.1020408163265302E-3</v>
      </c>
      <c r="AV188">
        <v>0.44897959183673469</v>
      </c>
      <c r="AW188">
        <v>0.47959183673469391</v>
      </c>
      <c r="AX188">
        <v>7.6530612244897961E-2</v>
      </c>
      <c r="AY188">
        <v>0.25</v>
      </c>
      <c r="AZ188">
        <v>-0.40306122448979592</v>
      </c>
      <c r="BA188">
        <v>0.5</v>
      </c>
      <c r="BB188">
        <v>0.58888888888888891</v>
      </c>
      <c r="BC188">
        <v>0.4</v>
      </c>
      <c r="BD188">
        <v>0.37308673469387749</v>
      </c>
      <c r="BE188">
        <v>4</v>
      </c>
      <c r="BF188">
        <v>0.46549390589569162</v>
      </c>
      <c r="BG188">
        <v>0.54</v>
      </c>
      <c r="BH188" t="s">
        <v>71</v>
      </c>
      <c r="BI188">
        <v>0.47</v>
      </c>
      <c r="BJ188" t="s">
        <v>71</v>
      </c>
      <c r="BK188" s="2">
        <f t="shared" si="5"/>
        <v>7.0000000000000062E-2</v>
      </c>
      <c r="BL188" t="b">
        <f t="shared" si="6"/>
        <v>1</v>
      </c>
    </row>
    <row r="189" spans="1:64" x14ac:dyDescent="0.35">
      <c r="A189" t="s">
        <v>559</v>
      </c>
      <c r="B189" t="s">
        <v>560</v>
      </c>
      <c r="C189">
        <v>2016</v>
      </c>
      <c r="D189" t="s">
        <v>561</v>
      </c>
      <c r="E189" t="s">
        <v>562</v>
      </c>
      <c r="F189" t="s">
        <v>66</v>
      </c>
      <c r="G189" t="s">
        <v>101</v>
      </c>
      <c r="H189" t="s">
        <v>102</v>
      </c>
      <c r="I189" t="s">
        <v>563</v>
      </c>
      <c r="J189" t="s">
        <v>70</v>
      </c>
      <c r="L189">
        <v>1</v>
      </c>
      <c r="M189" t="b">
        <v>0</v>
      </c>
      <c r="N189">
        <v>3</v>
      </c>
      <c r="O189">
        <v>1</v>
      </c>
      <c r="P189">
        <v>2</v>
      </c>
      <c r="Q189">
        <v>3</v>
      </c>
      <c r="R189">
        <v>-1</v>
      </c>
      <c r="S189">
        <v>4</v>
      </c>
      <c r="T189">
        <v>11</v>
      </c>
      <c r="U189">
        <v>123</v>
      </c>
      <c r="V189">
        <v>42</v>
      </c>
      <c r="W189">
        <v>9</v>
      </c>
      <c r="X189">
        <v>4.666666666666667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2</v>
      </c>
      <c r="AG189">
        <v>14</v>
      </c>
      <c r="AH189">
        <v>1</v>
      </c>
      <c r="AI189">
        <v>8</v>
      </c>
      <c r="AJ189">
        <v>2</v>
      </c>
      <c r="AK189">
        <v>18</v>
      </c>
      <c r="AL189">
        <v>3</v>
      </c>
      <c r="AM189">
        <v>26</v>
      </c>
      <c r="AN189">
        <v>2</v>
      </c>
      <c r="AO189">
        <v>14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0.11382113821138209</v>
      </c>
      <c r="AV189">
        <v>6.5040650406504072E-2</v>
      </c>
      <c r="AW189">
        <v>0.2113821138211382</v>
      </c>
      <c r="AX189">
        <v>0.11382113821138209</v>
      </c>
      <c r="AY189">
        <v>0</v>
      </c>
      <c r="AZ189">
        <v>-9.7560975609756115E-2</v>
      </c>
      <c r="BA189">
        <v>0.5</v>
      </c>
      <c r="BB189">
        <v>0.61111111111111116</v>
      </c>
      <c r="BC189">
        <v>0</v>
      </c>
      <c r="BD189">
        <v>0.56402439024390238</v>
      </c>
      <c r="BE189">
        <v>4</v>
      </c>
      <c r="BF189">
        <v>0.41878387533875339</v>
      </c>
      <c r="BG189">
        <v>0.43</v>
      </c>
      <c r="BH189" t="s">
        <v>71</v>
      </c>
      <c r="BI189">
        <v>0.42</v>
      </c>
      <c r="BJ189" t="s">
        <v>71</v>
      </c>
      <c r="BK189" s="2">
        <f t="shared" si="5"/>
        <v>1.0000000000000009E-2</v>
      </c>
      <c r="BL189" t="b">
        <f t="shared" si="6"/>
        <v>1</v>
      </c>
    </row>
    <row r="190" spans="1:64" x14ac:dyDescent="0.35">
      <c r="A190" t="s">
        <v>564</v>
      </c>
      <c r="B190" t="s">
        <v>560</v>
      </c>
      <c r="C190">
        <v>2021</v>
      </c>
      <c r="D190" t="s">
        <v>561</v>
      </c>
      <c r="E190" t="s">
        <v>562</v>
      </c>
      <c r="F190" t="s">
        <v>66</v>
      </c>
      <c r="G190" t="s">
        <v>101</v>
      </c>
      <c r="H190" t="s">
        <v>102</v>
      </c>
      <c r="I190" t="s">
        <v>563</v>
      </c>
      <c r="J190" t="s">
        <v>70</v>
      </c>
      <c r="L190">
        <v>1</v>
      </c>
      <c r="M190" t="b">
        <v>0</v>
      </c>
      <c r="N190">
        <v>1</v>
      </c>
      <c r="O190">
        <v>1</v>
      </c>
      <c r="P190">
        <v>7</v>
      </c>
      <c r="Q190">
        <v>3</v>
      </c>
      <c r="R190">
        <v>4</v>
      </c>
      <c r="S190">
        <v>5</v>
      </c>
      <c r="T190">
        <v>23</v>
      </c>
      <c r="U190">
        <v>312</v>
      </c>
      <c r="V190">
        <v>103</v>
      </c>
      <c r="W190">
        <v>21</v>
      </c>
      <c r="X190">
        <v>4.9047619047619051</v>
      </c>
      <c r="Y190">
        <v>3</v>
      </c>
      <c r="Z190">
        <v>83</v>
      </c>
      <c r="AA190">
        <v>0</v>
      </c>
      <c r="AB190">
        <v>0</v>
      </c>
      <c r="AC190">
        <v>1</v>
      </c>
      <c r="AD190">
        <v>1</v>
      </c>
      <c r="AE190">
        <v>13</v>
      </c>
      <c r="AF190">
        <v>2</v>
      </c>
      <c r="AG190">
        <v>15</v>
      </c>
      <c r="AH190">
        <v>2</v>
      </c>
      <c r="AI190">
        <v>32</v>
      </c>
      <c r="AJ190">
        <v>2</v>
      </c>
      <c r="AK190">
        <v>20</v>
      </c>
      <c r="AL190">
        <v>4</v>
      </c>
      <c r="AM190">
        <v>52</v>
      </c>
      <c r="AN190">
        <v>5</v>
      </c>
      <c r="AO190">
        <v>98</v>
      </c>
      <c r="AP190">
        <v>4</v>
      </c>
      <c r="AQ190">
        <v>96</v>
      </c>
      <c r="AR190">
        <v>0.26602564102564102</v>
      </c>
      <c r="AS190">
        <v>0</v>
      </c>
      <c r="AT190">
        <v>4.1666666666666657E-2</v>
      </c>
      <c r="AU190">
        <v>4.807692307692308E-2</v>
      </c>
      <c r="AV190">
        <v>0.1025641025641026</v>
      </c>
      <c r="AW190">
        <v>0.16666666666666671</v>
      </c>
      <c r="AX190">
        <v>0.3141025641025641</v>
      </c>
      <c r="AY190">
        <v>0.30769230769230771</v>
      </c>
      <c r="AZ190">
        <v>0.14743589743589741</v>
      </c>
      <c r="BA190">
        <v>0.66666666666666663</v>
      </c>
      <c r="BB190">
        <v>0.65079365079365081</v>
      </c>
      <c r="BC190">
        <v>0.26666666666666672</v>
      </c>
      <c r="BD190">
        <v>0.71714743589743579</v>
      </c>
      <c r="BE190">
        <v>4</v>
      </c>
      <c r="BF190">
        <v>0.57531860500610499</v>
      </c>
      <c r="BG190">
        <v>0.55000000000000004</v>
      </c>
      <c r="BH190" t="s">
        <v>71</v>
      </c>
      <c r="BI190">
        <v>0.57999999999999996</v>
      </c>
      <c r="BJ190" t="s">
        <v>71</v>
      </c>
      <c r="BK190" s="2">
        <f t="shared" si="5"/>
        <v>-2.9999999999999916E-2</v>
      </c>
      <c r="BL190" t="b">
        <f t="shared" si="6"/>
        <v>1</v>
      </c>
    </row>
    <row r="191" spans="1:64" x14ac:dyDescent="0.35">
      <c r="A191" t="s">
        <v>565</v>
      </c>
      <c r="B191" t="s">
        <v>566</v>
      </c>
      <c r="C191">
        <v>2016</v>
      </c>
      <c r="D191" t="s">
        <v>567</v>
      </c>
      <c r="E191" t="s">
        <v>568</v>
      </c>
      <c r="F191" t="s">
        <v>66</v>
      </c>
      <c r="G191" t="s">
        <v>101</v>
      </c>
      <c r="H191" t="s">
        <v>348</v>
      </c>
      <c r="I191" t="s">
        <v>569</v>
      </c>
      <c r="J191" t="s">
        <v>70</v>
      </c>
      <c r="L191">
        <v>1</v>
      </c>
      <c r="M191" t="b">
        <v>0</v>
      </c>
      <c r="N191">
        <v>1</v>
      </c>
      <c r="O191">
        <v>1</v>
      </c>
      <c r="P191">
        <v>3</v>
      </c>
      <c r="Q191">
        <v>3</v>
      </c>
      <c r="R191">
        <v>0</v>
      </c>
      <c r="S191">
        <v>4</v>
      </c>
      <c r="T191">
        <v>14</v>
      </c>
      <c r="U191">
        <v>95</v>
      </c>
      <c r="V191">
        <v>53</v>
      </c>
      <c r="W191">
        <v>10</v>
      </c>
      <c r="X191">
        <v>5.3</v>
      </c>
      <c r="Y191">
        <v>4</v>
      </c>
      <c r="Z191">
        <v>34</v>
      </c>
      <c r="AA191">
        <v>0</v>
      </c>
      <c r="AB191">
        <v>0</v>
      </c>
      <c r="AC191">
        <v>3</v>
      </c>
      <c r="AD191">
        <v>3</v>
      </c>
      <c r="AE191">
        <v>27</v>
      </c>
      <c r="AF191">
        <v>0</v>
      </c>
      <c r="AG191">
        <v>0</v>
      </c>
      <c r="AH191">
        <v>1</v>
      </c>
      <c r="AI191">
        <v>24</v>
      </c>
      <c r="AJ191">
        <v>2</v>
      </c>
      <c r="AK191">
        <v>4</v>
      </c>
      <c r="AL191">
        <v>3</v>
      </c>
      <c r="AM191">
        <v>28</v>
      </c>
      <c r="AN191">
        <v>4</v>
      </c>
      <c r="AO191">
        <v>34</v>
      </c>
      <c r="AP191">
        <v>7</v>
      </c>
      <c r="AQ191">
        <v>61</v>
      </c>
      <c r="AR191">
        <v>0.35789473684210532</v>
      </c>
      <c r="AS191">
        <v>0</v>
      </c>
      <c r="AT191">
        <v>0.28421052631578952</v>
      </c>
      <c r="AU191">
        <v>0</v>
      </c>
      <c r="AV191">
        <v>0.25263157894736837</v>
      </c>
      <c r="AW191">
        <v>0.29473684210526307</v>
      </c>
      <c r="AX191">
        <v>0.35789473684210532</v>
      </c>
      <c r="AY191">
        <v>0.64210526315789473</v>
      </c>
      <c r="AZ191">
        <v>6.3157894736842135E-2</v>
      </c>
      <c r="BA191">
        <v>0.5</v>
      </c>
      <c r="BB191">
        <v>0.71666666666666667</v>
      </c>
      <c r="BC191">
        <v>0.46666666666666667</v>
      </c>
      <c r="BD191">
        <v>0.66447368421052622</v>
      </c>
      <c r="BE191">
        <v>4</v>
      </c>
      <c r="BF191">
        <v>0.58695175438596492</v>
      </c>
      <c r="BG191">
        <v>0.63</v>
      </c>
      <c r="BH191" t="s">
        <v>86</v>
      </c>
      <c r="BI191">
        <v>0.59</v>
      </c>
      <c r="BJ191" t="s">
        <v>71</v>
      </c>
      <c r="BK191" s="2">
        <f t="shared" si="5"/>
        <v>4.0000000000000036E-2</v>
      </c>
      <c r="BL191" t="b">
        <f t="shared" si="6"/>
        <v>0</v>
      </c>
    </row>
    <row r="192" spans="1:64" x14ac:dyDescent="0.35">
      <c r="A192" t="s">
        <v>570</v>
      </c>
      <c r="B192" t="s">
        <v>566</v>
      </c>
      <c r="C192">
        <v>2021</v>
      </c>
      <c r="D192" t="s">
        <v>567</v>
      </c>
      <c r="E192" t="s">
        <v>568</v>
      </c>
      <c r="F192" t="s">
        <v>66</v>
      </c>
      <c r="G192" t="s">
        <v>101</v>
      </c>
      <c r="H192" t="s">
        <v>348</v>
      </c>
      <c r="I192" t="s">
        <v>569</v>
      </c>
      <c r="J192" t="s">
        <v>70</v>
      </c>
      <c r="L192">
        <v>1</v>
      </c>
      <c r="M192" t="b">
        <v>0</v>
      </c>
      <c r="N192">
        <v>1</v>
      </c>
      <c r="O192">
        <v>1</v>
      </c>
      <c r="P192">
        <v>7</v>
      </c>
      <c r="Q192">
        <v>3</v>
      </c>
      <c r="R192">
        <v>4</v>
      </c>
      <c r="S192">
        <v>5</v>
      </c>
      <c r="T192">
        <v>25</v>
      </c>
      <c r="U192">
        <v>458</v>
      </c>
      <c r="V192">
        <v>132</v>
      </c>
      <c r="W192">
        <v>24</v>
      </c>
      <c r="X192">
        <v>5.5</v>
      </c>
      <c r="Y192">
        <v>3</v>
      </c>
      <c r="Z192">
        <v>116</v>
      </c>
      <c r="AA192">
        <v>1</v>
      </c>
      <c r="AB192">
        <v>14</v>
      </c>
      <c r="AC192">
        <v>4</v>
      </c>
      <c r="AD192">
        <v>4</v>
      </c>
      <c r="AE192">
        <v>23</v>
      </c>
      <c r="AF192">
        <v>1</v>
      </c>
      <c r="AG192">
        <v>1</v>
      </c>
      <c r="AH192">
        <v>1</v>
      </c>
      <c r="AI192">
        <v>167</v>
      </c>
      <c r="AJ192">
        <v>1</v>
      </c>
      <c r="AK192">
        <v>14</v>
      </c>
      <c r="AL192">
        <v>2</v>
      </c>
      <c r="AM192">
        <v>181</v>
      </c>
      <c r="AN192">
        <v>5</v>
      </c>
      <c r="AO192">
        <v>131</v>
      </c>
      <c r="AP192">
        <v>8</v>
      </c>
      <c r="AQ192">
        <v>153</v>
      </c>
      <c r="AR192">
        <v>0.25327510917030571</v>
      </c>
      <c r="AS192">
        <v>3.0567685589519649E-2</v>
      </c>
      <c r="AT192">
        <v>5.0218340611353711E-2</v>
      </c>
      <c r="AU192">
        <v>2.1834061135371178E-3</v>
      </c>
      <c r="AV192">
        <v>0.36462882096069871</v>
      </c>
      <c r="AW192">
        <v>0.39519650655021832</v>
      </c>
      <c r="AX192">
        <v>0.28602620087336239</v>
      </c>
      <c r="AY192">
        <v>0.33406113537117899</v>
      </c>
      <c r="AZ192">
        <v>-0.1091703056768559</v>
      </c>
      <c r="BA192">
        <v>0.66666666666666663</v>
      </c>
      <c r="BB192">
        <v>0.75</v>
      </c>
      <c r="BC192">
        <v>0.53333333333333333</v>
      </c>
      <c r="BD192">
        <v>0.55676855895196498</v>
      </c>
      <c r="BE192">
        <v>4</v>
      </c>
      <c r="BF192">
        <v>0.62669213973799121</v>
      </c>
      <c r="BG192">
        <v>0.68</v>
      </c>
      <c r="BH192" t="s">
        <v>86</v>
      </c>
      <c r="BI192">
        <v>0.63</v>
      </c>
      <c r="BJ192" t="s">
        <v>86</v>
      </c>
      <c r="BK192" s="2">
        <f t="shared" si="5"/>
        <v>5.0000000000000044E-2</v>
      </c>
      <c r="BL192" t="b">
        <f t="shared" si="6"/>
        <v>1</v>
      </c>
    </row>
    <row r="193" spans="1:64" x14ac:dyDescent="0.35">
      <c r="A193" t="s">
        <v>571</v>
      </c>
      <c r="B193" t="s">
        <v>572</v>
      </c>
      <c r="C193">
        <v>2014</v>
      </c>
      <c r="D193" t="s">
        <v>573</v>
      </c>
      <c r="E193" t="s">
        <v>574</v>
      </c>
      <c r="F193" t="s">
        <v>66</v>
      </c>
      <c r="G193" t="s">
        <v>101</v>
      </c>
      <c r="H193" t="s">
        <v>170</v>
      </c>
      <c r="I193" t="s">
        <v>575</v>
      </c>
      <c r="J193" t="s">
        <v>70</v>
      </c>
      <c r="L193">
        <v>1</v>
      </c>
      <c r="M193" t="b">
        <v>0</v>
      </c>
      <c r="N193">
        <v>1</v>
      </c>
      <c r="O193">
        <v>2</v>
      </c>
      <c r="P193">
        <v>3</v>
      </c>
      <c r="Q193">
        <v>3</v>
      </c>
      <c r="R193">
        <v>0</v>
      </c>
      <c r="S193">
        <v>5</v>
      </c>
      <c r="T193">
        <v>13</v>
      </c>
      <c r="U193">
        <v>198</v>
      </c>
      <c r="V193">
        <v>62</v>
      </c>
      <c r="W193">
        <v>13</v>
      </c>
      <c r="X193">
        <v>4.7692307692307692</v>
      </c>
      <c r="Y193">
        <v>1</v>
      </c>
      <c r="Z193">
        <v>14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3</v>
      </c>
      <c r="AI193">
        <v>103</v>
      </c>
      <c r="AJ193">
        <v>2</v>
      </c>
      <c r="AK193">
        <v>4</v>
      </c>
      <c r="AL193">
        <v>5</v>
      </c>
      <c r="AM193">
        <v>107</v>
      </c>
      <c r="AN193">
        <v>1</v>
      </c>
      <c r="AO193">
        <v>14</v>
      </c>
      <c r="AP193">
        <v>1</v>
      </c>
      <c r="AQ193">
        <v>14</v>
      </c>
      <c r="AR193">
        <v>7.0707070707070704E-2</v>
      </c>
      <c r="AS193">
        <v>0</v>
      </c>
      <c r="AT193">
        <v>0</v>
      </c>
      <c r="AU193">
        <v>0</v>
      </c>
      <c r="AV193">
        <v>0.52020202020202022</v>
      </c>
      <c r="AW193">
        <v>0.54040404040404044</v>
      </c>
      <c r="AX193">
        <v>7.0707070707070704E-2</v>
      </c>
      <c r="AY193">
        <v>7.0707070707070704E-2</v>
      </c>
      <c r="AZ193">
        <v>-0.46969696969696972</v>
      </c>
      <c r="BA193">
        <v>0.66666666666666663</v>
      </c>
      <c r="BB193">
        <v>0.62820512820512819</v>
      </c>
      <c r="BC193">
        <v>6.6666666666666666E-2</v>
      </c>
      <c r="BD193">
        <v>0.33143939393939392</v>
      </c>
      <c r="BE193">
        <v>4</v>
      </c>
      <c r="BF193">
        <v>0.42324446386946379</v>
      </c>
      <c r="BG193">
        <v>0.5</v>
      </c>
      <c r="BH193" t="s">
        <v>71</v>
      </c>
      <c r="BI193">
        <v>0.42</v>
      </c>
      <c r="BJ193" t="s">
        <v>71</v>
      </c>
      <c r="BK193" s="2">
        <f t="shared" si="5"/>
        <v>8.0000000000000016E-2</v>
      </c>
      <c r="BL193" t="b">
        <f t="shared" si="6"/>
        <v>1</v>
      </c>
    </row>
    <row r="194" spans="1:64" x14ac:dyDescent="0.35">
      <c r="A194" t="s">
        <v>576</v>
      </c>
      <c r="B194" t="s">
        <v>572</v>
      </c>
      <c r="C194">
        <v>2020</v>
      </c>
      <c r="D194" t="s">
        <v>573</v>
      </c>
      <c r="E194" t="s">
        <v>574</v>
      </c>
      <c r="F194" t="s">
        <v>66</v>
      </c>
      <c r="G194" t="s">
        <v>101</v>
      </c>
      <c r="H194" t="s">
        <v>170</v>
      </c>
      <c r="I194" t="s">
        <v>575</v>
      </c>
      <c r="J194" t="s">
        <v>70</v>
      </c>
      <c r="L194">
        <v>1</v>
      </c>
      <c r="M194" t="b">
        <v>0</v>
      </c>
      <c r="N194">
        <v>1</v>
      </c>
      <c r="O194">
        <v>1</v>
      </c>
      <c r="P194">
        <v>2</v>
      </c>
      <c r="Q194">
        <v>3</v>
      </c>
      <c r="R194">
        <v>-1</v>
      </c>
      <c r="S194">
        <v>4</v>
      </c>
      <c r="T194">
        <v>18</v>
      </c>
      <c r="U194">
        <v>115</v>
      </c>
      <c r="V194">
        <v>82</v>
      </c>
      <c r="W194">
        <v>16</v>
      </c>
      <c r="X194">
        <v>5.125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</v>
      </c>
      <c r="AE194">
        <v>49</v>
      </c>
      <c r="AF194">
        <v>1</v>
      </c>
      <c r="AG194">
        <v>5</v>
      </c>
      <c r="AH194">
        <v>2</v>
      </c>
      <c r="AI194">
        <v>8</v>
      </c>
      <c r="AJ194">
        <v>1</v>
      </c>
      <c r="AK194">
        <v>1</v>
      </c>
      <c r="AL194">
        <v>3</v>
      </c>
      <c r="AM194">
        <v>9</v>
      </c>
      <c r="AN194">
        <v>1</v>
      </c>
      <c r="AO194">
        <v>5</v>
      </c>
      <c r="AP194">
        <v>1</v>
      </c>
      <c r="AQ194">
        <v>49</v>
      </c>
      <c r="AR194">
        <v>0</v>
      </c>
      <c r="AS194">
        <v>0</v>
      </c>
      <c r="AT194">
        <v>0.42608695652173911</v>
      </c>
      <c r="AU194">
        <v>4.3478260869565223E-2</v>
      </c>
      <c r="AV194">
        <v>6.9565217391304349E-2</v>
      </c>
      <c r="AW194">
        <v>7.8260869565217397E-2</v>
      </c>
      <c r="AX194">
        <v>4.3478260869565223E-2</v>
      </c>
      <c r="AY194">
        <v>0.42608695652173911</v>
      </c>
      <c r="AZ194">
        <v>-3.4782608695652181E-2</v>
      </c>
      <c r="BA194">
        <v>0.5</v>
      </c>
      <c r="BB194">
        <v>0.6875</v>
      </c>
      <c r="BC194">
        <v>6.6666666666666666E-2</v>
      </c>
      <c r="BD194">
        <v>0.60326086956521729</v>
      </c>
      <c r="BE194">
        <v>4</v>
      </c>
      <c r="BF194">
        <v>0.46435688405797099</v>
      </c>
      <c r="BG194">
        <v>0.48</v>
      </c>
      <c r="BH194" t="s">
        <v>71</v>
      </c>
      <c r="BI194">
        <v>0.46</v>
      </c>
      <c r="BJ194" t="s">
        <v>71</v>
      </c>
      <c r="BK194" s="2">
        <f t="shared" si="5"/>
        <v>1.9999999999999962E-2</v>
      </c>
      <c r="BL194" t="b">
        <f t="shared" si="6"/>
        <v>1</v>
      </c>
    </row>
    <row r="195" spans="1:64" x14ac:dyDescent="0.35">
      <c r="A195" t="s">
        <v>577</v>
      </c>
      <c r="B195" t="s">
        <v>578</v>
      </c>
      <c r="C195">
        <v>2021</v>
      </c>
      <c r="D195" t="s">
        <v>579</v>
      </c>
      <c r="E195" t="s">
        <v>580</v>
      </c>
      <c r="F195" t="s">
        <v>66</v>
      </c>
      <c r="G195" t="s">
        <v>101</v>
      </c>
      <c r="H195" t="s">
        <v>162</v>
      </c>
      <c r="I195" t="s">
        <v>581</v>
      </c>
      <c r="J195" t="s">
        <v>70</v>
      </c>
      <c r="L195">
        <v>1</v>
      </c>
      <c r="M195" t="b">
        <v>0</v>
      </c>
      <c r="N195">
        <v>1</v>
      </c>
      <c r="O195">
        <v>1</v>
      </c>
      <c r="P195">
        <v>4</v>
      </c>
      <c r="Q195">
        <v>3</v>
      </c>
      <c r="R195">
        <v>1</v>
      </c>
      <c r="S195">
        <v>4</v>
      </c>
      <c r="T195">
        <v>17</v>
      </c>
      <c r="U195">
        <v>154</v>
      </c>
      <c r="V195">
        <v>67</v>
      </c>
      <c r="W195">
        <v>15</v>
      </c>
      <c r="X195">
        <v>4.4666666666666668</v>
      </c>
      <c r="Y195">
        <v>2</v>
      </c>
      <c r="Z195">
        <v>5</v>
      </c>
      <c r="AA195">
        <v>0</v>
      </c>
      <c r="AB195">
        <v>0</v>
      </c>
      <c r="AC195">
        <v>1</v>
      </c>
      <c r="AD195">
        <v>1</v>
      </c>
      <c r="AE195">
        <v>86</v>
      </c>
      <c r="AF195">
        <v>0</v>
      </c>
      <c r="AG195">
        <v>0</v>
      </c>
      <c r="AH195">
        <v>2</v>
      </c>
      <c r="AI195">
        <v>4</v>
      </c>
      <c r="AJ195">
        <v>2</v>
      </c>
      <c r="AK195">
        <v>4</v>
      </c>
      <c r="AL195">
        <v>4</v>
      </c>
      <c r="AM195">
        <v>8</v>
      </c>
      <c r="AN195">
        <v>2</v>
      </c>
      <c r="AO195">
        <v>5</v>
      </c>
      <c r="AP195">
        <v>3</v>
      </c>
      <c r="AQ195">
        <v>91</v>
      </c>
      <c r="AR195">
        <v>3.2467532467532458E-2</v>
      </c>
      <c r="AS195">
        <v>0</v>
      </c>
      <c r="AT195">
        <v>0.55844155844155841</v>
      </c>
      <c r="AU195">
        <v>0</v>
      </c>
      <c r="AV195">
        <v>2.5974025974025979E-2</v>
      </c>
      <c r="AW195">
        <v>5.1948051948051951E-2</v>
      </c>
      <c r="AX195">
        <v>3.2467532467532458E-2</v>
      </c>
      <c r="AY195">
        <v>0.59090909090909094</v>
      </c>
      <c r="AZ195">
        <v>-1.948051948051949E-2</v>
      </c>
      <c r="BA195">
        <v>0.5</v>
      </c>
      <c r="BB195">
        <v>0.57777777777777783</v>
      </c>
      <c r="BC195">
        <v>0.2</v>
      </c>
      <c r="BD195">
        <v>0.61282467532467522</v>
      </c>
      <c r="BE195">
        <v>4</v>
      </c>
      <c r="BF195">
        <v>0.47265061327561331</v>
      </c>
      <c r="BG195">
        <v>0.48</v>
      </c>
      <c r="BH195" t="s">
        <v>71</v>
      </c>
      <c r="BI195">
        <v>0.47</v>
      </c>
      <c r="BJ195" t="s">
        <v>71</v>
      </c>
      <c r="BK195" s="2">
        <f t="shared" ref="BK195:BK258" si="7">BG195-BI195</f>
        <v>1.0000000000000009E-2</v>
      </c>
      <c r="BL195" t="b">
        <f t="shared" ref="BL195:BL258" si="8">EXACT(BH195,BJ195)</f>
        <v>1</v>
      </c>
    </row>
    <row r="196" spans="1:64" x14ac:dyDescent="0.35">
      <c r="A196" t="s">
        <v>582</v>
      </c>
      <c r="B196" t="s">
        <v>583</v>
      </c>
      <c r="C196">
        <v>2014</v>
      </c>
      <c r="D196" t="s">
        <v>584</v>
      </c>
      <c r="E196" t="s">
        <v>585</v>
      </c>
      <c r="F196" t="s">
        <v>66</v>
      </c>
      <c r="G196" t="s">
        <v>101</v>
      </c>
      <c r="H196" t="s">
        <v>211</v>
      </c>
      <c r="I196" t="s">
        <v>211</v>
      </c>
      <c r="J196" t="s">
        <v>70</v>
      </c>
      <c r="L196">
        <v>1</v>
      </c>
      <c r="M196" t="b">
        <v>0</v>
      </c>
      <c r="N196">
        <v>1</v>
      </c>
      <c r="O196">
        <v>4</v>
      </c>
      <c r="P196">
        <v>13</v>
      </c>
      <c r="Q196">
        <v>4</v>
      </c>
      <c r="R196">
        <v>9</v>
      </c>
      <c r="S196">
        <v>6</v>
      </c>
      <c r="T196">
        <v>36</v>
      </c>
      <c r="U196">
        <v>4796</v>
      </c>
      <c r="V196">
        <v>170</v>
      </c>
      <c r="W196">
        <v>27</v>
      </c>
      <c r="X196">
        <v>6.2962962962962967</v>
      </c>
      <c r="Y196">
        <v>5</v>
      </c>
      <c r="Z196">
        <v>422</v>
      </c>
      <c r="AA196">
        <v>3</v>
      </c>
      <c r="AB196">
        <v>173</v>
      </c>
      <c r="AC196">
        <v>7</v>
      </c>
      <c r="AD196">
        <v>6</v>
      </c>
      <c r="AE196">
        <v>714</v>
      </c>
      <c r="AF196">
        <v>1</v>
      </c>
      <c r="AG196">
        <v>121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9</v>
      </c>
      <c r="AO196">
        <v>716</v>
      </c>
      <c r="AP196">
        <v>14</v>
      </c>
      <c r="AQ196">
        <v>1309</v>
      </c>
      <c r="AR196">
        <v>8.7989991659716424E-2</v>
      </c>
      <c r="AS196">
        <v>3.6071726438698923E-2</v>
      </c>
      <c r="AT196">
        <v>0.14887406171809839</v>
      </c>
      <c r="AU196">
        <v>2.5229357798165139E-2</v>
      </c>
      <c r="AV196">
        <v>0</v>
      </c>
      <c r="AW196">
        <v>0</v>
      </c>
      <c r="AX196">
        <v>0.1492910758965805</v>
      </c>
      <c r="AY196">
        <v>0.27293577981651368</v>
      </c>
      <c r="AZ196">
        <v>0.1492910758965805</v>
      </c>
      <c r="BA196">
        <v>0.83333333333333337</v>
      </c>
      <c r="BB196">
        <v>0.88271604938271608</v>
      </c>
      <c r="BC196">
        <v>0.93333333333333335</v>
      </c>
      <c r="BD196">
        <v>0.71830692243536276</v>
      </c>
      <c r="BE196">
        <v>4</v>
      </c>
      <c r="BF196">
        <v>0.84192240962118636</v>
      </c>
      <c r="BG196">
        <v>0.9</v>
      </c>
      <c r="BH196" t="s">
        <v>164</v>
      </c>
      <c r="BI196">
        <v>0.84</v>
      </c>
      <c r="BJ196" t="s">
        <v>164</v>
      </c>
      <c r="BK196" s="2">
        <f t="shared" si="7"/>
        <v>6.0000000000000053E-2</v>
      </c>
      <c r="BL196" t="b">
        <f t="shared" si="8"/>
        <v>1</v>
      </c>
    </row>
    <row r="197" spans="1:64" x14ac:dyDescent="0.35">
      <c r="A197" t="s">
        <v>586</v>
      </c>
      <c r="B197" t="s">
        <v>583</v>
      </c>
      <c r="C197">
        <v>2021</v>
      </c>
      <c r="D197" t="s">
        <v>584</v>
      </c>
      <c r="E197" t="s">
        <v>585</v>
      </c>
      <c r="F197" t="s">
        <v>66</v>
      </c>
      <c r="G197" t="s">
        <v>101</v>
      </c>
      <c r="H197" t="s">
        <v>211</v>
      </c>
      <c r="I197" t="s">
        <v>211</v>
      </c>
      <c r="J197" t="s">
        <v>70</v>
      </c>
      <c r="L197">
        <v>1</v>
      </c>
      <c r="M197" t="b">
        <v>0</v>
      </c>
      <c r="N197">
        <v>1</v>
      </c>
      <c r="O197">
        <v>3</v>
      </c>
      <c r="P197">
        <v>7</v>
      </c>
      <c r="Q197">
        <v>3</v>
      </c>
      <c r="R197">
        <v>4</v>
      </c>
      <c r="S197">
        <v>6</v>
      </c>
      <c r="T197">
        <v>28</v>
      </c>
      <c r="U197">
        <v>205</v>
      </c>
      <c r="V197">
        <v>123</v>
      </c>
      <c r="W197">
        <v>22</v>
      </c>
      <c r="X197">
        <v>5.5909090909090908</v>
      </c>
      <c r="Y197">
        <v>4</v>
      </c>
      <c r="Z197">
        <v>25</v>
      </c>
      <c r="AA197">
        <v>2</v>
      </c>
      <c r="AB197">
        <v>4</v>
      </c>
      <c r="AC197">
        <v>6</v>
      </c>
      <c r="AD197">
        <v>6</v>
      </c>
      <c r="AE197">
        <v>24</v>
      </c>
      <c r="AF197">
        <v>1</v>
      </c>
      <c r="AG197">
        <v>1</v>
      </c>
      <c r="AH197">
        <v>2</v>
      </c>
      <c r="AI197">
        <v>26</v>
      </c>
      <c r="AJ197">
        <v>1</v>
      </c>
      <c r="AK197">
        <v>3</v>
      </c>
      <c r="AL197">
        <v>3</v>
      </c>
      <c r="AM197">
        <v>29</v>
      </c>
      <c r="AN197">
        <v>7</v>
      </c>
      <c r="AO197">
        <v>30</v>
      </c>
      <c r="AP197">
        <v>12</v>
      </c>
      <c r="AQ197">
        <v>53</v>
      </c>
      <c r="AR197">
        <v>0.12195121951219511</v>
      </c>
      <c r="AS197">
        <v>1.9512195121951219E-2</v>
      </c>
      <c r="AT197">
        <v>0.1170731707317073</v>
      </c>
      <c r="AU197">
        <v>4.8780487804878049E-3</v>
      </c>
      <c r="AV197">
        <v>0.1268292682926829</v>
      </c>
      <c r="AW197">
        <v>0.1414634146341463</v>
      </c>
      <c r="AX197">
        <v>0.14634146341463411</v>
      </c>
      <c r="AY197">
        <v>0.25853658536585372</v>
      </c>
      <c r="AZ197">
        <v>4.8780487804878092E-3</v>
      </c>
      <c r="BA197">
        <v>0.83333333333333337</v>
      </c>
      <c r="BB197">
        <v>0.76515151515151514</v>
      </c>
      <c r="BC197">
        <v>0.8</v>
      </c>
      <c r="BD197">
        <v>0.62804878048780488</v>
      </c>
      <c r="BE197">
        <v>4</v>
      </c>
      <c r="BF197">
        <v>0.7566334072431633</v>
      </c>
      <c r="BG197">
        <v>0.76</v>
      </c>
      <c r="BH197" t="s">
        <v>86</v>
      </c>
      <c r="BI197">
        <v>0.76</v>
      </c>
      <c r="BJ197" t="s">
        <v>86</v>
      </c>
      <c r="BK197" s="2">
        <f t="shared" si="7"/>
        <v>0</v>
      </c>
      <c r="BL197" t="b">
        <f t="shared" si="8"/>
        <v>1</v>
      </c>
    </row>
    <row r="198" spans="1:64" x14ac:dyDescent="0.35">
      <c r="A198" t="s">
        <v>587</v>
      </c>
      <c r="B198" t="s">
        <v>588</v>
      </c>
      <c r="C198">
        <v>2016</v>
      </c>
      <c r="D198" t="s">
        <v>589</v>
      </c>
      <c r="E198" t="s">
        <v>590</v>
      </c>
      <c r="F198" t="s">
        <v>66</v>
      </c>
      <c r="G198" t="s">
        <v>101</v>
      </c>
      <c r="H198" t="s">
        <v>184</v>
      </c>
      <c r="I198" t="s">
        <v>591</v>
      </c>
      <c r="J198" t="s">
        <v>70</v>
      </c>
      <c r="L198">
        <v>1</v>
      </c>
      <c r="M198" t="b">
        <v>0</v>
      </c>
      <c r="N198">
        <v>1</v>
      </c>
      <c r="O198">
        <v>5</v>
      </c>
      <c r="P198">
        <v>12</v>
      </c>
      <c r="Q198">
        <v>2</v>
      </c>
      <c r="R198">
        <v>10</v>
      </c>
      <c r="S198">
        <v>7</v>
      </c>
      <c r="T198">
        <v>25</v>
      </c>
      <c r="U198">
        <v>847</v>
      </c>
      <c r="V198">
        <v>116</v>
      </c>
      <c r="W198">
        <v>17</v>
      </c>
      <c r="X198">
        <v>6.8235294117647056</v>
      </c>
      <c r="Y198">
        <v>3</v>
      </c>
      <c r="Z198">
        <v>438</v>
      </c>
      <c r="AA198">
        <v>3</v>
      </c>
      <c r="AB198">
        <v>309</v>
      </c>
      <c r="AC198">
        <v>3</v>
      </c>
      <c r="AD198">
        <v>3</v>
      </c>
      <c r="AE198">
        <v>23</v>
      </c>
      <c r="AF198">
        <v>3</v>
      </c>
      <c r="AG198">
        <v>5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9</v>
      </c>
      <c r="AO198">
        <v>752</v>
      </c>
      <c r="AP198">
        <v>9</v>
      </c>
      <c r="AQ198">
        <v>770</v>
      </c>
      <c r="AR198">
        <v>0.51711924439197166</v>
      </c>
      <c r="AS198">
        <v>0.36481700118063748</v>
      </c>
      <c r="AT198">
        <v>2.7154663518299881E-2</v>
      </c>
      <c r="AU198">
        <v>5.9031877213695386E-3</v>
      </c>
      <c r="AV198">
        <v>0</v>
      </c>
      <c r="AW198">
        <v>0</v>
      </c>
      <c r="AX198">
        <v>0.88783943329397874</v>
      </c>
      <c r="AY198">
        <v>0.90909090909090906</v>
      </c>
      <c r="AZ198">
        <v>0.88783943329397874</v>
      </c>
      <c r="BA198">
        <v>1</v>
      </c>
      <c r="BB198">
        <v>0.97058823529411764</v>
      </c>
      <c r="BC198">
        <v>0.6</v>
      </c>
      <c r="BD198">
        <v>1.179899645808737</v>
      </c>
      <c r="BE198">
        <v>4</v>
      </c>
      <c r="BF198">
        <v>0.93762197027571359</v>
      </c>
      <c r="BG198">
        <v>0.94</v>
      </c>
      <c r="BH198" t="s">
        <v>164</v>
      </c>
      <c r="BI198">
        <v>0.94</v>
      </c>
      <c r="BJ198" t="s">
        <v>164</v>
      </c>
      <c r="BK198" s="2">
        <f t="shared" si="7"/>
        <v>0</v>
      </c>
      <c r="BL198" t="b">
        <f t="shared" si="8"/>
        <v>1</v>
      </c>
    </row>
    <row r="199" spans="1:64" x14ac:dyDescent="0.35">
      <c r="A199" t="s">
        <v>592</v>
      </c>
      <c r="B199" t="s">
        <v>588</v>
      </c>
      <c r="C199">
        <v>2019</v>
      </c>
      <c r="D199" t="s">
        <v>589</v>
      </c>
      <c r="E199" t="s">
        <v>590</v>
      </c>
      <c r="F199" t="s">
        <v>66</v>
      </c>
      <c r="G199" t="s">
        <v>101</v>
      </c>
      <c r="H199" t="s">
        <v>184</v>
      </c>
      <c r="I199" t="s">
        <v>591</v>
      </c>
      <c r="J199" t="s">
        <v>70</v>
      </c>
      <c r="L199">
        <v>1</v>
      </c>
      <c r="M199" t="b">
        <v>0</v>
      </c>
      <c r="N199">
        <v>1</v>
      </c>
      <c r="O199">
        <v>2</v>
      </c>
      <c r="P199">
        <v>10</v>
      </c>
      <c r="Q199">
        <v>1</v>
      </c>
      <c r="R199">
        <v>9</v>
      </c>
      <c r="S199">
        <v>6</v>
      </c>
      <c r="T199">
        <v>23</v>
      </c>
      <c r="U199">
        <v>301</v>
      </c>
      <c r="V199">
        <v>115</v>
      </c>
      <c r="W199">
        <v>19</v>
      </c>
      <c r="X199">
        <v>6.0526315789473681</v>
      </c>
      <c r="Y199">
        <v>3</v>
      </c>
      <c r="Z199">
        <v>71</v>
      </c>
      <c r="AA199">
        <v>2</v>
      </c>
      <c r="AB199">
        <v>30</v>
      </c>
      <c r="AC199">
        <v>3</v>
      </c>
      <c r="AD199">
        <v>3</v>
      </c>
      <c r="AE199">
        <v>67</v>
      </c>
      <c r="AF199">
        <v>1</v>
      </c>
      <c r="AG199">
        <v>9</v>
      </c>
      <c r="AH199">
        <v>0</v>
      </c>
      <c r="AI199">
        <v>0</v>
      </c>
      <c r="AJ199">
        <v>1</v>
      </c>
      <c r="AK199">
        <v>2</v>
      </c>
      <c r="AL199">
        <v>1</v>
      </c>
      <c r="AM199">
        <v>2</v>
      </c>
      <c r="AN199">
        <v>6</v>
      </c>
      <c r="AO199">
        <v>110</v>
      </c>
      <c r="AP199">
        <v>8</v>
      </c>
      <c r="AQ199">
        <v>168</v>
      </c>
      <c r="AR199">
        <v>0.23588039867109631</v>
      </c>
      <c r="AS199">
        <v>9.9667774086378738E-2</v>
      </c>
      <c r="AT199">
        <v>0.22259136212624581</v>
      </c>
      <c r="AU199">
        <v>2.9900332225913619E-2</v>
      </c>
      <c r="AV199">
        <v>0</v>
      </c>
      <c r="AW199">
        <v>6.6445182724252493E-3</v>
      </c>
      <c r="AX199">
        <v>0.36544850498338871</v>
      </c>
      <c r="AY199">
        <v>0.55813953488372092</v>
      </c>
      <c r="AZ199">
        <v>0.35880398671096347</v>
      </c>
      <c r="BA199">
        <v>0.83333333333333337</v>
      </c>
      <c r="BB199">
        <v>0.84210526315789469</v>
      </c>
      <c r="BC199">
        <v>0.53333333333333333</v>
      </c>
      <c r="BD199">
        <v>0.84925249169435224</v>
      </c>
      <c r="BE199">
        <v>4</v>
      </c>
      <c r="BF199">
        <v>0.76450610537972841</v>
      </c>
      <c r="BG199">
        <v>0.76</v>
      </c>
      <c r="BH199" t="s">
        <v>86</v>
      </c>
      <c r="BI199">
        <v>0.76</v>
      </c>
      <c r="BJ199" t="s">
        <v>86</v>
      </c>
      <c r="BK199" s="2">
        <f t="shared" si="7"/>
        <v>0</v>
      </c>
      <c r="BL199" t="b">
        <f t="shared" si="8"/>
        <v>1</v>
      </c>
    </row>
    <row r="200" spans="1:64" x14ac:dyDescent="0.35">
      <c r="A200" t="s">
        <v>593</v>
      </c>
      <c r="B200" t="s">
        <v>588</v>
      </c>
      <c r="C200">
        <v>2022</v>
      </c>
      <c r="D200" t="s">
        <v>589</v>
      </c>
      <c r="E200" t="s">
        <v>590</v>
      </c>
      <c r="F200" t="s">
        <v>66</v>
      </c>
      <c r="G200" t="s">
        <v>101</v>
      </c>
      <c r="H200" t="s">
        <v>184</v>
      </c>
      <c r="I200" t="s">
        <v>591</v>
      </c>
      <c r="J200" t="s">
        <v>70</v>
      </c>
      <c r="L200">
        <v>1</v>
      </c>
      <c r="M200" t="b">
        <v>0</v>
      </c>
      <c r="N200">
        <v>1</v>
      </c>
      <c r="O200">
        <v>3</v>
      </c>
      <c r="P200">
        <v>8</v>
      </c>
      <c r="Q200">
        <v>1</v>
      </c>
      <c r="R200">
        <v>7</v>
      </c>
      <c r="S200">
        <v>6</v>
      </c>
      <c r="T200">
        <v>25</v>
      </c>
      <c r="U200">
        <v>339</v>
      </c>
      <c r="V200">
        <v>111</v>
      </c>
      <c r="W200">
        <v>19</v>
      </c>
      <c r="X200">
        <v>5.8421052631578947</v>
      </c>
      <c r="Y200">
        <v>3</v>
      </c>
      <c r="Z200">
        <v>49</v>
      </c>
      <c r="AA200">
        <v>2</v>
      </c>
      <c r="AB200">
        <v>14</v>
      </c>
      <c r="AC200">
        <v>7</v>
      </c>
      <c r="AD200">
        <v>7</v>
      </c>
      <c r="AE200">
        <v>95</v>
      </c>
      <c r="AF200">
        <v>2</v>
      </c>
      <c r="AG200">
        <v>36</v>
      </c>
      <c r="AH200">
        <v>1</v>
      </c>
      <c r="AI200">
        <v>6</v>
      </c>
      <c r="AJ200">
        <v>0</v>
      </c>
      <c r="AK200">
        <v>0</v>
      </c>
      <c r="AL200">
        <v>1</v>
      </c>
      <c r="AM200">
        <v>6</v>
      </c>
      <c r="AN200">
        <v>7</v>
      </c>
      <c r="AO200">
        <v>99</v>
      </c>
      <c r="AP200">
        <v>12</v>
      </c>
      <c r="AQ200">
        <v>158</v>
      </c>
      <c r="AR200">
        <v>0.14454277286135689</v>
      </c>
      <c r="AS200">
        <v>4.1297935103244837E-2</v>
      </c>
      <c r="AT200">
        <v>0.28023598820058998</v>
      </c>
      <c r="AU200">
        <v>0.1061946902654867</v>
      </c>
      <c r="AV200">
        <v>1.7699115044247791E-2</v>
      </c>
      <c r="AW200">
        <v>1.7699115044247791E-2</v>
      </c>
      <c r="AX200">
        <v>0.29203539823008851</v>
      </c>
      <c r="AY200">
        <v>0.46607669616519182</v>
      </c>
      <c r="AZ200">
        <v>0.27433628318584069</v>
      </c>
      <c r="BA200">
        <v>0.83333333333333337</v>
      </c>
      <c r="BB200">
        <v>0.80701754385964908</v>
      </c>
      <c r="BC200">
        <v>0.8</v>
      </c>
      <c r="BD200">
        <v>0.79646017699115035</v>
      </c>
      <c r="BE200">
        <v>4</v>
      </c>
      <c r="BF200">
        <v>0.80920276354603327</v>
      </c>
      <c r="BG200">
        <v>0.81</v>
      </c>
      <c r="BH200" t="s">
        <v>164</v>
      </c>
      <c r="BI200">
        <v>0.81</v>
      </c>
      <c r="BJ200" t="s">
        <v>164</v>
      </c>
      <c r="BK200" s="2">
        <f t="shared" si="7"/>
        <v>0</v>
      </c>
      <c r="BL200" t="b">
        <f t="shared" si="8"/>
        <v>1</v>
      </c>
    </row>
    <row r="201" spans="1:64" x14ac:dyDescent="0.35">
      <c r="A201" t="s">
        <v>594</v>
      </c>
      <c r="B201" t="s">
        <v>595</v>
      </c>
      <c r="C201">
        <v>2016</v>
      </c>
      <c r="D201" t="s">
        <v>596</v>
      </c>
      <c r="E201" t="s">
        <v>597</v>
      </c>
      <c r="F201" t="s">
        <v>66</v>
      </c>
      <c r="G201" t="s">
        <v>67</v>
      </c>
      <c r="H201" t="s">
        <v>68</v>
      </c>
      <c r="I201" t="s">
        <v>68</v>
      </c>
      <c r="J201" t="s">
        <v>70</v>
      </c>
      <c r="L201">
        <v>1</v>
      </c>
      <c r="M201" t="b">
        <v>0</v>
      </c>
      <c r="N201">
        <v>1</v>
      </c>
      <c r="O201">
        <v>2</v>
      </c>
      <c r="P201">
        <v>7</v>
      </c>
      <c r="Q201">
        <v>2</v>
      </c>
      <c r="R201">
        <v>5</v>
      </c>
      <c r="S201">
        <v>6</v>
      </c>
      <c r="T201">
        <v>21</v>
      </c>
      <c r="U201">
        <v>147</v>
      </c>
      <c r="V201">
        <v>112</v>
      </c>
      <c r="W201">
        <v>18</v>
      </c>
      <c r="X201">
        <v>6.2222222222222223</v>
      </c>
      <c r="Y201">
        <v>3</v>
      </c>
      <c r="Z201">
        <v>36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</v>
      </c>
      <c r="AG201">
        <v>14</v>
      </c>
      <c r="AH201">
        <v>2</v>
      </c>
      <c r="AI201">
        <v>8</v>
      </c>
      <c r="AJ201">
        <v>1</v>
      </c>
      <c r="AK201">
        <v>3</v>
      </c>
      <c r="AL201">
        <v>3</v>
      </c>
      <c r="AM201">
        <v>11</v>
      </c>
      <c r="AN201">
        <v>5</v>
      </c>
      <c r="AO201">
        <v>50</v>
      </c>
      <c r="AP201">
        <v>3</v>
      </c>
      <c r="AQ201">
        <v>36</v>
      </c>
      <c r="AR201">
        <v>0.24489795918367349</v>
      </c>
      <c r="AS201">
        <v>0</v>
      </c>
      <c r="AT201">
        <v>0</v>
      </c>
      <c r="AU201">
        <v>9.5238095238095233E-2</v>
      </c>
      <c r="AV201">
        <v>5.4421768707482991E-2</v>
      </c>
      <c r="AW201">
        <v>7.4829931972789115E-2</v>
      </c>
      <c r="AX201">
        <v>0.3401360544217687</v>
      </c>
      <c r="AY201">
        <v>0.24489795918367349</v>
      </c>
      <c r="AZ201">
        <v>0.26530612244897961</v>
      </c>
      <c r="BA201">
        <v>0.83333333333333337</v>
      </c>
      <c r="BB201">
        <v>0.87037037037037035</v>
      </c>
      <c r="BC201">
        <v>0.2</v>
      </c>
      <c r="BD201">
        <v>0.79081632653061229</v>
      </c>
      <c r="BE201">
        <v>4</v>
      </c>
      <c r="BF201">
        <v>0.67363000755857905</v>
      </c>
      <c r="BG201">
        <v>0.64</v>
      </c>
      <c r="BH201" t="s">
        <v>86</v>
      </c>
      <c r="BI201">
        <v>0.67</v>
      </c>
      <c r="BJ201" t="s">
        <v>86</v>
      </c>
      <c r="BK201" s="2">
        <f t="shared" si="7"/>
        <v>-3.0000000000000027E-2</v>
      </c>
      <c r="BL201" t="b">
        <f t="shared" si="8"/>
        <v>1</v>
      </c>
    </row>
    <row r="202" spans="1:64" x14ac:dyDescent="0.35">
      <c r="A202" t="s">
        <v>598</v>
      </c>
      <c r="B202" t="s">
        <v>595</v>
      </c>
      <c r="C202">
        <v>2019</v>
      </c>
      <c r="D202" t="s">
        <v>596</v>
      </c>
      <c r="E202" t="s">
        <v>597</v>
      </c>
      <c r="F202" t="s">
        <v>66</v>
      </c>
      <c r="G202" t="s">
        <v>67</v>
      </c>
      <c r="H202" t="s">
        <v>68</v>
      </c>
      <c r="I202" t="s">
        <v>68</v>
      </c>
      <c r="J202" t="s">
        <v>70</v>
      </c>
      <c r="L202">
        <v>1</v>
      </c>
      <c r="M202" t="b">
        <v>0</v>
      </c>
      <c r="N202">
        <v>1</v>
      </c>
      <c r="O202">
        <v>1</v>
      </c>
      <c r="P202">
        <v>9</v>
      </c>
      <c r="Q202">
        <v>6</v>
      </c>
      <c r="R202">
        <v>3</v>
      </c>
      <c r="S202">
        <v>4</v>
      </c>
      <c r="T202">
        <v>41</v>
      </c>
      <c r="U202">
        <v>2213</v>
      </c>
      <c r="V202">
        <v>155</v>
      </c>
      <c r="W202">
        <v>28</v>
      </c>
      <c r="X202">
        <v>5.5357142857142856</v>
      </c>
      <c r="Y202">
        <v>7</v>
      </c>
      <c r="Z202">
        <v>590</v>
      </c>
      <c r="AA202">
        <v>0</v>
      </c>
      <c r="AB202">
        <v>0</v>
      </c>
      <c r="AC202">
        <v>2</v>
      </c>
      <c r="AD202">
        <v>2</v>
      </c>
      <c r="AE202">
        <v>41</v>
      </c>
      <c r="AF202">
        <v>2</v>
      </c>
      <c r="AG202">
        <v>11</v>
      </c>
      <c r="AH202">
        <v>2</v>
      </c>
      <c r="AI202">
        <v>433</v>
      </c>
      <c r="AJ202">
        <v>2</v>
      </c>
      <c r="AK202">
        <v>19</v>
      </c>
      <c r="AL202">
        <v>4</v>
      </c>
      <c r="AM202">
        <v>452</v>
      </c>
      <c r="AN202">
        <v>9</v>
      </c>
      <c r="AO202">
        <v>601</v>
      </c>
      <c r="AP202">
        <v>9</v>
      </c>
      <c r="AQ202">
        <v>631</v>
      </c>
      <c r="AR202">
        <v>0.26660641662901041</v>
      </c>
      <c r="AS202">
        <v>0</v>
      </c>
      <c r="AT202">
        <v>1.8526886579304111E-2</v>
      </c>
      <c r="AU202">
        <v>4.9706281066425667E-3</v>
      </c>
      <c r="AV202">
        <v>0.19566199728874831</v>
      </c>
      <c r="AW202">
        <v>0.20424762765476731</v>
      </c>
      <c r="AX202">
        <v>0.27157704473565297</v>
      </c>
      <c r="AY202">
        <v>0.28513330320831448</v>
      </c>
      <c r="AZ202">
        <v>6.732941708088569E-2</v>
      </c>
      <c r="BA202">
        <v>0.5</v>
      </c>
      <c r="BB202">
        <v>0.75595238095238093</v>
      </c>
      <c r="BC202">
        <v>0.6</v>
      </c>
      <c r="BD202">
        <v>0.66708088567555357</v>
      </c>
      <c r="BE202">
        <v>4</v>
      </c>
      <c r="BF202">
        <v>0.63075831665698368</v>
      </c>
      <c r="BG202">
        <v>0.66</v>
      </c>
      <c r="BH202" t="s">
        <v>86</v>
      </c>
      <c r="BI202">
        <v>0.63</v>
      </c>
      <c r="BJ202" t="s">
        <v>86</v>
      </c>
      <c r="BK202" s="2">
        <f t="shared" si="7"/>
        <v>3.0000000000000027E-2</v>
      </c>
      <c r="BL202" t="b">
        <f t="shared" si="8"/>
        <v>1</v>
      </c>
    </row>
    <row r="203" spans="1:64" x14ac:dyDescent="0.35">
      <c r="A203" t="s">
        <v>599</v>
      </c>
      <c r="B203" t="s">
        <v>595</v>
      </c>
      <c r="C203">
        <v>2022</v>
      </c>
      <c r="D203" t="s">
        <v>596</v>
      </c>
      <c r="E203" t="s">
        <v>597</v>
      </c>
      <c r="F203" t="s">
        <v>66</v>
      </c>
      <c r="G203" t="s">
        <v>67</v>
      </c>
      <c r="H203" t="s">
        <v>68</v>
      </c>
      <c r="I203" t="s">
        <v>68</v>
      </c>
      <c r="J203" t="s">
        <v>70</v>
      </c>
      <c r="L203">
        <v>1</v>
      </c>
      <c r="M203" t="b">
        <v>0</v>
      </c>
      <c r="N203">
        <v>1</v>
      </c>
      <c r="O203">
        <v>1</v>
      </c>
      <c r="P203">
        <v>3</v>
      </c>
      <c r="Q203">
        <v>2</v>
      </c>
      <c r="R203">
        <v>1</v>
      </c>
      <c r="S203">
        <v>4</v>
      </c>
      <c r="T203">
        <v>18</v>
      </c>
      <c r="U203">
        <v>109</v>
      </c>
      <c r="V203">
        <v>81</v>
      </c>
      <c r="W203">
        <v>17</v>
      </c>
      <c r="X203">
        <v>4.7647058823529411</v>
      </c>
      <c r="Y203">
        <v>2</v>
      </c>
      <c r="Z203">
        <v>25</v>
      </c>
      <c r="AA203">
        <v>0</v>
      </c>
      <c r="AB203">
        <v>0</v>
      </c>
      <c r="AC203">
        <v>2</v>
      </c>
      <c r="AD203">
        <v>2</v>
      </c>
      <c r="AE203">
        <v>20</v>
      </c>
      <c r="AF203">
        <v>2</v>
      </c>
      <c r="AG203">
        <v>3</v>
      </c>
      <c r="AH203">
        <v>1</v>
      </c>
      <c r="AI203">
        <v>17</v>
      </c>
      <c r="AJ203">
        <v>2</v>
      </c>
      <c r="AK203">
        <v>5</v>
      </c>
      <c r="AL203">
        <v>3</v>
      </c>
      <c r="AM203">
        <v>22</v>
      </c>
      <c r="AN203">
        <v>4</v>
      </c>
      <c r="AO203">
        <v>28</v>
      </c>
      <c r="AP203">
        <v>4</v>
      </c>
      <c r="AQ203">
        <v>45</v>
      </c>
      <c r="AR203">
        <v>0.2293577981651376</v>
      </c>
      <c r="AS203">
        <v>0</v>
      </c>
      <c r="AT203">
        <v>0.1834862385321101</v>
      </c>
      <c r="AU203">
        <v>2.7522935779816519E-2</v>
      </c>
      <c r="AV203">
        <v>0.15596330275229359</v>
      </c>
      <c r="AW203">
        <v>0.20183486238532111</v>
      </c>
      <c r="AX203">
        <v>0.25688073394495409</v>
      </c>
      <c r="AY203">
        <v>0.41284403669724767</v>
      </c>
      <c r="AZ203">
        <v>5.5045871559633031E-2</v>
      </c>
      <c r="BA203">
        <v>0.5</v>
      </c>
      <c r="BB203">
        <v>0.62745098039215685</v>
      </c>
      <c r="BC203">
        <v>0.26666666666666672</v>
      </c>
      <c r="BD203">
        <v>0.65940366972477071</v>
      </c>
      <c r="BE203">
        <v>4</v>
      </c>
      <c r="BF203">
        <v>0.5133803291958986</v>
      </c>
      <c r="BG203">
        <v>0.54</v>
      </c>
      <c r="BH203" t="s">
        <v>71</v>
      </c>
      <c r="BI203">
        <v>0.51</v>
      </c>
      <c r="BJ203" t="s">
        <v>71</v>
      </c>
      <c r="BK203" s="2">
        <f t="shared" si="7"/>
        <v>3.0000000000000027E-2</v>
      </c>
      <c r="BL203" t="b">
        <f t="shared" si="8"/>
        <v>1</v>
      </c>
    </row>
    <row r="204" spans="1:64" x14ac:dyDescent="0.35">
      <c r="A204" t="s">
        <v>600</v>
      </c>
      <c r="B204" t="s">
        <v>601</v>
      </c>
      <c r="C204">
        <v>2014</v>
      </c>
      <c r="D204" t="s">
        <v>602</v>
      </c>
      <c r="E204" t="s">
        <v>603</v>
      </c>
      <c r="F204" t="s">
        <v>66</v>
      </c>
      <c r="G204" t="s">
        <v>101</v>
      </c>
      <c r="H204" t="s">
        <v>162</v>
      </c>
      <c r="I204" t="s">
        <v>162</v>
      </c>
      <c r="J204" t="s">
        <v>70</v>
      </c>
      <c r="L204">
        <v>2</v>
      </c>
      <c r="M204" t="b">
        <v>0</v>
      </c>
      <c r="N204">
        <v>1</v>
      </c>
      <c r="O204">
        <v>2</v>
      </c>
      <c r="P204">
        <v>12</v>
      </c>
      <c r="Q204">
        <v>1</v>
      </c>
      <c r="R204">
        <v>11</v>
      </c>
      <c r="S204">
        <v>7</v>
      </c>
      <c r="T204">
        <v>32</v>
      </c>
      <c r="U204">
        <v>393</v>
      </c>
      <c r="V204">
        <v>162</v>
      </c>
      <c r="W204">
        <v>27</v>
      </c>
      <c r="X204">
        <v>6</v>
      </c>
      <c r="Y204">
        <v>3</v>
      </c>
      <c r="Z204">
        <v>41</v>
      </c>
      <c r="AA204">
        <v>1</v>
      </c>
      <c r="AB204">
        <v>2</v>
      </c>
      <c r="AC204">
        <v>1</v>
      </c>
      <c r="AD204">
        <v>1</v>
      </c>
      <c r="AE204">
        <v>58</v>
      </c>
      <c r="AF204">
        <v>2</v>
      </c>
      <c r="AG204">
        <v>31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6</v>
      </c>
      <c r="AO204">
        <v>74</v>
      </c>
      <c r="AP204">
        <v>5</v>
      </c>
      <c r="AQ204">
        <v>101</v>
      </c>
      <c r="AR204">
        <v>0.1043256997455471</v>
      </c>
      <c r="AS204">
        <v>5.0890585241730284E-3</v>
      </c>
      <c r="AT204">
        <v>0.1475826972010178</v>
      </c>
      <c r="AU204">
        <v>7.8880407124681931E-2</v>
      </c>
      <c r="AV204">
        <v>0</v>
      </c>
      <c r="AW204">
        <v>0</v>
      </c>
      <c r="AX204">
        <v>0.188295165394402</v>
      </c>
      <c r="AY204">
        <v>0.25699745547073788</v>
      </c>
      <c r="AZ204">
        <v>0.188295165394402</v>
      </c>
      <c r="BA204">
        <v>1</v>
      </c>
      <c r="BB204">
        <v>0.83333333333333337</v>
      </c>
      <c r="BC204">
        <v>0.33333333333333331</v>
      </c>
      <c r="BD204">
        <v>0.7426844783715012</v>
      </c>
      <c r="BE204">
        <v>4</v>
      </c>
      <c r="BF204">
        <v>0.72733778625954193</v>
      </c>
      <c r="BG204">
        <v>0.74</v>
      </c>
      <c r="BH204" t="s">
        <v>86</v>
      </c>
      <c r="BI204">
        <v>0.73</v>
      </c>
      <c r="BJ204" t="s">
        <v>86</v>
      </c>
      <c r="BK204" s="2">
        <f t="shared" si="7"/>
        <v>1.0000000000000009E-2</v>
      </c>
      <c r="BL204" t="b">
        <f t="shared" si="8"/>
        <v>1</v>
      </c>
    </row>
    <row r="205" spans="1:64" x14ac:dyDescent="0.35">
      <c r="A205" t="s">
        <v>604</v>
      </c>
      <c r="B205" t="s">
        <v>601</v>
      </c>
      <c r="C205">
        <v>2015</v>
      </c>
      <c r="D205" t="s">
        <v>602</v>
      </c>
      <c r="E205" t="s">
        <v>603</v>
      </c>
      <c r="F205" t="s">
        <v>66</v>
      </c>
      <c r="G205" t="s">
        <v>101</v>
      </c>
      <c r="H205" t="s">
        <v>162</v>
      </c>
      <c r="I205" t="s">
        <v>162</v>
      </c>
      <c r="J205" t="s">
        <v>70</v>
      </c>
      <c r="L205">
        <v>2</v>
      </c>
      <c r="M205" t="b">
        <v>0</v>
      </c>
      <c r="N205">
        <v>1</v>
      </c>
      <c r="O205">
        <v>2</v>
      </c>
      <c r="P205">
        <v>10</v>
      </c>
      <c r="Q205">
        <v>3</v>
      </c>
      <c r="R205">
        <v>7</v>
      </c>
      <c r="S205">
        <v>6</v>
      </c>
      <c r="T205">
        <v>30</v>
      </c>
      <c r="U205">
        <v>691</v>
      </c>
      <c r="V205">
        <v>131</v>
      </c>
      <c r="W205">
        <v>24</v>
      </c>
      <c r="X205">
        <v>5.458333333333333</v>
      </c>
      <c r="Y205">
        <v>4</v>
      </c>
      <c r="Z205">
        <v>34</v>
      </c>
      <c r="AA205">
        <v>1</v>
      </c>
      <c r="AB205">
        <v>2</v>
      </c>
      <c r="AC205">
        <v>8</v>
      </c>
      <c r="AD205">
        <v>8</v>
      </c>
      <c r="AE205">
        <v>79</v>
      </c>
      <c r="AF205">
        <v>0</v>
      </c>
      <c r="AG205">
        <v>0</v>
      </c>
      <c r="AH205">
        <v>0</v>
      </c>
      <c r="AI205">
        <v>0</v>
      </c>
      <c r="AJ205">
        <v>2</v>
      </c>
      <c r="AK205">
        <v>5</v>
      </c>
      <c r="AL205">
        <v>2</v>
      </c>
      <c r="AM205">
        <v>5</v>
      </c>
      <c r="AN205">
        <v>5</v>
      </c>
      <c r="AO205">
        <v>36</v>
      </c>
      <c r="AP205">
        <v>13</v>
      </c>
      <c r="AQ205">
        <v>115</v>
      </c>
      <c r="AR205">
        <v>4.9204052098408113E-2</v>
      </c>
      <c r="AS205">
        <v>2.8943560057887118E-3</v>
      </c>
      <c r="AT205">
        <v>0.1143270622286541</v>
      </c>
      <c r="AU205">
        <v>0</v>
      </c>
      <c r="AV205">
        <v>0</v>
      </c>
      <c r="AW205">
        <v>7.2358900144717797E-3</v>
      </c>
      <c r="AX205">
        <v>5.2098408104196817E-2</v>
      </c>
      <c r="AY205">
        <v>0.16642547033285091</v>
      </c>
      <c r="AZ205">
        <v>4.4862518089725037E-2</v>
      </c>
      <c r="BA205">
        <v>0.83333333333333337</v>
      </c>
      <c r="BB205">
        <v>0.74305555555555547</v>
      </c>
      <c r="BC205">
        <v>0.8666666666666667</v>
      </c>
      <c r="BD205">
        <v>0.65303907380607817</v>
      </c>
      <c r="BE205">
        <v>4</v>
      </c>
      <c r="BF205">
        <v>0.77402365734040846</v>
      </c>
      <c r="BG205">
        <v>0.77</v>
      </c>
      <c r="BH205" t="s">
        <v>86</v>
      </c>
      <c r="BI205">
        <v>0.77</v>
      </c>
      <c r="BJ205" t="s">
        <v>86</v>
      </c>
      <c r="BK205" s="2">
        <f t="shared" si="7"/>
        <v>0</v>
      </c>
      <c r="BL205" t="b">
        <f t="shared" si="8"/>
        <v>1</v>
      </c>
    </row>
    <row r="206" spans="1:64" x14ac:dyDescent="0.35">
      <c r="A206" t="s">
        <v>605</v>
      </c>
      <c r="B206" t="s">
        <v>601</v>
      </c>
      <c r="C206">
        <v>2016</v>
      </c>
      <c r="D206" t="s">
        <v>602</v>
      </c>
      <c r="E206" t="s">
        <v>603</v>
      </c>
      <c r="F206" t="s">
        <v>66</v>
      </c>
      <c r="G206" t="s">
        <v>101</v>
      </c>
      <c r="H206" t="s">
        <v>162</v>
      </c>
      <c r="I206" t="s">
        <v>162</v>
      </c>
      <c r="J206" t="s">
        <v>70</v>
      </c>
      <c r="L206">
        <v>2</v>
      </c>
      <c r="M206" t="b">
        <v>0</v>
      </c>
      <c r="N206">
        <v>1</v>
      </c>
      <c r="O206">
        <v>1</v>
      </c>
      <c r="P206">
        <v>7</v>
      </c>
      <c r="Q206">
        <v>1</v>
      </c>
      <c r="R206">
        <v>6</v>
      </c>
      <c r="S206">
        <v>5</v>
      </c>
      <c r="T206">
        <v>18</v>
      </c>
      <c r="U206">
        <v>162</v>
      </c>
      <c r="V206">
        <v>91</v>
      </c>
      <c r="W206">
        <v>17</v>
      </c>
      <c r="X206">
        <v>5.3529411764705879</v>
      </c>
      <c r="Y206">
        <v>1</v>
      </c>
      <c r="Z206">
        <v>4</v>
      </c>
      <c r="AA206">
        <v>0</v>
      </c>
      <c r="AB206">
        <v>0</v>
      </c>
      <c r="AC206">
        <v>2</v>
      </c>
      <c r="AD206">
        <v>2</v>
      </c>
      <c r="AE206">
        <v>14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4</v>
      </c>
      <c r="AP206">
        <v>3</v>
      </c>
      <c r="AQ206">
        <v>18</v>
      </c>
      <c r="AR206">
        <v>2.469135802469136E-2</v>
      </c>
      <c r="AS206">
        <v>0</v>
      </c>
      <c r="AT206">
        <v>8.6419753086419748E-2</v>
      </c>
      <c r="AU206">
        <v>0</v>
      </c>
      <c r="AV206">
        <v>0</v>
      </c>
      <c r="AW206">
        <v>0</v>
      </c>
      <c r="AX206">
        <v>2.469135802469136E-2</v>
      </c>
      <c r="AY206">
        <v>0.1111111111111111</v>
      </c>
      <c r="AZ206">
        <v>2.469135802469136E-2</v>
      </c>
      <c r="BA206">
        <v>0.66666666666666663</v>
      </c>
      <c r="BB206">
        <v>0.72549019607843135</v>
      </c>
      <c r="BC206">
        <v>0.2</v>
      </c>
      <c r="BD206">
        <v>0.64043209876543217</v>
      </c>
      <c r="BE206">
        <v>4</v>
      </c>
      <c r="BF206">
        <v>0.55814724037763253</v>
      </c>
      <c r="BG206">
        <v>0.56000000000000005</v>
      </c>
      <c r="BH206" t="s">
        <v>71</v>
      </c>
      <c r="BI206">
        <v>0.56000000000000005</v>
      </c>
      <c r="BJ206" t="s">
        <v>71</v>
      </c>
      <c r="BK206" s="2">
        <f t="shared" si="7"/>
        <v>0</v>
      </c>
      <c r="BL206" t="b">
        <f t="shared" si="8"/>
        <v>1</v>
      </c>
    </row>
    <row r="207" spans="1:64" x14ac:dyDescent="0.35">
      <c r="A207" t="s">
        <v>606</v>
      </c>
      <c r="B207" t="s">
        <v>601</v>
      </c>
      <c r="C207">
        <v>2017</v>
      </c>
      <c r="D207" t="s">
        <v>602</v>
      </c>
      <c r="E207" t="s">
        <v>603</v>
      </c>
      <c r="F207" t="s">
        <v>66</v>
      </c>
      <c r="G207" t="s">
        <v>101</v>
      </c>
      <c r="H207" t="s">
        <v>162</v>
      </c>
      <c r="I207" t="s">
        <v>162</v>
      </c>
      <c r="J207" t="s">
        <v>70</v>
      </c>
      <c r="L207">
        <v>2</v>
      </c>
      <c r="M207" t="b">
        <v>0</v>
      </c>
      <c r="N207">
        <v>1</v>
      </c>
      <c r="O207">
        <v>1</v>
      </c>
      <c r="P207">
        <v>7</v>
      </c>
      <c r="Q207">
        <v>3</v>
      </c>
      <c r="R207">
        <v>4</v>
      </c>
      <c r="S207">
        <v>5</v>
      </c>
      <c r="T207">
        <v>30</v>
      </c>
      <c r="U207">
        <v>311</v>
      </c>
      <c r="V207">
        <v>139</v>
      </c>
      <c r="W207">
        <v>25</v>
      </c>
      <c r="X207">
        <v>5.56</v>
      </c>
      <c r="Y207">
        <v>2</v>
      </c>
      <c r="Z207">
        <v>38</v>
      </c>
      <c r="AA207">
        <v>0</v>
      </c>
      <c r="AB207">
        <v>0</v>
      </c>
      <c r="AC207">
        <v>1</v>
      </c>
      <c r="AD207">
        <v>1</v>
      </c>
      <c r="AE207">
        <v>18</v>
      </c>
      <c r="AF207">
        <v>3</v>
      </c>
      <c r="AG207">
        <v>11</v>
      </c>
      <c r="AH207">
        <v>1</v>
      </c>
      <c r="AI207">
        <v>64</v>
      </c>
      <c r="AJ207">
        <v>3</v>
      </c>
      <c r="AK207">
        <v>22</v>
      </c>
      <c r="AL207">
        <v>4</v>
      </c>
      <c r="AM207">
        <v>86</v>
      </c>
      <c r="AN207">
        <v>5</v>
      </c>
      <c r="AO207">
        <v>49</v>
      </c>
      <c r="AP207">
        <v>3</v>
      </c>
      <c r="AQ207">
        <v>56</v>
      </c>
      <c r="AR207">
        <v>0.1221864951768489</v>
      </c>
      <c r="AS207">
        <v>0</v>
      </c>
      <c r="AT207">
        <v>5.7877813504823149E-2</v>
      </c>
      <c r="AU207">
        <v>3.5369774919614148E-2</v>
      </c>
      <c r="AV207">
        <v>0.20578778135048231</v>
      </c>
      <c r="AW207">
        <v>0.27652733118971062</v>
      </c>
      <c r="AX207">
        <v>0.157556270096463</v>
      </c>
      <c r="AY207">
        <v>0.180064308681672</v>
      </c>
      <c r="AZ207">
        <v>-0.11897106109324759</v>
      </c>
      <c r="BA207">
        <v>0.66666666666666663</v>
      </c>
      <c r="BB207">
        <v>0.7599999999999999</v>
      </c>
      <c r="BC207">
        <v>0.2</v>
      </c>
      <c r="BD207">
        <v>0.55064308681672025</v>
      </c>
      <c r="BE207">
        <v>4</v>
      </c>
      <c r="BF207">
        <v>0.54432743837084674</v>
      </c>
      <c r="BG207">
        <v>0.56999999999999995</v>
      </c>
      <c r="BH207" t="s">
        <v>71</v>
      </c>
      <c r="BI207">
        <v>0.54</v>
      </c>
      <c r="BJ207" t="s">
        <v>71</v>
      </c>
      <c r="BK207" s="2">
        <f t="shared" si="7"/>
        <v>2.9999999999999916E-2</v>
      </c>
      <c r="BL207" t="b">
        <f t="shared" si="8"/>
        <v>1</v>
      </c>
    </row>
    <row r="208" spans="1:64" x14ac:dyDescent="0.35">
      <c r="A208" t="s">
        <v>607</v>
      </c>
      <c r="B208" t="s">
        <v>601</v>
      </c>
      <c r="C208">
        <v>2020</v>
      </c>
      <c r="D208" t="s">
        <v>602</v>
      </c>
      <c r="E208" t="s">
        <v>603</v>
      </c>
      <c r="F208" t="s">
        <v>66</v>
      </c>
      <c r="G208" t="s">
        <v>101</v>
      </c>
      <c r="H208" t="s">
        <v>162</v>
      </c>
      <c r="I208" t="s">
        <v>162</v>
      </c>
      <c r="J208" t="s">
        <v>70</v>
      </c>
      <c r="L208">
        <v>2</v>
      </c>
      <c r="M208" t="b">
        <v>0</v>
      </c>
      <c r="N208">
        <v>1</v>
      </c>
      <c r="O208">
        <v>1</v>
      </c>
      <c r="P208">
        <v>7</v>
      </c>
      <c r="Q208">
        <v>3</v>
      </c>
      <c r="R208">
        <v>4</v>
      </c>
      <c r="S208">
        <v>5</v>
      </c>
      <c r="T208">
        <v>35</v>
      </c>
      <c r="U208">
        <v>841</v>
      </c>
      <c r="V208">
        <v>143</v>
      </c>
      <c r="W208">
        <v>26</v>
      </c>
      <c r="X208">
        <v>5.5</v>
      </c>
      <c r="Y208">
        <v>3</v>
      </c>
      <c r="Z208">
        <v>130</v>
      </c>
      <c r="AA208">
        <v>0</v>
      </c>
      <c r="AB208">
        <v>0</v>
      </c>
      <c r="AC208">
        <v>2</v>
      </c>
      <c r="AD208">
        <v>2</v>
      </c>
      <c r="AE208">
        <v>99</v>
      </c>
      <c r="AF208">
        <v>1</v>
      </c>
      <c r="AG208">
        <v>36</v>
      </c>
      <c r="AH208">
        <v>2</v>
      </c>
      <c r="AI208">
        <v>72</v>
      </c>
      <c r="AJ208">
        <v>2</v>
      </c>
      <c r="AK208">
        <v>24</v>
      </c>
      <c r="AL208">
        <v>4</v>
      </c>
      <c r="AM208">
        <v>96</v>
      </c>
      <c r="AN208">
        <v>4</v>
      </c>
      <c r="AO208">
        <v>166</v>
      </c>
      <c r="AP208">
        <v>5</v>
      </c>
      <c r="AQ208">
        <v>229</v>
      </c>
      <c r="AR208">
        <v>0.15457788347205709</v>
      </c>
      <c r="AS208">
        <v>0</v>
      </c>
      <c r="AT208">
        <v>0.1177170035671819</v>
      </c>
      <c r="AU208">
        <v>4.2806183115338882E-2</v>
      </c>
      <c r="AV208">
        <v>8.5612366230677764E-2</v>
      </c>
      <c r="AW208">
        <v>0.1141498216409037</v>
      </c>
      <c r="AX208">
        <v>0.19738406658739599</v>
      </c>
      <c r="AY208">
        <v>0.27229488703923899</v>
      </c>
      <c r="AZ208">
        <v>8.3234244946492272E-2</v>
      </c>
      <c r="BA208">
        <v>0.66666666666666663</v>
      </c>
      <c r="BB208">
        <v>0.75</v>
      </c>
      <c r="BC208">
        <v>0.33333333333333331</v>
      </c>
      <c r="BD208">
        <v>0.67702140309155756</v>
      </c>
      <c r="BE208">
        <v>4</v>
      </c>
      <c r="BF208">
        <v>0.60675535077288933</v>
      </c>
      <c r="BG208">
        <v>0.62</v>
      </c>
      <c r="BH208" t="s">
        <v>86</v>
      </c>
      <c r="BI208">
        <v>0.61</v>
      </c>
      <c r="BJ208" t="s">
        <v>86</v>
      </c>
      <c r="BK208" s="2">
        <f t="shared" si="7"/>
        <v>1.0000000000000009E-2</v>
      </c>
      <c r="BL208" t="b">
        <f t="shared" si="8"/>
        <v>1</v>
      </c>
    </row>
    <row r="209" spans="1:64" x14ac:dyDescent="0.35">
      <c r="A209" t="s">
        <v>608</v>
      </c>
      <c r="B209" t="s">
        <v>609</v>
      </c>
      <c r="C209">
        <v>2015</v>
      </c>
      <c r="D209" t="s">
        <v>610</v>
      </c>
      <c r="E209" t="s">
        <v>611</v>
      </c>
      <c r="F209" t="s">
        <v>66</v>
      </c>
      <c r="G209" t="s">
        <v>91</v>
      </c>
      <c r="H209" t="s">
        <v>91</v>
      </c>
      <c r="I209" t="s">
        <v>612</v>
      </c>
      <c r="J209" t="s">
        <v>70</v>
      </c>
      <c r="L209">
        <v>1</v>
      </c>
      <c r="M209" t="b">
        <v>0</v>
      </c>
      <c r="N209">
        <v>1</v>
      </c>
      <c r="O209">
        <v>1</v>
      </c>
      <c r="P209">
        <v>6</v>
      </c>
      <c r="Q209">
        <v>1</v>
      </c>
      <c r="R209">
        <v>5</v>
      </c>
      <c r="S209">
        <v>5</v>
      </c>
      <c r="T209">
        <v>16</v>
      </c>
      <c r="U209">
        <v>193</v>
      </c>
      <c r="V209">
        <v>64</v>
      </c>
      <c r="W209">
        <v>12</v>
      </c>
      <c r="X209">
        <v>5.333333333333333</v>
      </c>
      <c r="Y209">
        <v>4</v>
      </c>
      <c r="Z209">
        <v>62</v>
      </c>
      <c r="AA209">
        <v>0</v>
      </c>
      <c r="AB209">
        <v>0</v>
      </c>
      <c r="AC209">
        <v>4</v>
      </c>
      <c r="AD209">
        <v>4</v>
      </c>
      <c r="AE209">
        <v>44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</v>
      </c>
      <c r="AO209">
        <v>62</v>
      </c>
      <c r="AP209">
        <v>8</v>
      </c>
      <c r="AQ209">
        <v>106</v>
      </c>
      <c r="AR209">
        <v>0.32124352331606221</v>
      </c>
      <c r="AS209">
        <v>0</v>
      </c>
      <c r="AT209">
        <v>0.227979274611399</v>
      </c>
      <c r="AU209">
        <v>0</v>
      </c>
      <c r="AV209">
        <v>0</v>
      </c>
      <c r="AW209">
        <v>0</v>
      </c>
      <c r="AX209">
        <v>0.32124352331606221</v>
      </c>
      <c r="AY209">
        <v>0.54922279792746109</v>
      </c>
      <c r="AZ209">
        <v>0.32124352331606221</v>
      </c>
      <c r="BA209">
        <v>0.66666666666666663</v>
      </c>
      <c r="BB209">
        <v>0.72222222222222221</v>
      </c>
      <c r="BC209">
        <v>0.53333333333333333</v>
      </c>
      <c r="BD209">
        <v>0.8257772020725388</v>
      </c>
      <c r="BE209">
        <v>4</v>
      </c>
      <c r="BF209">
        <v>0.6869998560736903</v>
      </c>
      <c r="BG209">
        <v>0.7</v>
      </c>
      <c r="BH209" t="s">
        <v>86</v>
      </c>
      <c r="BI209">
        <v>0.69</v>
      </c>
      <c r="BJ209" t="s">
        <v>86</v>
      </c>
      <c r="BK209" s="2">
        <f t="shared" si="7"/>
        <v>1.0000000000000009E-2</v>
      </c>
      <c r="BL209" t="b">
        <f t="shared" si="8"/>
        <v>1</v>
      </c>
    </row>
    <row r="210" spans="1:64" x14ac:dyDescent="0.35">
      <c r="A210" t="s">
        <v>613</v>
      </c>
      <c r="B210" t="s">
        <v>614</v>
      </c>
      <c r="C210">
        <v>2016</v>
      </c>
      <c r="D210" t="s">
        <v>615</v>
      </c>
      <c r="E210" t="s">
        <v>616</v>
      </c>
      <c r="F210" t="s">
        <v>66</v>
      </c>
      <c r="G210" t="s">
        <v>144</v>
      </c>
      <c r="H210" t="s">
        <v>424</v>
      </c>
      <c r="I210" t="s">
        <v>617</v>
      </c>
      <c r="J210" t="s">
        <v>70</v>
      </c>
      <c r="L210">
        <v>3</v>
      </c>
      <c r="M210" t="b">
        <v>0</v>
      </c>
      <c r="N210">
        <v>1</v>
      </c>
      <c r="O210">
        <v>1</v>
      </c>
      <c r="P210">
        <v>7</v>
      </c>
      <c r="Q210">
        <v>4</v>
      </c>
      <c r="R210">
        <v>3</v>
      </c>
      <c r="S210">
        <v>4</v>
      </c>
      <c r="T210">
        <v>32</v>
      </c>
      <c r="U210">
        <v>524</v>
      </c>
      <c r="V210">
        <v>123</v>
      </c>
      <c r="W210">
        <v>25</v>
      </c>
      <c r="X210">
        <v>4.92</v>
      </c>
      <c r="Y210">
        <v>3</v>
      </c>
      <c r="Z210">
        <v>47</v>
      </c>
      <c r="AA210">
        <v>0</v>
      </c>
      <c r="AB210">
        <v>0</v>
      </c>
      <c r="AC210">
        <v>5</v>
      </c>
      <c r="AD210">
        <v>5</v>
      </c>
      <c r="AE210">
        <v>97</v>
      </c>
      <c r="AF210">
        <v>3</v>
      </c>
      <c r="AG210">
        <v>25</v>
      </c>
      <c r="AH210">
        <v>2</v>
      </c>
      <c r="AI210">
        <v>112</v>
      </c>
      <c r="AJ210">
        <v>2</v>
      </c>
      <c r="AK210">
        <v>11</v>
      </c>
      <c r="AL210">
        <v>4</v>
      </c>
      <c r="AM210">
        <v>123</v>
      </c>
      <c r="AN210">
        <v>6</v>
      </c>
      <c r="AO210">
        <v>72</v>
      </c>
      <c r="AP210">
        <v>8</v>
      </c>
      <c r="AQ210">
        <v>144</v>
      </c>
      <c r="AR210">
        <v>8.9694656488549615E-2</v>
      </c>
      <c r="AS210">
        <v>0</v>
      </c>
      <c r="AT210">
        <v>0.1851145038167939</v>
      </c>
      <c r="AU210">
        <v>4.7709923664122141E-2</v>
      </c>
      <c r="AV210">
        <v>0.2137404580152672</v>
      </c>
      <c r="AW210">
        <v>0.23473282442748089</v>
      </c>
      <c r="AX210">
        <v>0.13740458015267179</v>
      </c>
      <c r="AY210">
        <v>0.27480916030534353</v>
      </c>
      <c r="AZ210">
        <v>-9.7328244274809156E-2</v>
      </c>
      <c r="BA210">
        <v>0.5</v>
      </c>
      <c r="BB210">
        <v>0.65333333333333332</v>
      </c>
      <c r="BC210">
        <v>0.53333333333333333</v>
      </c>
      <c r="BD210">
        <v>0.56416984732824427</v>
      </c>
      <c r="BE210">
        <v>4</v>
      </c>
      <c r="BF210">
        <v>0.56270912849872778</v>
      </c>
      <c r="BG210">
        <v>0.6</v>
      </c>
      <c r="BH210" t="s">
        <v>86</v>
      </c>
      <c r="BI210">
        <v>0.56000000000000005</v>
      </c>
      <c r="BJ210" t="s">
        <v>71</v>
      </c>
      <c r="BK210" s="2">
        <f t="shared" si="7"/>
        <v>3.9999999999999925E-2</v>
      </c>
      <c r="BL210" t="b">
        <f t="shared" si="8"/>
        <v>0</v>
      </c>
    </row>
    <row r="211" spans="1:64" x14ac:dyDescent="0.35">
      <c r="A211" t="s">
        <v>618</v>
      </c>
      <c r="B211" t="s">
        <v>614</v>
      </c>
      <c r="C211">
        <v>2019</v>
      </c>
      <c r="D211" t="s">
        <v>615</v>
      </c>
      <c r="E211" t="s">
        <v>616</v>
      </c>
      <c r="F211" t="s">
        <v>66</v>
      </c>
      <c r="G211" t="s">
        <v>144</v>
      </c>
      <c r="H211" t="s">
        <v>424</v>
      </c>
      <c r="I211" t="s">
        <v>617</v>
      </c>
      <c r="J211" t="s">
        <v>70</v>
      </c>
      <c r="L211">
        <v>3</v>
      </c>
      <c r="M211" t="b">
        <v>0</v>
      </c>
      <c r="N211">
        <v>1</v>
      </c>
      <c r="O211">
        <v>2</v>
      </c>
      <c r="P211">
        <v>10</v>
      </c>
      <c r="Q211">
        <v>6</v>
      </c>
      <c r="R211">
        <v>4</v>
      </c>
      <c r="S211">
        <v>6</v>
      </c>
      <c r="T211">
        <v>35</v>
      </c>
      <c r="U211">
        <v>1855</v>
      </c>
      <c r="V211">
        <v>149</v>
      </c>
      <c r="W211">
        <v>28</v>
      </c>
      <c r="X211">
        <v>5.3214285714285712</v>
      </c>
      <c r="Y211">
        <v>5</v>
      </c>
      <c r="Z211">
        <v>443</v>
      </c>
      <c r="AA211">
        <v>1</v>
      </c>
      <c r="AB211">
        <v>36</v>
      </c>
      <c r="AC211">
        <v>8</v>
      </c>
      <c r="AD211">
        <v>8</v>
      </c>
      <c r="AE211">
        <v>246</v>
      </c>
      <c r="AF211">
        <v>0</v>
      </c>
      <c r="AG211">
        <v>0</v>
      </c>
      <c r="AH211">
        <v>2</v>
      </c>
      <c r="AI211">
        <v>520</v>
      </c>
      <c r="AJ211">
        <v>3</v>
      </c>
      <c r="AK211">
        <v>26</v>
      </c>
      <c r="AL211">
        <v>5</v>
      </c>
      <c r="AM211">
        <v>546</v>
      </c>
      <c r="AN211">
        <v>6</v>
      </c>
      <c r="AO211">
        <v>479</v>
      </c>
      <c r="AP211">
        <v>14</v>
      </c>
      <c r="AQ211">
        <v>725</v>
      </c>
      <c r="AR211">
        <v>0.23881401617250669</v>
      </c>
      <c r="AS211">
        <v>1.9407008086253369E-2</v>
      </c>
      <c r="AT211">
        <v>0.13261455525606469</v>
      </c>
      <c r="AU211">
        <v>0</v>
      </c>
      <c r="AV211">
        <v>0.28032345013477089</v>
      </c>
      <c r="AW211">
        <v>0.29433962264150942</v>
      </c>
      <c r="AX211">
        <v>0.25822102425876009</v>
      </c>
      <c r="AY211">
        <v>0.39083557951482478</v>
      </c>
      <c r="AZ211">
        <v>-3.6118598382749327E-2</v>
      </c>
      <c r="BA211">
        <v>0.83333333333333337</v>
      </c>
      <c r="BB211">
        <v>0.72023809523809523</v>
      </c>
      <c r="BC211">
        <v>0.93333333333333335</v>
      </c>
      <c r="BD211">
        <v>0.60242587601078168</v>
      </c>
      <c r="BE211">
        <v>4</v>
      </c>
      <c r="BF211">
        <v>0.77233265947888596</v>
      </c>
      <c r="BG211">
        <v>0.83</v>
      </c>
      <c r="BH211" t="s">
        <v>164</v>
      </c>
      <c r="BI211">
        <v>0.77</v>
      </c>
      <c r="BJ211" t="s">
        <v>86</v>
      </c>
      <c r="BK211" s="2">
        <f t="shared" si="7"/>
        <v>5.9999999999999942E-2</v>
      </c>
      <c r="BL211" t="b">
        <f t="shared" si="8"/>
        <v>0</v>
      </c>
    </row>
    <row r="212" spans="1:64" x14ac:dyDescent="0.35">
      <c r="A212" t="s">
        <v>619</v>
      </c>
      <c r="B212" t="s">
        <v>614</v>
      </c>
      <c r="C212">
        <v>2022</v>
      </c>
      <c r="D212" t="s">
        <v>615</v>
      </c>
      <c r="E212" t="s">
        <v>616</v>
      </c>
      <c r="F212" t="s">
        <v>66</v>
      </c>
      <c r="G212" t="s">
        <v>144</v>
      </c>
      <c r="H212" t="s">
        <v>424</v>
      </c>
      <c r="I212" t="s">
        <v>617</v>
      </c>
      <c r="J212" t="s">
        <v>70</v>
      </c>
      <c r="L212">
        <v>3</v>
      </c>
      <c r="M212" t="b">
        <v>0</v>
      </c>
      <c r="N212">
        <v>3</v>
      </c>
      <c r="O212">
        <v>2</v>
      </c>
      <c r="P212">
        <v>5</v>
      </c>
      <c r="Q212">
        <v>5</v>
      </c>
      <c r="R212">
        <v>0</v>
      </c>
      <c r="S212">
        <v>4</v>
      </c>
      <c r="T212">
        <v>21</v>
      </c>
      <c r="U212">
        <v>807</v>
      </c>
      <c r="V212">
        <v>75</v>
      </c>
      <c r="W212">
        <v>17</v>
      </c>
      <c r="X212">
        <v>4.4117647058823533</v>
      </c>
      <c r="Y212">
        <v>4</v>
      </c>
      <c r="Z212">
        <v>68</v>
      </c>
      <c r="AA212">
        <v>0</v>
      </c>
      <c r="AB212">
        <v>0</v>
      </c>
      <c r="AC212">
        <v>1</v>
      </c>
      <c r="AD212">
        <v>1</v>
      </c>
      <c r="AE212">
        <v>218</v>
      </c>
      <c r="AF212">
        <v>0</v>
      </c>
      <c r="AG212">
        <v>0</v>
      </c>
      <c r="AH212">
        <v>2</v>
      </c>
      <c r="AI212">
        <v>140</v>
      </c>
      <c r="AJ212">
        <v>2</v>
      </c>
      <c r="AK212">
        <v>8</v>
      </c>
      <c r="AL212">
        <v>4</v>
      </c>
      <c r="AM212">
        <v>148</v>
      </c>
      <c r="AN212">
        <v>4</v>
      </c>
      <c r="AO212">
        <v>68</v>
      </c>
      <c r="AP212">
        <v>5</v>
      </c>
      <c r="AQ212">
        <v>286</v>
      </c>
      <c r="AR212">
        <v>8.4262701363073109E-2</v>
      </c>
      <c r="AS212">
        <v>0</v>
      </c>
      <c r="AT212">
        <v>0.2701363073110285</v>
      </c>
      <c r="AU212">
        <v>0</v>
      </c>
      <c r="AV212">
        <v>0.17348203221809169</v>
      </c>
      <c r="AW212">
        <v>0.18339529120198261</v>
      </c>
      <c r="AX212">
        <v>8.4262701363073109E-2</v>
      </c>
      <c r="AY212">
        <v>0.35439900867410162</v>
      </c>
      <c r="AZ212">
        <v>-9.9132589838909532E-2</v>
      </c>
      <c r="BA212">
        <v>0.5</v>
      </c>
      <c r="BB212">
        <v>0.56862745098039225</v>
      </c>
      <c r="BC212">
        <v>0.33333333333333331</v>
      </c>
      <c r="BD212">
        <v>0.56304213135068149</v>
      </c>
      <c r="BE212">
        <v>4</v>
      </c>
      <c r="BF212">
        <v>0.49125072891610178</v>
      </c>
      <c r="BG212">
        <v>0.52</v>
      </c>
      <c r="BH212" t="s">
        <v>71</v>
      </c>
      <c r="BI212">
        <v>0.49</v>
      </c>
      <c r="BJ212" t="s">
        <v>71</v>
      </c>
      <c r="BK212" s="2">
        <f t="shared" si="7"/>
        <v>3.0000000000000027E-2</v>
      </c>
      <c r="BL212" t="b">
        <f t="shared" si="8"/>
        <v>1</v>
      </c>
    </row>
    <row r="213" spans="1:64" x14ac:dyDescent="0.35">
      <c r="A213" t="s">
        <v>620</v>
      </c>
      <c r="B213" t="s">
        <v>621</v>
      </c>
      <c r="C213">
        <v>2016</v>
      </c>
      <c r="D213" t="s">
        <v>622</v>
      </c>
      <c r="E213" t="s">
        <v>623</v>
      </c>
      <c r="F213" t="s">
        <v>66</v>
      </c>
      <c r="G213" t="s">
        <v>67</v>
      </c>
      <c r="H213" t="s">
        <v>68</v>
      </c>
      <c r="I213" t="s">
        <v>624</v>
      </c>
      <c r="J213" t="s">
        <v>70</v>
      </c>
      <c r="L213">
        <v>3</v>
      </c>
      <c r="M213" t="b">
        <v>0</v>
      </c>
      <c r="N213">
        <v>1</v>
      </c>
      <c r="O213">
        <v>1</v>
      </c>
      <c r="P213">
        <v>4</v>
      </c>
      <c r="Q213">
        <v>5</v>
      </c>
      <c r="R213">
        <v>-1</v>
      </c>
      <c r="S213">
        <v>4</v>
      </c>
      <c r="T213">
        <v>32</v>
      </c>
      <c r="U213">
        <v>460</v>
      </c>
      <c r="V213">
        <v>129</v>
      </c>
      <c r="W213">
        <v>27</v>
      </c>
      <c r="X213">
        <v>4.7777777777777777</v>
      </c>
      <c r="Y213">
        <v>2</v>
      </c>
      <c r="Z213">
        <v>44</v>
      </c>
      <c r="AA213">
        <v>0</v>
      </c>
      <c r="AB213">
        <v>0</v>
      </c>
      <c r="AC213">
        <v>1</v>
      </c>
      <c r="AD213">
        <v>1</v>
      </c>
      <c r="AE213">
        <v>32</v>
      </c>
      <c r="AF213">
        <v>3</v>
      </c>
      <c r="AG213">
        <v>31</v>
      </c>
      <c r="AH213">
        <v>3</v>
      </c>
      <c r="AI213">
        <v>61</v>
      </c>
      <c r="AJ213">
        <v>3</v>
      </c>
      <c r="AK213">
        <v>15</v>
      </c>
      <c r="AL213">
        <v>6</v>
      </c>
      <c r="AM213">
        <v>76</v>
      </c>
      <c r="AN213">
        <v>5</v>
      </c>
      <c r="AO213">
        <v>75</v>
      </c>
      <c r="AP213">
        <v>3</v>
      </c>
      <c r="AQ213">
        <v>76</v>
      </c>
      <c r="AR213">
        <v>9.5652173913043481E-2</v>
      </c>
      <c r="AS213">
        <v>0</v>
      </c>
      <c r="AT213">
        <v>6.9565217391304349E-2</v>
      </c>
      <c r="AU213">
        <v>6.7391304347826086E-2</v>
      </c>
      <c r="AV213">
        <v>0.1326086956521739</v>
      </c>
      <c r="AW213">
        <v>0.16521739130434779</v>
      </c>
      <c r="AX213">
        <v>0.1630434782608696</v>
      </c>
      <c r="AY213">
        <v>0.16521739130434779</v>
      </c>
      <c r="AZ213">
        <v>-2.1739130434782479E-3</v>
      </c>
      <c r="BA213">
        <v>0.5</v>
      </c>
      <c r="BB213">
        <v>0.62962962962962965</v>
      </c>
      <c r="BC213">
        <v>0.2</v>
      </c>
      <c r="BD213">
        <v>0.62364130434782605</v>
      </c>
      <c r="BE213">
        <v>4</v>
      </c>
      <c r="BF213">
        <v>0.48831773349436391</v>
      </c>
      <c r="BG213">
        <v>0.51</v>
      </c>
      <c r="BH213" t="s">
        <v>71</v>
      </c>
      <c r="BI213">
        <v>0.49</v>
      </c>
      <c r="BJ213" t="s">
        <v>71</v>
      </c>
      <c r="BK213" s="2">
        <f t="shared" si="7"/>
        <v>2.0000000000000018E-2</v>
      </c>
      <c r="BL213" t="b">
        <f t="shared" si="8"/>
        <v>1</v>
      </c>
    </row>
    <row r="214" spans="1:64" x14ac:dyDescent="0.35">
      <c r="A214" t="s">
        <v>625</v>
      </c>
      <c r="B214" t="s">
        <v>621</v>
      </c>
      <c r="C214">
        <v>2019</v>
      </c>
      <c r="D214" t="s">
        <v>622</v>
      </c>
      <c r="E214" t="s">
        <v>623</v>
      </c>
      <c r="F214" t="s">
        <v>66</v>
      </c>
      <c r="G214" t="s">
        <v>67</v>
      </c>
      <c r="H214" t="s">
        <v>68</v>
      </c>
      <c r="I214" t="s">
        <v>624</v>
      </c>
      <c r="J214" t="s">
        <v>70</v>
      </c>
      <c r="L214">
        <v>3</v>
      </c>
      <c r="M214" t="b">
        <v>0</v>
      </c>
      <c r="N214">
        <v>4</v>
      </c>
      <c r="O214">
        <v>3</v>
      </c>
      <c r="P214">
        <v>4</v>
      </c>
      <c r="Q214">
        <v>6</v>
      </c>
      <c r="R214">
        <v>-2</v>
      </c>
      <c r="S214">
        <v>3</v>
      </c>
      <c r="T214">
        <v>30</v>
      </c>
      <c r="U214">
        <v>544</v>
      </c>
      <c r="V214">
        <v>121</v>
      </c>
      <c r="W214">
        <v>25</v>
      </c>
      <c r="X214">
        <v>4.84</v>
      </c>
      <c r="Y214">
        <v>2</v>
      </c>
      <c r="Z214">
        <v>186</v>
      </c>
      <c r="AA214">
        <v>0</v>
      </c>
      <c r="AB214">
        <v>0</v>
      </c>
      <c r="AC214">
        <v>1</v>
      </c>
      <c r="AD214">
        <v>1</v>
      </c>
      <c r="AE214">
        <v>85</v>
      </c>
      <c r="AF214">
        <v>4</v>
      </c>
      <c r="AG214">
        <v>29</v>
      </c>
      <c r="AH214">
        <v>2</v>
      </c>
      <c r="AI214">
        <v>14</v>
      </c>
      <c r="AJ214">
        <v>2</v>
      </c>
      <c r="AK214">
        <v>8</v>
      </c>
      <c r="AL214">
        <v>4</v>
      </c>
      <c r="AM214">
        <v>22</v>
      </c>
      <c r="AN214">
        <v>6</v>
      </c>
      <c r="AO214">
        <v>215</v>
      </c>
      <c r="AP214">
        <v>3</v>
      </c>
      <c r="AQ214">
        <v>271</v>
      </c>
      <c r="AR214">
        <v>0.34191176470588241</v>
      </c>
      <c r="AS214">
        <v>0</v>
      </c>
      <c r="AT214">
        <v>0.15625</v>
      </c>
      <c r="AU214">
        <v>5.3308823529411763E-2</v>
      </c>
      <c r="AV214">
        <v>2.5735294117647061E-2</v>
      </c>
      <c r="AW214">
        <v>4.0441176470588237E-2</v>
      </c>
      <c r="AX214">
        <v>0.3952205882352941</v>
      </c>
      <c r="AY214">
        <v>0.49816176470588241</v>
      </c>
      <c r="AZ214">
        <v>0.35477941176470579</v>
      </c>
      <c r="BA214">
        <v>0.33333333333333331</v>
      </c>
      <c r="BB214">
        <v>0.64</v>
      </c>
      <c r="BC214">
        <v>0.2</v>
      </c>
      <c r="BD214">
        <v>0.84673713235294112</v>
      </c>
      <c r="BE214">
        <v>4</v>
      </c>
      <c r="BF214">
        <v>0.50501761642156862</v>
      </c>
      <c r="BG214">
        <v>0.52</v>
      </c>
      <c r="BH214" t="s">
        <v>71</v>
      </c>
      <c r="BI214">
        <v>0.51</v>
      </c>
      <c r="BJ214" t="s">
        <v>71</v>
      </c>
      <c r="BK214" s="2">
        <f t="shared" si="7"/>
        <v>1.0000000000000009E-2</v>
      </c>
      <c r="BL214" t="b">
        <f t="shared" si="8"/>
        <v>1</v>
      </c>
    </row>
    <row r="215" spans="1:64" x14ac:dyDescent="0.35">
      <c r="A215" t="s">
        <v>626</v>
      </c>
      <c r="B215" t="s">
        <v>621</v>
      </c>
      <c r="C215">
        <v>2022</v>
      </c>
      <c r="D215" t="s">
        <v>622</v>
      </c>
      <c r="E215" t="s">
        <v>623</v>
      </c>
      <c r="F215" t="s">
        <v>66</v>
      </c>
      <c r="G215" t="s">
        <v>67</v>
      </c>
      <c r="H215" t="s">
        <v>68</v>
      </c>
      <c r="I215" t="s">
        <v>624</v>
      </c>
      <c r="J215" t="s">
        <v>70</v>
      </c>
      <c r="L215">
        <v>3</v>
      </c>
      <c r="M215" t="b">
        <v>0</v>
      </c>
      <c r="N215">
        <v>1</v>
      </c>
      <c r="O215">
        <v>1</v>
      </c>
      <c r="P215">
        <v>5</v>
      </c>
      <c r="Q215">
        <v>2</v>
      </c>
      <c r="R215">
        <v>3</v>
      </c>
      <c r="S215">
        <v>4</v>
      </c>
      <c r="T215">
        <v>22</v>
      </c>
      <c r="U215">
        <v>161</v>
      </c>
      <c r="V215">
        <v>113</v>
      </c>
      <c r="W215">
        <v>22</v>
      </c>
      <c r="X215">
        <v>5.1363636363636367</v>
      </c>
      <c r="Y215">
        <v>2</v>
      </c>
      <c r="Z215">
        <v>42</v>
      </c>
      <c r="AA215">
        <v>0</v>
      </c>
      <c r="AB215">
        <v>0</v>
      </c>
      <c r="AC215">
        <v>1</v>
      </c>
      <c r="AD215">
        <v>1</v>
      </c>
      <c r="AE215">
        <v>31</v>
      </c>
      <c r="AF215">
        <v>2</v>
      </c>
      <c r="AG215">
        <v>3</v>
      </c>
      <c r="AH215">
        <v>3</v>
      </c>
      <c r="AI215">
        <v>25</v>
      </c>
      <c r="AJ215">
        <v>1</v>
      </c>
      <c r="AK215">
        <v>17</v>
      </c>
      <c r="AL215">
        <v>4</v>
      </c>
      <c r="AM215">
        <v>42</v>
      </c>
      <c r="AN215">
        <v>4</v>
      </c>
      <c r="AO215">
        <v>45</v>
      </c>
      <c r="AP215">
        <v>3</v>
      </c>
      <c r="AQ215">
        <v>73</v>
      </c>
      <c r="AR215">
        <v>0.2608695652173913</v>
      </c>
      <c r="AS215">
        <v>0</v>
      </c>
      <c r="AT215">
        <v>0.19254658385093171</v>
      </c>
      <c r="AU215">
        <v>1.8633540372670811E-2</v>
      </c>
      <c r="AV215">
        <v>0.15527950310558999</v>
      </c>
      <c r="AW215">
        <v>0.2608695652173913</v>
      </c>
      <c r="AX215">
        <v>0.27950310559006208</v>
      </c>
      <c r="AY215">
        <v>0.453416149068323</v>
      </c>
      <c r="AZ215">
        <v>1.8633540372670791E-2</v>
      </c>
      <c r="BA215">
        <v>0.5</v>
      </c>
      <c r="BB215">
        <v>0.68939393939393945</v>
      </c>
      <c r="BC215">
        <v>0.2</v>
      </c>
      <c r="BD215">
        <v>0.63664596273291918</v>
      </c>
      <c r="BE215">
        <v>4</v>
      </c>
      <c r="BF215">
        <v>0.50650997553171462</v>
      </c>
      <c r="BG215">
        <v>0.53</v>
      </c>
      <c r="BH215" t="s">
        <v>71</v>
      </c>
      <c r="BI215">
        <v>0.51</v>
      </c>
      <c r="BJ215" t="s">
        <v>71</v>
      </c>
      <c r="BK215" s="2">
        <f t="shared" si="7"/>
        <v>2.0000000000000018E-2</v>
      </c>
      <c r="BL215" t="b">
        <f t="shared" si="8"/>
        <v>1</v>
      </c>
    </row>
    <row r="216" spans="1:64" x14ac:dyDescent="0.35">
      <c r="A216" t="s">
        <v>627</v>
      </c>
      <c r="B216" t="s">
        <v>628</v>
      </c>
      <c r="C216">
        <v>2014</v>
      </c>
      <c r="D216" t="s">
        <v>629</v>
      </c>
      <c r="E216" t="s">
        <v>630</v>
      </c>
      <c r="F216" t="s">
        <v>66</v>
      </c>
      <c r="G216" t="s">
        <v>101</v>
      </c>
      <c r="H216" t="s">
        <v>365</v>
      </c>
      <c r="I216" t="s">
        <v>631</v>
      </c>
      <c r="J216" t="s">
        <v>70</v>
      </c>
      <c r="L216">
        <v>1</v>
      </c>
      <c r="M216" t="b">
        <v>0</v>
      </c>
      <c r="N216">
        <v>1</v>
      </c>
      <c r="O216">
        <v>6</v>
      </c>
      <c r="P216">
        <v>18</v>
      </c>
      <c r="Q216">
        <v>2</v>
      </c>
      <c r="R216">
        <v>16</v>
      </c>
      <c r="S216">
        <v>7</v>
      </c>
      <c r="T216">
        <v>36</v>
      </c>
      <c r="U216">
        <v>541</v>
      </c>
      <c r="V216">
        <v>190</v>
      </c>
      <c r="W216">
        <v>27</v>
      </c>
      <c r="X216">
        <v>7.0370370370370372</v>
      </c>
      <c r="Y216">
        <v>3</v>
      </c>
      <c r="Z216">
        <v>118</v>
      </c>
      <c r="AA216">
        <v>3</v>
      </c>
      <c r="AB216">
        <v>72</v>
      </c>
      <c r="AC216">
        <v>8</v>
      </c>
      <c r="AD216">
        <v>8</v>
      </c>
      <c r="AE216">
        <v>144</v>
      </c>
      <c r="AF216">
        <v>0</v>
      </c>
      <c r="AG216">
        <v>0</v>
      </c>
      <c r="AH216">
        <v>1</v>
      </c>
      <c r="AI216">
        <v>20</v>
      </c>
      <c r="AJ216">
        <v>0</v>
      </c>
      <c r="AK216">
        <v>0</v>
      </c>
      <c r="AL216">
        <v>1</v>
      </c>
      <c r="AM216">
        <v>20</v>
      </c>
      <c r="AN216">
        <v>6</v>
      </c>
      <c r="AO216">
        <v>190</v>
      </c>
      <c r="AP216">
        <v>14</v>
      </c>
      <c r="AQ216">
        <v>334</v>
      </c>
      <c r="AR216">
        <v>0.21811460258780041</v>
      </c>
      <c r="AS216">
        <v>0.13308687615526801</v>
      </c>
      <c r="AT216">
        <v>0.26617375231053603</v>
      </c>
      <c r="AU216">
        <v>0</v>
      </c>
      <c r="AV216">
        <v>3.6968576709796683E-2</v>
      </c>
      <c r="AW216">
        <v>3.6968576709796683E-2</v>
      </c>
      <c r="AX216">
        <v>0.3512014787430684</v>
      </c>
      <c r="AY216">
        <v>0.61737523105360448</v>
      </c>
      <c r="AZ216">
        <v>0.3142329020332717</v>
      </c>
      <c r="BA216">
        <v>1</v>
      </c>
      <c r="BB216">
        <v>1.0061728395061731</v>
      </c>
      <c r="BC216">
        <v>0.93333333333333335</v>
      </c>
      <c r="BD216">
        <v>0.82139556377079481</v>
      </c>
      <c r="BE216">
        <v>4</v>
      </c>
      <c r="BF216">
        <v>0.94022543415257531</v>
      </c>
      <c r="BG216">
        <v>0.95</v>
      </c>
      <c r="BH216" t="s">
        <v>164</v>
      </c>
      <c r="BI216">
        <v>0.94</v>
      </c>
      <c r="BJ216" t="s">
        <v>164</v>
      </c>
      <c r="BK216" s="2">
        <f t="shared" si="7"/>
        <v>1.0000000000000009E-2</v>
      </c>
      <c r="BL216" t="b">
        <f t="shared" si="8"/>
        <v>1</v>
      </c>
    </row>
    <row r="217" spans="1:64" x14ac:dyDescent="0.35">
      <c r="A217" t="s">
        <v>632</v>
      </c>
      <c r="B217" t="s">
        <v>628</v>
      </c>
      <c r="C217">
        <v>2020</v>
      </c>
      <c r="D217" t="s">
        <v>629</v>
      </c>
      <c r="E217" t="s">
        <v>630</v>
      </c>
      <c r="F217" t="s">
        <v>66</v>
      </c>
      <c r="G217" t="s">
        <v>101</v>
      </c>
      <c r="H217" t="s">
        <v>365</v>
      </c>
      <c r="I217" t="s">
        <v>631</v>
      </c>
      <c r="J217" t="s">
        <v>70</v>
      </c>
      <c r="L217">
        <v>1</v>
      </c>
      <c r="M217" t="b">
        <v>0</v>
      </c>
      <c r="N217">
        <v>1</v>
      </c>
      <c r="O217">
        <v>2</v>
      </c>
      <c r="P217">
        <v>5</v>
      </c>
      <c r="Q217">
        <v>3</v>
      </c>
      <c r="R217">
        <v>2</v>
      </c>
      <c r="S217">
        <v>5</v>
      </c>
      <c r="T217">
        <v>23</v>
      </c>
      <c r="U217">
        <v>554</v>
      </c>
      <c r="V217">
        <v>108</v>
      </c>
      <c r="W217">
        <v>20</v>
      </c>
      <c r="X217">
        <v>5.4</v>
      </c>
      <c r="Y217">
        <v>2</v>
      </c>
      <c r="Z217">
        <v>35</v>
      </c>
      <c r="AA217">
        <v>0</v>
      </c>
      <c r="AB217">
        <v>0</v>
      </c>
      <c r="AC217">
        <v>3</v>
      </c>
      <c r="AD217">
        <v>3</v>
      </c>
      <c r="AE217">
        <v>167</v>
      </c>
      <c r="AF217">
        <v>1</v>
      </c>
      <c r="AG217">
        <v>42</v>
      </c>
      <c r="AH217">
        <v>3</v>
      </c>
      <c r="AI217">
        <v>34</v>
      </c>
      <c r="AJ217">
        <v>1</v>
      </c>
      <c r="AK217">
        <v>3</v>
      </c>
      <c r="AL217">
        <v>4</v>
      </c>
      <c r="AM217">
        <v>37</v>
      </c>
      <c r="AN217">
        <v>3</v>
      </c>
      <c r="AO217">
        <v>77</v>
      </c>
      <c r="AP217">
        <v>5</v>
      </c>
      <c r="AQ217">
        <v>202</v>
      </c>
      <c r="AR217">
        <v>6.3176895306859202E-2</v>
      </c>
      <c r="AS217">
        <v>0</v>
      </c>
      <c r="AT217">
        <v>0.30144404332129959</v>
      </c>
      <c r="AU217">
        <v>7.5812274368231042E-2</v>
      </c>
      <c r="AV217">
        <v>6.1371841155234648E-2</v>
      </c>
      <c r="AW217">
        <v>6.6787003610108309E-2</v>
      </c>
      <c r="AX217">
        <v>0.13898916967509031</v>
      </c>
      <c r="AY217">
        <v>0.36462093862815892</v>
      </c>
      <c r="AZ217">
        <v>7.2202166064981949E-2</v>
      </c>
      <c r="BA217">
        <v>0.66666666666666663</v>
      </c>
      <c r="BB217">
        <v>0.73333333333333339</v>
      </c>
      <c r="BC217">
        <v>0.33333333333333331</v>
      </c>
      <c r="BD217">
        <v>0.67012635379061358</v>
      </c>
      <c r="BE217">
        <v>4</v>
      </c>
      <c r="BF217">
        <v>0.60086492178098672</v>
      </c>
      <c r="BG217">
        <v>0.61</v>
      </c>
      <c r="BH217" t="s">
        <v>86</v>
      </c>
      <c r="BI217">
        <v>0.6</v>
      </c>
      <c r="BJ217" t="s">
        <v>86</v>
      </c>
      <c r="BK217" s="2">
        <f t="shared" si="7"/>
        <v>1.0000000000000009E-2</v>
      </c>
      <c r="BL217" t="b">
        <f t="shared" si="8"/>
        <v>1</v>
      </c>
    </row>
    <row r="218" spans="1:64" x14ac:dyDescent="0.35">
      <c r="A218" t="s">
        <v>633</v>
      </c>
      <c r="B218" t="s">
        <v>634</v>
      </c>
      <c r="C218">
        <v>2015</v>
      </c>
      <c r="D218" t="s">
        <v>635</v>
      </c>
      <c r="E218" t="s">
        <v>636</v>
      </c>
      <c r="F218" t="s">
        <v>66</v>
      </c>
      <c r="G218" t="s">
        <v>101</v>
      </c>
      <c r="H218" t="s">
        <v>170</v>
      </c>
      <c r="I218" t="s">
        <v>170</v>
      </c>
      <c r="J218" t="s">
        <v>70</v>
      </c>
      <c r="L218">
        <v>5</v>
      </c>
      <c r="M218" t="b">
        <v>0</v>
      </c>
      <c r="N218">
        <v>1</v>
      </c>
      <c r="O218">
        <v>1</v>
      </c>
      <c r="P218">
        <v>6</v>
      </c>
      <c r="Q218">
        <v>4</v>
      </c>
      <c r="R218">
        <v>2</v>
      </c>
      <c r="S218">
        <v>4</v>
      </c>
      <c r="T218">
        <v>24</v>
      </c>
      <c r="U218">
        <v>69</v>
      </c>
      <c r="V218">
        <v>112</v>
      </c>
      <c r="W218">
        <v>20</v>
      </c>
      <c r="X218">
        <v>5.6</v>
      </c>
      <c r="Y218">
        <v>5</v>
      </c>
      <c r="Z218">
        <v>22</v>
      </c>
      <c r="AA218">
        <v>0</v>
      </c>
      <c r="AB218">
        <v>0</v>
      </c>
      <c r="AC218">
        <v>2</v>
      </c>
      <c r="AD218">
        <v>2</v>
      </c>
      <c r="AE218">
        <v>5</v>
      </c>
      <c r="AF218">
        <v>1</v>
      </c>
      <c r="AG218">
        <v>1</v>
      </c>
      <c r="AH218">
        <v>2</v>
      </c>
      <c r="AI218">
        <v>3</v>
      </c>
      <c r="AJ218">
        <v>1</v>
      </c>
      <c r="AK218">
        <v>2</v>
      </c>
      <c r="AL218">
        <v>3</v>
      </c>
      <c r="AM218">
        <v>5</v>
      </c>
      <c r="AN218">
        <v>6</v>
      </c>
      <c r="AO218">
        <v>23</v>
      </c>
      <c r="AP218">
        <v>7</v>
      </c>
      <c r="AQ218">
        <v>27</v>
      </c>
      <c r="AR218">
        <v>0.3188405797101449</v>
      </c>
      <c r="AS218">
        <v>0</v>
      </c>
      <c r="AT218">
        <v>7.2463768115942032E-2</v>
      </c>
      <c r="AU218">
        <v>1.4492753623188409E-2</v>
      </c>
      <c r="AV218">
        <v>4.3478260869565223E-2</v>
      </c>
      <c r="AW218">
        <v>7.2463768115942032E-2</v>
      </c>
      <c r="AX218">
        <v>0.33333333333333331</v>
      </c>
      <c r="AY218">
        <v>0.39130434782608697</v>
      </c>
      <c r="AZ218">
        <v>0.2608695652173913</v>
      </c>
      <c r="BA218">
        <v>0.5</v>
      </c>
      <c r="BB218">
        <v>0.76666666666666661</v>
      </c>
      <c r="BC218">
        <v>0.46666666666666667</v>
      </c>
      <c r="BD218">
        <v>0.78804347826086951</v>
      </c>
      <c r="BE218">
        <v>4</v>
      </c>
      <c r="BF218">
        <v>0.63034420289855064</v>
      </c>
      <c r="BG218">
        <v>0.64</v>
      </c>
      <c r="BH218" t="s">
        <v>86</v>
      </c>
      <c r="BI218">
        <v>0.63</v>
      </c>
      <c r="BJ218" t="s">
        <v>86</v>
      </c>
      <c r="BK218" s="2">
        <f t="shared" si="7"/>
        <v>1.0000000000000009E-2</v>
      </c>
      <c r="BL218" t="b">
        <f t="shared" si="8"/>
        <v>1</v>
      </c>
    </row>
    <row r="219" spans="1:64" x14ac:dyDescent="0.35">
      <c r="A219" t="s">
        <v>637</v>
      </c>
      <c r="B219" t="s">
        <v>634</v>
      </c>
      <c r="C219">
        <v>2018</v>
      </c>
      <c r="D219" t="s">
        <v>635</v>
      </c>
      <c r="E219" t="s">
        <v>636</v>
      </c>
      <c r="F219" t="s">
        <v>66</v>
      </c>
      <c r="G219" t="s">
        <v>101</v>
      </c>
      <c r="H219" t="s">
        <v>170</v>
      </c>
      <c r="I219" t="s">
        <v>170</v>
      </c>
      <c r="J219" t="s">
        <v>70</v>
      </c>
      <c r="L219">
        <v>5</v>
      </c>
      <c r="M219" t="b">
        <v>0</v>
      </c>
      <c r="N219">
        <v>1</v>
      </c>
      <c r="O219">
        <v>1</v>
      </c>
      <c r="P219">
        <v>3</v>
      </c>
      <c r="Q219">
        <v>1</v>
      </c>
      <c r="R219">
        <v>2</v>
      </c>
      <c r="S219">
        <v>4</v>
      </c>
      <c r="T219">
        <v>16</v>
      </c>
      <c r="U219">
        <v>44</v>
      </c>
      <c r="V219">
        <v>79</v>
      </c>
      <c r="W219">
        <v>15</v>
      </c>
      <c r="X219">
        <v>5.2666666666666666</v>
      </c>
      <c r="Y219">
        <v>3</v>
      </c>
      <c r="Z219">
        <v>16</v>
      </c>
      <c r="AA219">
        <v>0</v>
      </c>
      <c r="AB219">
        <v>0</v>
      </c>
      <c r="AC219">
        <v>1</v>
      </c>
      <c r="AD219">
        <v>1</v>
      </c>
      <c r="AE219">
        <v>3</v>
      </c>
      <c r="AF219">
        <v>3</v>
      </c>
      <c r="AG219">
        <v>3</v>
      </c>
      <c r="AH219">
        <v>0</v>
      </c>
      <c r="AI219">
        <v>0</v>
      </c>
      <c r="AJ219">
        <v>3</v>
      </c>
      <c r="AK219">
        <v>10</v>
      </c>
      <c r="AL219">
        <v>3</v>
      </c>
      <c r="AM219">
        <v>10</v>
      </c>
      <c r="AN219">
        <v>6</v>
      </c>
      <c r="AO219">
        <v>19</v>
      </c>
      <c r="AP219">
        <v>4</v>
      </c>
      <c r="AQ219">
        <v>19</v>
      </c>
      <c r="AR219">
        <v>0.36363636363636359</v>
      </c>
      <c r="AS219">
        <v>0</v>
      </c>
      <c r="AT219">
        <v>6.8181818181818177E-2</v>
      </c>
      <c r="AU219">
        <v>6.8181818181818177E-2</v>
      </c>
      <c r="AV219">
        <v>0</v>
      </c>
      <c r="AW219">
        <v>0.22727272727272729</v>
      </c>
      <c r="AX219">
        <v>0.43181818181818182</v>
      </c>
      <c r="AY219">
        <v>0.43181818181818182</v>
      </c>
      <c r="AZ219">
        <v>0.20454545454545461</v>
      </c>
      <c r="BA219">
        <v>0.5</v>
      </c>
      <c r="BB219">
        <v>0.71111111111111114</v>
      </c>
      <c r="BC219">
        <v>0.26666666666666672</v>
      </c>
      <c r="BD219">
        <v>0.75284090909090906</v>
      </c>
      <c r="BE219">
        <v>4</v>
      </c>
      <c r="BF219">
        <v>0.55765467171717176</v>
      </c>
      <c r="BG219">
        <v>0.57999999999999996</v>
      </c>
      <c r="BH219" t="s">
        <v>71</v>
      </c>
      <c r="BI219">
        <v>0.56000000000000005</v>
      </c>
      <c r="BJ219" t="s">
        <v>71</v>
      </c>
      <c r="BK219" s="2">
        <f t="shared" si="7"/>
        <v>1.9999999999999907E-2</v>
      </c>
      <c r="BL219" t="b">
        <f t="shared" si="8"/>
        <v>1</v>
      </c>
    </row>
    <row r="220" spans="1:64" x14ac:dyDescent="0.35">
      <c r="A220" t="s">
        <v>638</v>
      </c>
      <c r="B220" t="s">
        <v>634</v>
      </c>
      <c r="C220">
        <v>2021</v>
      </c>
      <c r="D220" t="s">
        <v>635</v>
      </c>
      <c r="E220" t="s">
        <v>636</v>
      </c>
      <c r="F220" t="s">
        <v>66</v>
      </c>
      <c r="G220" t="s">
        <v>101</v>
      </c>
      <c r="H220" t="s">
        <v>170</v>
      </c>
      <c r="I220" t="s">
        <v>170</v>
      </c>
      <c r="J220" t="s">
        <v>70</v>
      </c>
      <c r="L220">
        <v>5</v>
      </c>
      <c r="M220" t="b">
        <v>0</v>
      </c>
      <c r="N220">
        <v>3</v>
      </c>
      <c r="O220">
        <v>1</v>
      </c>
      <c r="P220">
        <v>3</v>
      </c>
      <c r="Q220">
        <v>2</v>
      </c>
      <c r="R220">
        <v>1</v>
      </c>
      <c r="S220">
        <v>4</v>
      </c>
      <c r="T220">
        <v>22</v>
      </c>
      <c r="U220">
        <v>329</v>
      </c>
      <c r="V220">
        <v>87</v>
      </c>
      <c r="W220">
        <v>19</v>
      </c>
      <c r="X220">
        <v>4.5789473684210522</v>
      </c>
      <c r="Y220">
        <v>1</v>
      </c>
      <c r="Z220">
        <v>249</v>
      </c>
      <c r="AA220">
        <v>0</v>
      </c>
      <c r="AB220">
        <v>0</v>
      </c>
      <c r="AC220">
        <v>1</v>
      </c>
      <c r="AD220">
        <v>1</v>
      </c>
      <c r="AE220">
        <v>11</v>
      </c>
      <c r="AF220">
        <v>4</v>
      </c>
      <c r="AG220">
        <v>4</v>
      </c>
      <c r="AH220">
        <v>2</v>
      </c>
      <c r="AI220">
        <v>14</v>
      </c>
      <c r="AJ220">
        <v>2</v>
      </c>
      <c r="AK220">
        <v>2</v>
      </c>
      <c r="AL220">
        <v>5</v>
      </c>
      <c r="AM220">
        <v>19</v>
      </c>
      <c r="AN220">
        <v>5</v>
      </c>
      <c r="AO220">
        <v>253</v>
      </c>
      <c r="AP220">
        <v>2</v>
      </c>
      <c r="AQ220">
        <v>260</v>
      </c>
      <c r="AR220">
        <v>0.75683890577507595</v>
      </c>
      <c r="AS220">
        <v>0</v>
      </c>
      <c r="AT220">
        <v>3.3434650455927049E-2</v>
      </c>
      <c r="AU220">
        <v>1.2158054711246201E-2</v>
      </c>
      <c r="AV220">
        <v>4.2553191489361701E-2</v>
      </c>
      <c r="AW220">
        <v>5.7750759878419447E-2</v>
      </c>
      <c r="AX220">
        <v>0.76899696048632216</v>
      </c>
      <c r="AY220">
        <v>0.79027355623100304</v>
      </c>
      <c r="AZ220">
        <v>0.71124620060790267</v>
      </c>
      <c r="BA220">
        <v>0.5</v>
      </c>
      <c r="BB220">
        <v>0.59649122807017541</v>
      </c>
      <c r="BC220">
        <v>0.1333333333333333</v>
      </c>
      <c r="BD220">
        <v>1.069528875379939</v>
      </c>
      <c r="BE220">
        <v>4</v>
      </c>
      <c r="BF220">
        <v>0.57483835919586201</v>
      </c>
      <c r="BG220">
        <v>0.57999999999999996</v>
      </c>
      <c r="BH220" t="s">
        <v>71</v>
      </c>
      <c r="BI220">
        <v>0.56999999999999995</v>
      </c>
      <c r="BJ220" t="s">
        <v>71</v>
      </c>
      <c r="BK220" s="2">
        <f t="shared" si="7"/>
        <v>1.0000000000000009E-2</v>
      </c>
      <c r="BL220" t="b">
        <f t="shared" si="8"/>
        <v>1</v>
      </c>
    </row>
    <row r="221" spans="1:64" x14ac:dyDescent="0.35">
      <c r="A221" t="s">
        <v>639</v>
      </c>
      <c r="B221" t="s">
        <v>640</v>
      </c>
      <c r="C221">
        <v>2014</v>
      </c>
      <c r="D221" t="s">
        <v>641</v>
      </c>
      <c r="E221" t="s">
        <v>642</v>
      </c>
      <c r="F221" t="s">
        <v>66</v>
      </c>
      <c r="G221" t="s">
        <v>101</v>
      </c>
      <c r="H221" t="s">
        <v>195</v>
      </c>
      <c r="I221" t="s">
        <v>643</v>
      </c>
      <c r="J221" t="s">
        <v>70</v>
      </c>
      <c r="L221">
        <v>1</v>
      </c>
      <c r="M221" t="b">
        <v>0</v>
      </c>
      <c r="N221">
        <v>1</v>
      </c>
      <c r="O221">
        <v>3</v>
      </c>
      <c r="P221">
        <v>10</v>
      </c>
      <c r="Q221">
        <v>1</v>
      </c>
      <c r="R221">
        <v>9</v>
      </c>
      <c r="S221">
        <v>6</v>
      </c>
      <c r="T221">
        <v>28</v>
      </c>
      <c r="U221">
        <v>357</v>
      </c>
      <c r="V221">
        <v>118</v>
      </c>
      <c r="W221">
        <v>20</v>
      </c>
      <c r="X221">
        <v>5.9</v>
      </c>
      <c r="Y221">
        <v>4</v>
      </c>
      <c r="Z221">
        <v>27</v>
      </c>
      <c r="AA221">
        <v>1</v>
      </c>
      <c r="AB221">
        <v>4</v>
      </c>
      <c r="AC221">
        <v>7</v>
      </c>
      <c r="AD221">
        <v>7</v>
      </c>
      <c r="AE221">
        <v>56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5</v>
      </c>
      <c r="AO221">
        <v>31</v>
      </c>
      <c r="AP221">
        <v>12</v>
      </c>
      <c r="AQ221">
        <v>87</v>
      </c>
      <c r="AR221">
        <v>7.5630252100840331E-2</v>
      </c>
      <c r="AS221">
        <v>1.120448179271709E-2</v>
      </c>
      <c r="AT221">
        <v>0.15686274509803921</v>
      </c>
      <c r="AU221">
        <v>0</v>
      </c>
      <c r="AV221">
        <v>0</v>
      </c>
      <c r="AW221">
        <v>0</v>
      </c>
      <c r="AX221">
        <v>8.683473389355742E-2</v>
      </c>
      <c r="AY221">
        <v>0.24369747899159661</v>
      </c>
      <c r="AZ221">
        <v>8.683473389355742E-2</v>
      </c>
      <c r="BA221">
        <v>0.83333333333333337</v>
      </c>
      <c r="BB221">
        <v>0.81666666666666676</v>
      </c>
      <c r="BC221">
        <v>0.8</v>
      </c>
      <c r="BD221">
        <v>0.67927170868347331</v>
      </c>
      <c r="BE221">
        <v>4</v>
      </c>
      <c r="BF221">
        <v>0.78231792717086834</v>
      </c>
      <c r="BG221">
        <v>0.78</v>
      </c>
      <c r="BH221" t="s">
        <v>86</v>
      </c>
      <c r="BI221">
        <v>0.78</v>
      </c>
      <c r="BJ221" t="s">
        <v>86</v>
      </c>
      <c r="BK221" s="2">
        <f t="shared" si="7"/>
        <v>0</v>
      </c>
      <c r="BL221" t="b">
        <f t="shared" si="8"/>
        <v>1</v>
      </c>
    </row>
    <row r="222" spans="1:64" x14ac:dyDescent="0.35">
      <c r="A222" t="s">
        <v>644</v>
      </c>
      <c r="B222" t="s">
        <v>640</v>
      </c>
      <c r="C222">
        <v>2022</v>
      </c>
      <c r="D222" t="s">
        <v>641</v>
      </c>
      <c r="E222" t="s">
        <v>642</v>
      </c>
      <c r="F222" t="s">
        <v>66</v>
      </c>
      <c r="G222" t="s">
        <v>101</v>
      </c>
      <c r="H222" t="s">
        <v>195</v>
      </c>
      <c r="I222" t="s">
        <v>643</v>
      </c>
      <c r="J222" t="s">
        <v>70</v>
      </c>
      <c r="L222">
        <v>1</v>
      </c>
      <c r="M222" t="b">
        <v>0</v>
      </c>
      <c r="N222">
        <v>1</v>
      </c>
      <c r="O222">
        <v>3</v>
      </c>
      <c r="P222">
        <v>10</v>
      </c>
      <c r="Q222">
        <v>0</v>
      </c>
      <c r="R222">
        <v>10</v>
      </c>
      <c r="S222">
        <v>7</v>
      </c>
      <c r="T222">
        <v>23</v>
      </c>
      <c r="U222">
        <v>165</v>
      </c>
      <c r="V222">
        <v>138</v>
      </c>
      <c r="W222">
        <v>19</v>
      </c>
      <c r="X222">
        <v>7.2631578947368416</v>
      </c>
      <c r="Y222">
        <v>5</v>
      </c>
      <c r="Z222">
        <v>44</v>
      </c>
      <c r="AA222">
        <v>2</v>
      </c>
      <c r="AB222">
        <v>28</v>
      </c>
      <c r="AC222">
        <v>4</v>
      </c>
      <c r="AD222">
        <v>4</v>
      </c>
      <c r="AE222">
        <v>17</v>
      </c>
      <c r="AF222">
        <v>1</v>
      </c>
      <c r="AG222">
        <v>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8</v>
      </c>
      <c r="AO222">
        <v>74</v>
      </c>
      <c r="AP222">
        <v>11</v>
      </c>
      <c r="AQ222">
        <v>89</v>
      </c>
      <c r="AR222">
        <v>0.26666666666666672</v>
      </c>
      <c r="AS222">
        <v>0.16969696969696971</v>
      </c>
      <c r="AT222">
        <v>0.103030303030303</v>
      </c>
      <c r="AU222">
        <v>1.2121212121212119E-2</v>
      </c>
      <c r="AV222">
        <v>0</v>
      </c>
      <c r="AW222">
        <v>0</v>
      </c>
      <c r="AX222">
        <v>0.44848484848484849</v>
      </c>
      <c r="AY222">
        <v>0.53939393939393943</v>
      </c>
      <c r="AZ222">
        <v>0.44848484848484849</v>
      </c>
      <c r="BA222">
        <v>1</v>
      </c>
      <c r="BB222">
        <v>1.0438596491228069</v>
      </c>
      <c r="BC222">
        <v>0.73333333333333328</v>
      </c>
      <c r="BD222">
        <v>0.90530303030303028</v>
      </c>
      <c r="BE222">
        <v>4</v>
      </c>
      <c r="BF222">
        <v>0.92062400318979265</v>
      </c>
      <c r="BG222">
        <v>0.94</v>
      </c>
      <c r="BH222" t="s">
        <v>164</v>
      </c>
      <c r="BI222">
        <v>0.92</v>
      </c>
      <c r="BJ222" t="s">
        <v>164</v>
      </c>
      <c r="BK222" s="2">
        <f t="shared" si="7"/>
        <v>1.9999999999999907E-2</v>
      </c>
      <c r="BL222" t="b">
        <f t="shared" si="8"/>
        <v>1</v>
      </c>
    </row>
    <row r="223" spans="1:64" x14ac:dyDescent="0.35">
      <c r="A223" t="s">
        <v>645</v>
      </c>
      <c r="B223" t="s">
        <v>646</v>
      </c>
      <c r="C223">
        <v>2014</v>
      </c>
      <c r="D223" t="s">
        <v>647</v>
      </c>
      <c r="E223" t="s">
        <v>648</v>
      </c>
      <c r="F223" t="s">
        <v>66</v>
      </c>
      <c r="G223" t="s">
        <v>101</v>
      </c>
      <c r="H223" t="s">
        <v>162</v>
      </c>
      <c r="I223" t="s">
        <v>649</v>
      </c>
      <c r="J223" t="s">
        <v>70</v>
      </c>
      <c r="L223">
        <v>1</v>
      </c>
      <c r="M223" t="b">
        <v>0</v>
      </c>
      <c r="N223">
        <v>4</v>
      </c>
      <c r="O223">
        <v>1</v>
      </c>
      <c r="P223">
        <v>1</v>
      </c>
      <c r="Q223">
        <v>3</v>
      </c>
      <c r="R223">
        <v>-2</v>
      </c>
      <c r="S223">
        <v>2</v>
      </c>
      <c r="T223">
        <v>12</v>
      </c>
      <c r="U223">
        <v>120</v>
      </c>
      <c r="V223">
        <v>48</v>
      </c>
      <c r="W223">
        <v>11</v>
      </c>
      <c r="X223">
        <v>4.3636363636363633</v>
      </c>
      <c r="Y223">
        <v>1</v>
      </c>
      <c r="Z223">
        <v>24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</v>
      </c>
      <c r="AG223">
        <v>28</v>
      </c>
      <c r="AH223">
        <v>1</v>
      </c>
      <c r="AI223">
        <v>18</v>
      </c>
      <c r="AJ223">
        <v>1</v>
      </c>
      <c r="AK223">
        <v>3</v>
      </c>
      <c r="AL223">
        <v>2</v>
      </c>
      <c r="AM223">
        <v>21</v>
      </c>
      <c r="AN223">
        <v>4</v>
      </c>
      <c r="AO223">
        <v>52</v>
      </c>
      <c r="AP223">
        <v>1</v>
      </c>
      <c r="AQ223">
        <v>24</v>
      </c>
      <c r="AR223">
        <v>0.2</v>
      </c>
      <c r="AS223">
        <v>0</v>
      </c>
      <c r="AT223">
        <v>0</v>
      </c>
      <c r="AU223">
        <v>0.23333333333333331</v>
      </c>
      <c r="AV223">
        <v>0.15</v>
      </c>
      <c r="AW223">
        <v>0.17499999999999999</v>
      </c>
      <c r="AX223">
        <v>0.43333333333333329</v>
      </c>
      <c r="AY223">
        <v>0.2</v>
      </c>
      <c r="AZ223">
        <v>0.25833333333333341</v>
      </c>
      <c r="BA223">
        <v>0.16666666666666671</v>
      </c>
      <c r="BB223">
        <v>0.56060606060606055</v>
      </c>
      <c r="BC223">
        <v>6.6666666666666666E-2</v>
      </c>
      <c r="BD223">
        <v>0.78645833333333326</v>
      </c>
      <c r="BE223">
        <v>4</v>
      </c>
      <c r="BF223">
        <v>0.3950994318181818</v>
      </c>
      <c r="BG223">
        <v>0.42</v>
      </c>
      <c r="BH223" t="s">
        <v>71</v>
      </c>
      <c r="BI223">
        <v>0.4</v>
      </c>
      <c r="BJ223" t="s">
        <v>71</v>
      </c>
      <c r="BK223" s="2">
        <f t="shared" si="7"/>
        <v>1.9999999999999962E-2</v>
      </c>
      <c r="BL223" t="b">
        <f t="shared" si="8"/>
        <v>1</v>
      </c>
    </row>
    <row r="224" spans="1:64" x14ac:dyDescent="0.35">
      <c r="A224" t="s">
        <v>650</v>
      </c>
      <c r="B224" t="s">
        <v>646</v>
      </c>
      <c r="C224">
        <v>2018</v>
      </c>
      <c r="D224" t="s">
        <v>647</v>
      </c>
      <c r="E224" t="s">
        <v>648</v>
      </c>
      <c r="F224" t="s">
        <v>66</v>
      </c>
      <c r="G224" t="s">
        <v>101</v>
      </c>
      <c r="H224" t="s">
        <v>162</v>
      </c>
      <c r="I224" t="s">
        <v>649</v>
      </c>
      <c r="J224" t="s">
        <v>70</v>
      </c>
      <c r="L224">
        <v>1</v>
      </c>
      <c r="M224" t="b">
        <v>0</v>
      </c>
      <c r="N224">
        <v>4</v>
      </c>
      <c r="O224">
        <v>1</v>
      </c>
      <c r="P224">
        <v>1</v>
      </c>
      <c r="Q224">
        <v>1</v>
      </c>
      <c r="R224">
        <v>0</v>
      </c>
      <c r="S224">
        <v>3</v>
      </c>
      <c r="T224">
        <v>10</v>
      </c>
      <c r="U224">
        <v>42</v>
      </c>
      <c r="V224">
        <v>35</v>
      </c>
      <c r="W224">
        <v>8</v>
      </c>
      <c r="X224">
        <v>4.375</v>
      </c>
      <c r="Y224">
        <v>2</v>
      </c>
      <c r="Z224">
        <v>6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10</v>
      </c>
      <c r="AH224">
        <v>1</v>
      </c>
      <c r="AI224">
        <v>5</v>
      </c>
      <c r="AJ224">
        <v>0</v>
      </c>
      <c r="AK224">
        <v>0</v>
      </c>
      <c r="AL224">
        <v>1</v>
      </c>
      <c r="AM224">
        <v>5</v>
      </c>
      <c r="AN224">
        <v>4</v>
      </c>
      <c r="AO224">
        <v>16</v>
      </c>
      <c r="AP224">
        <v>2</v>
      </c>
      <c r="AQ224">
        <v>6</v>
      </c>
      <c r="AR224">
        <v>0.14285714285714279</v>
      </c>
      <c r="AS224">
        <v>0</v>
      </c>
      <c r="AT224">
        <v>0</v>
      </c>
      <c r="AU224">
        <v>0.23809523809523811</v>
      </c>
      <c r="AV224">
        <v>0.119047619047619</v>
      </c>
      <c r="AW224">
        <v>0.119047619047619</v>
      </c>
      <c r="AX224">
        <v>0.38095238095238088</v>
      </c>
      <c r="AY224">
        <v>0.14285714285714279</v>
      </c>
      <c r="AZ224">
        <v>0.26190476190476192</v>
      </c>
      <c r="BA224">
        <v>0.33333333333333331</v>
      </c>
      <c r="BB224">
        <v>0.5625</v>
      </c>
      <c r="BC224">
        <v>0.1333333333333333</v>
      </c>
      <c r="BD224">
        <v>0.78869047619047616</v>
      </c>
      <c r="BE224">
        <v>4</v>
      </c>
      <c r="BF224">
        <v>0.45446428571428571</v>
      </c>
      <c r="BG224">
        <v>0.48</v>
      </c>
      <c r="BH224" t="s">
        <v>71</v>
      </c>
      <c r="BI224">
        <v>0.45</v>
      </c>
      <c r="BJ224" t="s">
        <v>71</v>
      </c>
      <c r="BK224" s="2">
        <f t="shared" si="7"/>
        <v>2.9999999999999971E-2</v>
      </c>
      <c r="BL224" t="b">
        <f t="shared" si="8"/>
        <v>1</v>
      </c>
    </row>
    <row r="225" spans="1:64" x14ac:dyDescent="0.35">
      <c r="A225" t="s">
        <v>651</v>
      </c>
      <c r="B225" t="s">
        <v>646</v>
      </c>
      <c r="C225">
        <v>2021</v>
      </c>
      <c r="D225" t="s">
        <v>647</v>
      </c>
      <c r="E225" t="s">
        <v>648</v>
      </c>
      <c r="F225" t="s">
        <v>66</v>
      </c>
      <c r="G225" t="s">
        <v>101</v>
      </c>
      <c r="H225" t="s">
        <v>162</v>
      </c>
      <c r="I225" t="s">
        <v>649</v>
      </c>
      <c r="J225" t="s">
        <v>70</v>
      </c>
      <c r="L225">
        <v>1</v>
      </c>
      <c r="M225" t="b">
        <v>0</v>
      </c>
      <c r="N225">
        <v>1</v>
      </c>
      <c r="O225">
        <v>1</v>
      </c>
      <c r="P225">
        <v>3</v>
      </c>
      <c r="Q225">
        <v>3</v>
      </c>
      <c r="R225">
        <v>0</v>
      </c>
      <c r="S225">
        <v>4</v>
      </c>
      <c r="T225">
        <v>17</v>
      </c>
      <c r="U225">
        <v>58</v>
      </c>
      <c r="V225">
        <v>54</v>
      </c>
      <c r="W225">
        <v>12</v>
      </c>
      <c r="X225">
        <v>4.5</v>
      </c>
      <c r="Y225">
        <v>2</v>
      </c>
      <c r="Z225">
        <v>8</v>
      </c>
      <c r="AA225">
        <v>0</v>
      </c>
      <c r="AB225">
        <v>0</v>
      </c>
      <c r="AC225">
        <v>2</v>
      </c>
      <c r="AD225">
        <v>2</v>
      </c>
      <c r="AE225">
        <v>5</v>
      </c>
      <c r="AF225">
        <v>1</v>
      </c>
      <c r="AG225">
        <v>1</v>
      </c>
      <c r="AH225">
        <v>1</v>
      </c>
      <c r="AI225">
        <v>6</v>
      </c>
      <c r="AJ225">
        <v>2</v>
      </c>
      <c r="AK225">
        <v>13</v>
      </c>
      <c r="AL225">
        <v>3</v>
      </c>
      <c r="AM225">
        <v>19</v>
      </c>
      <c r="AN225">
        <v>3</v>
      </c>
      <c r="AO225">
        <v>9</v>
      </c>
      <c r="AP225">
        <v>4</v>
      </c>
      <c r="AQ225">
        <v>13</v>
      </c>
      <c r="AR225">
        <v>0.13793103448275859</v>
      </c>
      <c r="AS225">
        <v>0</v>
      </c>
      <c r="AT225">
        <v>8.6206896551724144E-2</v>
      </c>
      <c r="AU225">
        <v>1.7241379310344831E-2</v>
      </c>
      <c r="AV225">
        <v>0.10344827586206901</v>
      </c>
      <c r="AW225">
        <v>0.32758620689655171</v>
      </c>
      <c r="AX225">
        <v>0.15517241379310351</v>
      </c>
      <c r="AY225">
        <v>0.22413793103448279</v>
      </c>
      <c r="AZ225">
        <v>-0.17241379310344829</v>
      </c>
      <c r="BA225">
        <v>0.5</v>
      </c>
      <c r="BB225">
        <v>0.58333333333333337</v>
      </c>
      <c r="BC225">
        <v>0.26666666666666672</v>
      </c>
      <c r="BD225">
        <v>0.51724137931034475</v>
      </c>
      <c r="BE225">
        <v>4</v>
      </c>
      <c r="BF225">
        <v>0.46681034482758621</v>
      </c>
      <c r="BG225">
        <v>0.48</v>
      </c>
      <c r="BH225" t="s">
        <v>71</v>
      </c>
      <c r="BI225">
        <v>0.47</v>
      </c>
      <c r="BJ225" t="s">
        <v>71</v>
      </c>
      <c r="BK225" s="2">
        <f t="shared" si="7"/>
        <v>1.0000000000000009E-2</v>
      </c>
      <c r="BL225" t="b">
        <f t="shared" si="8"/>
        <v>1</v>
      </c>
    </row>
    <row r="226" spans="1:64" x14ac:dyDescent="0.35">
      <c r="A226" t="s">
        <v>652</v>
      </c>
      <c r="B226" t="s">
        <v>653</v>
      </c>
      <c r="C226">
        <v>2015</v>
      </c>
      <c r="D226" t="s">
        <v>654</v>
      </c>
      <c r="E226" t="s">
        <v>655</v>
      </c>
      <c r="F226" t="s">
        <v>66</v>
      </c>
      <c r="G226" t="s">
        <v>101</v>
      </c>
      <c r="H226" t="s">
        <v>162</v>
      </c>
      <c r="I226" t="s">
        <v>656</v>
      </c>
      <c r="J226" t="s">
        <v>70</v>
      </c>
      <c r="L226">
        <v>3</v>
      </c>
      <c r="M226" t="b">
        <v>0</v>
      </c>
      <c r="N226">
        <v>1</v>
      </c>
      <c r="O226">
        <v>3</v>
      </c>
      <c r="P226">
        <v>10</v>
      </c>
      <c r="Q226">
        <v>4</v>
      </c>
      <c r="R226">
        <v>6</v>
      </c>
      <c r="S226">
        <v>6</v>
      </c>
      <c r="T226">
        <v>35</v>
      </c>
      <c r="U226">
        <v>639</v>
      </c>
      <c r="V226">
        <v>166</v>
      </c>
      <c r="W226">
        <v>28</v>
      </c>
      <c r="X226">
        <v>5.9285714285714288</v>
      </c>
      <c r="Y226">
        <v>5</v>
      </c>
      <c r="Z226">
        <v>143</v>
      </c>
      <c r="AA226">
        <v>3</v>
      </c>
      <c r="AB226">
        <v>21</v>
      </c>
      <c r="AC226">
        <v>4</v>
      </c>
      <c r="AD226">
        <v>4</v>
      </c>
      <c r="AE226">
        <v>87</v>
      </c>
      <c r="AF226">
        <v>2</v>
      </c>
      <c r="AG226">
        <v>60</v>
      </c>
      <c r="AH226">
        <v>0</v>
      </c>
      <c r="AI226">
        <v>0</v>
      </c>
      <c r="AJ226">
        <v>3</v>
      </c>
      <c r="AK226">
        <v>14</v>
      </c>
      <c r="AL226">
        <v>3</v>
      </c>
      <c r="AM226">
        <v>14</v>
      </c>
      <c r="AN226">
        <v>10</v>
      </c>
      <c r="AO226">
        <v>224</v>
      </c>
      <c r="AP226">
        <v>12</v>
      </c>
      <c r="AQ226">
        <v>251</v>
      </c>
      <c r="AR226">
        <v>0.22378716744913929</v>
      </c>
      <c r="AS226">
        <v>3.2863849765258218E-2</v>
      </c>
      <c r="AT226">
        <v>0.136150234741784</v>
      </c>
      <c r="AU226">
        <v>9.3896713615023469E-2</v>
      </c>
      <c r="AV226">
        <v>0</v>
      </c>
      <c r="AW226">
        <v>2.1909233176838811E-2</v>
      </c>
      <c r="AX226">
        <v>0.35054773082942098</v>
      </c>
      <c r="AY226">
        <v>0.39280125195618149</v>
      </c>
      <c r="AZ226">
        <v>0.32863849765258218</v>
      </c>
      <c r="BA226">
        <v>0.83333333333333337</v>
      </c>
      <c r="BB226">
        <v>0.82142857142857151</v>
      </c>
      <c r="BC226">
        <v>0.8</v>
      </c>
      <c r="BD226">
        <v>0.83039906103286387</v>
      </c>
      <c r="BE226">
        <v>4</v>
      </c>
      <c r="BF226">
        <v>0.82129024144869223</v>
      </c>
      <c r="BG226">
        <v>0.82</v>
      </c>
      <c r="BH226" t="s">
        <v>164</v>
      </c>
      <c r="BI226">
        <v>0.82</v>
      </c>
      <c r="BJ226" t="s">
        <v>164</v>
      </c>
      <c r="BK226" s="2">
        <f t="shared" si="7"/>
        <v>0</v>
      </c>
      <c r="BL226" t="b">
        <f t="shared" si="8"/>
        <v>1</v>
      </c>
    </row>
    <row r="227" spans="1:64" x14ac:dyDescent="0.35">
      <c r="A227" t="s">
        <v>657</v>
      </c>
      <c r="B227" t="s">
        <v>653</v>
      </c>
      <c r="C227">
        <v>2018</v>
      </c>
      <c r="D227" t="s">
        <v>654</v>
      </c>
      <c r="E227" t="s">
        <v>655</v>
      </c>
      <c r="F227" t="s">
        <v>66</v>
      </c>
      <c r="G227" t="s">
        <v>101</v>
      </c>
      <c r="H227" t="s">
        <v>162</v>
      </c>
      <c r="I227" t="s">
        <v>656</v>
      </c>
      <c r="J227" t="s">
        <v>70</v>
      </c>
      <c r="L227">
        <v>3</v>
      </c>
      <c r="M227" t="b">
        <v>0</v>
      </c>
      <c r="N227">
        <v>1</v>
      </c>
      <c r="O227">
        <v>2</v>
      </c>
      <c r="P227">
        <v>7</v>
      </c>
      <c r="Q227">
        <v>2</v>
      </c>
      <c r="R227">
        <v>5</v>
      </c>
      <c r="S227">
        <v>6</v>
      </c>
      <c r="T227">
        <v>22</v>
      </c>
      <c r="U227">
        <v>122</v>
      </c>
      <c r="V227">
        <v>109</v>
      </c>
      <c r="W227">
        <v>17</v>
      </c>
      <c r="X227">
        <v>6.4117647058823533</v>
      </c>
      <c r="Y227">
        <v>3</v>
      </c>
      <c r="Z227">
        <v>27</v>
      </c>
      <c r="AA227">
        <v>1</v>
      </c>
      <c r="AB227">
        <v>2</v>
      </c>
      <c r="AC227">
        <v>2</v>
      </c>
      <c r="AD227">
        <v>2</v>
      </c>
      <c r="AE227">
        <v>11</v>
      </c>
      <c r="AF227">
        <v>2</v>
      </c>
      <c r="AG227">
        <v>8</v>
      </c>
      <c r="AH227">
        <v>0</v>
      </c>
      <c r="AI227">
        <v>0</v>
      </c>
      <c r="AJ227">
        <v>1</v>
      </c>
      <c r="AK227">
        <v>1</v>
      </c>
      <c r="AL227">
        <v>1</v>
      </c>
      <c r="AM227">
        <v>1</v>
      </c>
      <c r="AN227">
        <v>6</v>
      </c>
      <c r="AO227">
        <v>37</v>
      </c>
      <c r="AP227">
        <v>6</v>
      </c>
      <c r="AQ227">
        <v>40</v>
      </c>
      <c r="AR227">
        <v>0.22131147540983609</v>
      </c>
      <c r="AS227">
        <v>1.6393442622950821E-2</v>
      </c>
      <c r="AT227">
        <v>9.0163934426229511E-2</v>
      </c>
      <c r="AU227">
        <v>6.5573770491803282E-2</v>
      </c>
      <c r="AV227">
        <v>0</v>
      </c>
      <c r="AW227">
        <v>8.1967213114754103E-3</v>
      </c>
      <c r="AX227">
        <v>0.30327868852459022</v>
      </c>
      <c r="AY227">
        <v>0.32786885245901642</v>
      </c>
      <c r="AZ227">
        <v>0.29508196721311469</v>
      </c>
      <c r="BA227">
        <v>0.83333333333333337</v>
      </c>
      <c r="BB227">
        <v>0.90196078431372551</v>
      </c>
      <c r="BC227">
        <v>0.4</v>
      </c>
      <c r="BD227">
        <v>0.80942622950819665</v>
      </c>
      <c r="BE227">
        <v>4</v>
      </c>
      <c r="BF227">
        <v>0.73618008678881386</v>
      </c>
      <c r="BG227">
        <v>0.75</v>
      </c>
      <c r="BH227" t="s">
        <v>86</v>
      </c>
      <c r="BI227">
        <v>0.74</v>
      </c>
      <c r="BJ227" t="s">
        <v>86</v>
      </c>
      <c r="BK227" s="2">
        <f t="shared" si="7"/>
        <v>1.0000000000000009E-2</v>
      </c>
      <c r="BL227" t="b">
        <f t="shared" si="8"/>
        <v>1</v>
      </c>
    </row>
    <row r="228" spans="1:64" x14ac:dyDescent="0.35">
      <c r="A228" t="s">
        <v>658</v>
      </c>
      <c r="B228" t="s">
        <v>653</v>
      </c>
      <c r="C228">
        <v>2021</v>
      </c>
      <c r="D228" t="s">
        <v>654</v>
      </c>
      <c r="E228" t="s">
        <v>655</v>
      </c>
      <c r="F228" t="s">
        <v>66</v>
      </c>
      <c r="G228" t="s">
        <v>101</v>
      </c>
      <c r="H228" t="s">
        <v>162</v>
      </c>
      <c r="I228" t="s">
        <v>656</v>
      </c>
      <c r="J228" t="s">
        <v>70</v>
      </c>
      <c r="L228">
        <v>3</v>
      </c>
      <c r="M228" t="b">
        <v>0</v>
      </c>
      <c r="N228">
        <v>1</v>
      </c>
      <c r="O228">
        <v>2</v>
      </c>
      <c r="P228">
        <v>12</v>
      </c>
      <c r="Q228">
        <v>2</v>
      </c>
      <c r="R228">
        <v>10</v>
      </c>
      <c r="S228">
        <v>7</v>
      </c>
      <c r="T228">
        <v>39</v>
      </c>
      <c r="U228">
        <v>310</v>
      </c>
      <c r="V228">
        <v>175</v>
      </c>
      <c r="W228">
        <v>30</v>
      </c>
      <c r="X228">
        <v>5.833333333333333</v>
      </c>
      <c r="Y228">
        <v>5</v>
      </c>
      <c r="Z228">
        <v>24</v>
      </c>
      <c r="AA228">
        <v>1</v>
      </c>
      <c r="AB228">
        <v>12</v>
      </c>
      <c r="AC228">
        <v>4</v>
      </c>
      <c r="AD228">
        <v>4</v>
      </c>
      <c r="AE228">
        <v>35</v>
      </c>
      <c r="AF228">
        <v>4</v>
      </c>
      <c r="AG228">
        <v>62</v>
      </c>
      <c r="AH228">
        <v>0</v>
      </c>
      <c r="AI228">
        <v>0</v>
      </c>
      <c r="AJ228">
        <v>3</v>
      </c>
      <c r="AK228">
        <v>8</v>
      </c>
      <c r="AL228">
        <v>3</v>
      </c>
      <c r="AM228">
        <v>8</v>
      </c>
      <c r="AN228">
        <v>10</v>
      </c>
      <c r="AO228">
        <v>98</v>
      </c>
      <c r="AP228">
        <v>10</v>
      </c>
      <c r="AQ228">
        <v>71</v>
      </c>
      <c r="AR228">
        <v>7.7419354838709681E-2</v>
      </c>
      <c r="AS228">
        <v>3.870967741935484E-2</v>
      </c>
      <c r="AT228">
        <v>0.1129032258064516</v>
      </c>
      <c r="AU228">
        <v>0.2</v>
      </c>
      <c r="AV228">
        <v>0</v>
      </c>
      <c r="AW228">
        <v>2.5806451612903229E-2</v>
      </c>
      <c r="AX228">
        <v>0.31612903225806449</v>
      </c>
      <c r="AY228">
        <v>0.2290322580645161</v>
      </c>
      <c r="AZ228">
        <v>0.29032258064516131</v>
      </c>
      <c r="BA228">
        <v>1</v>
      </c>
      <c r="BB228">
        <v>0.80555555555555547</v>
      </c>
      <c r="BC228">
        <v>0.66666666666666663</v>
      </c>
      <c r="BD228">
        <v>0.80645161290322576</v>
      </c>
      <c r="BE228">
        <v>4</v>
      </c>
      <c r="BF228">
        <v>0.81966845878136196</v>
      </c>
      <c r="BG228">
        <v>0.78</v>
      </c>
      <c r="BH228" t="s">
        <v>86</v>
      </c>
      <c r="BI228">
        <v>0.82</v>
      </c>
      <c r="BJ228" t="s">
        <v>164</v>
      </c>
      <c r="BK228" s="2">
        <f t="shared" si="7"/>
        <v>-3.9999999999999925E-2</v>
      </c>
      <c r="BL228" t="b">
        <f t="shared" si="8"/>
        <v>0</v>
      </c>
    </row>
    <row r="229" spans="1:64" x14ac:dyDescent="0.35">
      <c r="A229" t="s">
        <v>659</v>
      </c>
      <c r="B229" t="s">
        <v>660</v>
      </c>
      <c r="C229">
        <v>2015</v>
      </c>
      <c r="D229" t="s">
        <v>661</v>
      </c>
      <c r="E229" t="s">
        <v>662</v>
      </c>
      <c r="F229" t="s">
        <v>66</v>
      </c>
      <c r="G229" t="s">
        <v>67</v>
      </c>
      <c r="H229" t="s">
        <v>84</v>
      </c>
      <c r="I229" t="s">
        <v>663</v>
      </c>
      <c r="J229" t="s">
        <v>70</v>
      </c>
      <c r="L229">
        <v>1</v>
      </c>
      <c r="M229" t="b">
        <v>0</v>
      </c>
      <c r="N229">
        <v>3</v>
      </c>
      <c r="O229">
        <v>2</v>
      </c>
      <c r="P229">
        <v>6</v>
      </c>
      <c r="Q229">
        <v>4</v>
      </c>
      <c r="R229">
        <v>2</v>
      </c>
      <c r="S229">
        <v>4</v>
      </c>
      <c r="T229">
        <v>27</v>
      </c>
      <c r="U229">
        <v>393</v>
      </c>
      <c r="V229">
        <v>109</v>
      </c>
      <c r="W229">
        <v>19</v>
      </c>
      <c r="X229">
        <v>5.7368421052631584</v>
      </c>
      <c r="Y229">
        <v>2</v>
      </c>
      <c r="Z229">
        <v>128</v>
      </c>
      <c r="AA229">
        <v>0</v>
      </c>
      <c r="AB229">
        <v>0</v>
      </c>
      <c r="AC229">
        <v>5</v>
      </c>
      <c r="AD229">
        <v>5</v>
      </c>
      <c r="AE229">
        <v>14</v>
      </c>
      <c r="AF229">
        <v>4</v>
      </c>
      <c r="AG229">
        <v>7</v>
      </c>
      <c r="AH229">
        <v>1</v>
      </c>
      <c r="AI229">
        <v>201</v>
      </c>
      <c r="AJ229">
        <v>4</v>
      </c>
      <c r="AK229">
        <v>10</v>
      </c>
      <c r="AL229">
        <v>5</v>
      </c>
      <c r="AM229">
        <v>211</v>
      </c>
      <c r="AN229">
        <v>6</v>
      </c>
      <c r="AO229">
        <v>135</v>
      </c>
      <c r="AP229">
        <v>7</v>
      </c>
      <c r="AQ229">
        <v>142</v>
      </c>
      <c r="AR229">
        <v>0.32569974554707382</v>
      </c>
      <c r="AS229">
        <v>0</v>
      </c>
      <c r="AT229">
        <v>3.5623409669211202E-2</v>
      </c>
      <c r="AU229">
        <v>1.7811704834605601E-2</v>
      </c>
      <c r="AV229">
        <v>0.51145038167938928</v>
      </c>
      <c r="AW229">
        <v>0.53689567430025442</v>
      </c>
      <c r="AX229">
        <v>0.34351145038167941</v>
      </c>
      <c r="AY229">
        <v>0.361323155216285</v>
      </c>
      <c r="AZ229">
        <v>-0.19338422391857499</v>
      </c>
      <c r="BA229">
        <v>0.5</v>
      </c>
      <c r="BB229">
        <v>0.78947368421052644</v>
      </c>
      <c r="BC229">
        <v>0.46666666666666667</v>
      </c>
      <c r="BD229">
        <v>0.50413486005089059</v>
      </c>
      <c r="BE229">
        <v>4</v>
      </c>
      <c r="BF229">
        <v>0.56506880273202098</v>
      </c>
      <c r="BG229">
        <v>0.67</v>
      </c>
      <c r="BH229" t="s">
        <v>86</v>
      </c>
      <c r="BI229">
        <v>0.56999999999999995</v>
      </c>
      <c r="BJ229" t="s">
        <v>71</v>
      </c>
      <c r="BK229" s="2">
        <f t="shared" si="7"/>
        <v>0.10000000000000009</v>
      </c>
      <c r="BL229" t="b">
        <f t="shared" si="8"/>
        <v>0</v>
      </c>
    </row>
    <row r="230" spans="1:64" x14ac:dyDescent="0.35">
      <c r="A230" t="s">
        <v>664</v>
      </c>
      <c r="B230" t="s">
        <v>660</v>
      </c>
      <c r="C230">
        <v>2018</v>
      </c>
      <c r="D230" t="s">
        <v>661</v>
      </c>
      <c r="E230" t="s">
        <v>662</v>
      </c>
      <c r="F230" t="s">
        <v>66</v>
      </c>
      <c r="G230" t="s">
        <v>67</v>
      </c>
      <c r="H230" t="s">
        <v>84</v>
      </c>
      <c r="I230" t="s">
        <v>663</v>
      </c>
      <c r="J230" t="s">
        <v>70</v>
      </c>
      <c r="L230">
        <v>1</v>
      </c>
      <c r="M230" t="b">
        <v>0</v>
      </c>
      <c r="N230">
        <v>4</v>
      </c>
      <c r="O230">
        <v>2</v>
      </c>
      <c r="P230">
        <v>2</v>
      </c>
      <c r="Q230">
        <v>2</v>
      </c>
      <c r="R230">
        <v>0</v>
      </c>
      <c r="S230">
        <v>3</v>
      </c>
      <c r="T230">
        <v>10</v>
      </c>
      <c r="U230">
        <v>19</v>
      </c>
      <c r="V230">
        <v>51</v>
      </c>
      <c r="W230">
        <v>10</v>
      </c>
      <c r="X230">
        <v>5.0999999999999996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8</v>
      </c>
      <c r="AJ230">
        <v>2</v>
      </c>
      <c r="AK230">
        <v>2</v>
      </c>
      <c r="AL230">
        <v>3</v>
      </c>
      <c r="AM230">
        <v>10</v>
      </c>
      <c r="AN230">
        <v>1</v>
      </c>
      <c r="AO230">
        <v>1</v>
      </c>
      <c r="AP230">
        <v>1</v>
      </c>
      <c r="AQ230">
        <v>1</v>
      </c>
      <c r="AR230">
        <v>0</v>
      </c>
      <c r="AS230">
        <v>0</v>
      </c>
      <c r="AT230">
        <v>5.2631578947368418E-2</v>
      </c>
      <c r="AU230">
        <v>5.2631578947368418E-2</v>
      </c>
      <c r="AV230">
        <v>0.42105263157894729</v>
      </c>
      <c r="AW230">
        <v>0.52631578947368418</v>
      </c>
      <c r="AX230">
        <v>5.2631578947368418E-2</v>
      </c>
      <c r="AY230">
        <v>5.2631578947368418E-2</v>
      </c>
      <c r="AZ230">
        <v>-0.47368421052631582</v>
      </c>
      <c r="BA230">
        <v>0.33333333333333331</v>
      </c>
      <c r="BB230">
        <v>0.68333333333333324</v>
      </c>
      <c r="BC230">
        <v>6.6666666666666666E-2</v>
      </c>
      <c r="BD230">
        <v>0.3289473684210526</v>
      </c>
      <c r="BE230">
        <v>4</v>
      </c>
      <c r="BF230">
        <v>0.35307017543859648</v>
      </c>
      <c r="BG230">
        <v>0.41</v>
      </c>
      <c r="BH230" t="s">
        <v>71</v>
      </c>
      <c r="BI230">
        <v>0.35</v>
      </c>
      <c r="BJ230" t="s">
        <v>104</v>
      </c>
      <c r="BK230" s="2">
        <f t="shared" si="7"/>
        <v>0.06</v>
      </c>
      <c r="BL230" t="b">
        <f t="shared" si="8"/>
        <v>0</v>
      </c>
    </row>
    <row r="231" spans="1:64" x14ac:dyDescent="0.35">
      <c r="A231" t="s">
        <v>665</v>
      </c>
      <c r="B231" t="s">
        <v>660</v>
      </c>
      <c r="C231">
        <v>2021</v>
      </c>
      <c r="D231" t="s">
        <v>661</v>
      </c>
      <c r="E231" t="s">
        <v>662</v>
      </c>
      <c r="F231" t="s">
        <v>66</v>
      </c>
      <c r="G231" t="s">
        <v>67</v>
      </c>
      <c r="H231" t="s">
        <v>84</v>
      </c>
      <c r="I231" t="s">
        <v>663</v>
      </c>
      <c r="J231" t="s">
        <v>70</v>
      </c>
      <c r="L231">
        <v>1</v>
      </c>
      <c r="M231" t="b">
        <v>0</v>
      </c>
      <c r="N231">
        <v>1</v>
      </c>
      <c r="O231">
        <v>1</v>
      </c>
      <c r="P231">
        <v>5</v>
      </c>
      <c r="Q231">
        <v>2</v>
      </c>
      <c r="R231">
        <v>3</v>
      </c>
      <c r="S231">
        <v>4</v>
      </c>
      <c r="T231">
        <v>19</v>
      </c>
      <c r="U231">
        <v>255</v>
      </c>
      <c r="V231">
        <v>63</v>
      </c>
      <c r="W231">
        <v>13</v>
      </c>
      <c r="X231">
        <v>4.8461538461538458</v>
      </c>
      <c r="Y231">
        <v>3</v>
      </c>
      <c r="Z231">
        <v>25</v>
      </c>
      <c r="AA231">
        <v>0</v>
      </c>
      <c r="AB231">
        <v>0</v>
      </c>
      <c r="AC231">
        <v>4</v>
      </c>
      <c r="AD231">
        <v>4</v>
      </c>
      <c r="AE231">
        <v>29</v>
      </c>
      <c r="AF231">
        <v>1</v>
      </c>
      <c r="AG231">
        <v>5</v>
      </c>
      <c r="AH231">
        <v>2</v>
      </c>
      <c r="AI231">
        <v>59</v>
      </c>
      <c r="AJ231">
        <v>1</v>
      </c>
      <c r="AK231">
        <v>9</v>
      </c>
      <c r="AL231">
        <v>3</v>
      </c>
      <c r="AM231">
        <v>68</v>
      </c>
      <c r="AN231">
        <v>4</v>
      </c>
      <c r="AO231">
        <v>30</v>
      </c>
      <c r="AP231">
        <v>7</v>
      </c>
      <c r="AQ231">
        <v>54</v>
      </c>
      <c r="AR231">
        <v>9.8039215686274508E-2</v>
      </c>
      <c r="AS231">
        <v>0</v>
      </c>
      <c r="AT231">
        <v>0.1137254901960784</v>
      </c>
      <c r="AU231">
        <v>1.9607843137254902E-2</v>
      </c>
      <c r="AV231">
        <v>0.23137254901960791</v>
      </c>
      <c r="AW231">
        <v>0.26666666666666672</v>
      </c>
      <c r="AX231">
        <v>0.1176470588235294</v>
      </c>
      <c r="AY231">
        <v>0.21176470588235291</v>
      </c>
      <c r="AZ231">
        <v>-0.14901960784313731</v>
      </c>
      <c r="BA231">
        <v>0.5</v>
      </c>
      <c r="BB231">
        <v>0.64102564102564097</v>
      </c>
      <c r="BC231">
        <v>0.46666666666666667</v>
      </c>
      <c r="BD231">
        <v>0.53186274509803921</v>
      </c>
      <c r="BE231">
        <v>4</v>
      </c>
      <c r="BF231">
        <v>0.53488876319758671</v>
      </c>
      <c r="BG231">
        <v>0.56999999999999995</v>
      </c>
      <c r="BH231" t="s">
        <v>71</v>
      </c>
      <c r="BI231">
        <v>0.53</v>
      </c>
      <c r="BJ231" t="s">
        <v>71</v>
      </c>
      <c r="BK231" s="2">
        <f t="shared" si="7"/>
        <v>3.9999999999999925E-2</v>
      </c>
      <c r="BL231" t="b">
        <f t="shared" si="8"/>
        <v>1</v>
      </c>
    </row>
    <row r="232" spans="1:64" x14ac:dyDescent="0.35">
      <c r="A232" t="s">
        <v>666</v>
      </c>
      <c r="B232" t="s">
        <v>667</v>
      </c>
      <c r="C232">
        <v>2019</v>
      </c>
      <c r="D232" t="s">
        <v>668</v>
      </c>
      <c r="E232" t="s">
        <v>669</v>
      </c>
      <c r="F232" t="s">
        <v>66</v>
      </c>
      <c r="G232" t="s">
        <v>67</v>
      </c>
      <c r="H232" t="s">
        <v>84</v>
      </c>
      <c r="I232" t="s">
        <v>670</v>
      </c>
      <c r="J232" t="s">
        <v>70</v>
      </c>
      <c r="L232">
        <v>1</v>
      </c>
      <c r="M232" t="b">
        <v>0</v>
      </c>
      <c r="N232">
        <v>1</v>
      </c>
      <c r="O232">
        <v>1</v>
      </c>
      <c r="P232">
        <v>3</v>
      </c>
      <c r="Q232">
        <v>2</v>
      </c>
      <c r="R232">
        <v>1</v>
      </c>
      <c r="S232">
        <v>4</v>
      </c>
      <c r="T232">
        <v>12</v>
      </c>
      <c r="U232">
        <v>58</v>
      </c>
      <c r="V232">
        <v>47</v>
      </c>
      <c r="W232">
        <v>11</v>
      </c>
      <c r="X232">
        <v>4.2727272727272716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8</v>
      </c>
      <c r="AF232">
        <v>2</v>
      </c>
      <c r="AG232">
        <v>2</v>
      </c>
      <c r="AH232">
        <v>1</v>
      </c>
      <c r="AI232">
        <v>1</v>
      </c>
      <c r="AJ232">
        <v>1</v>
      </c>
      <c r="AK232">
        <v>5</v>
      </c>
      <c r="AL232">
        <v>2</v>
      </c>
      <c r="AM232">
        <v>6</v>
      </c>
      <c r="AN232">
        <v>2</v>
      </c>
      <c r="AO232">
        <v>2</v>
      </c>
      <c r="AP232">
        <v>1</v>
      </c>
      <c r="AQ232">
        <v>8</v>
      </c>
      <c r="AR232">
        <v>0</v>
      </c>
      <c r="AS232">
        <v>0</v>
      </c>
      <c r="AT232">
        <v>0.13793103448275859</v>
      </c>
      <c r="AU232">
        <v>3.4482758620689648E-2</v>
      </c>
      <c r="AV232">
        <v>1.7241379310344831E-2</v>
      </c>
      <c r="AW232">
        <v>0.10344827586206901</v>
      </c>
      <c r="AX232">
        <v>3.4482758620689648E-2</v>
      </c>
      <c r="AY232">
        <v>0.13793103448275859</v>
      </c>
      <c r="AZ232">
        <v>-6.8965517241379309E-2</v>
      </c>
      <c r="BA232">
        <v>0.5</v>
      </c>
      <c r="BB232">
        <v>0.5454545454545453</v>
      </c>
      <c r="BC232">
        <v>6.6666666666666666E-2</v>
      </c>
      <c r="BD232">
        <v>0.5818965517241379</v>
      </c>
      <c r="BE232">
        <v>4</v>
      </c>
      <c r="BF232">
        <v>0.42350444096133749</v>
      </c>
      <c r="BG232">
        <v>0.43</v>
      </c>
      <c r="BH232" t="s">
        <v>71</v>
      </c>
      <c r="BI232">
        <v>0.42</v>
      </c>
      <c r="BJ232" t="s">
        <v>71</v>
      </c>
      <c r="BK232" s="2">
        <f t="shared" si="7"/>
        <v>1.0000000000000009E-2</v>
      </c>
      <c r="BL232" t="b">
        <f t="shared" si="8"/>
        <v>1</v>
      </c>
    </row>
    <row r="233" spans="1:64" x14ac:dyDescent="0.35">
      <c r="A233" t="s">
        <v>671</v>
      </c>
      <c r="B233" t="s">
        <v>672</v>
      </c>
      <c r="C233">
        <v>2018</v>
      </c>
      <c r="D233" t="s">
        <v>673</v>
      </c>
      <c r="E233" t="s">
        <v>674</v>
      </c>
      <c r="F233" t="s">
        <v>66</v>
      </c>
      <c r="G233" t="s">
        <v>67</v>
      </c>
      <c r="H233" t="s">
        <v>84</v>
      </c>
      <c r="I233" t="s">
        <v>675</v>
      </c>
      <c r="J233" t="s">
        <v>70</v>
      </c>
      <c r="L233">
        <v>1</v>
      </c>
      <c r="M233" t="b">
        <v>0</v>
      </c>
      <c r="N233">
        <v>3</v>
      </c>
      <c r="O233">
        <v>1</v>
      </c>
      <c r="P233">
        <v>2</v>
      </c>
      <c r="Q233">
        <v>4</v>
      </c>
      <c r="R233">
        <v>-2</v>
      </c>
      <c r="S233">
        <v>3</v>
      </c>
      <c r="T233">
        <v>10</v>
      </c>
      <c r="U233">
        <v>42</v>
      </c>
      <c r="V233">
        <v>32</v>
      </c>
      <c r="W233">
        <v>8</v>
      </c>
      <c r="X233">
        <v>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</v>
      </c>
      <c r="AI233">
        <v>7</v>
      </c>
      <c r="AJ233">
        <v>3</v>
      </c>
      <c r="AK233">
        <v>4</v>
      </c>
      <c r="AL233">
        <v>5</v>
      </c>
      <c r="AM233">
        <v>11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0.16666666666666671</v>
      </c>
      <c r="AW233">
        <v>0.26190476190476192</v>
      </c>
      <c r="AX233">
        <v>0</v>
      </c>
      <c r="AY233">
        <v>0</v>
      </c>
      <c r="AZ233">
        <v>-0.26190476190476192</v>
      </c>
      <c r="BA233">
        <v>0.33333333333333331</v>
      </c>
      <c r="BB233">
        <v>0.5</v>
      </c>
      <c r="BC233">
        <v>0</v>
      </c>
      <c r="BD233">
        <v>0.46130952380952378</v>
      </c>
      <c r="BE233">
        <v>4</v>
      </c>
      <c r="BF233">
        <v>0.3236607142857143</v>
      </c>
      <c r="BG233">
        <v>0.35</v>
      </c>
      <c r="BH233" t="s">
        <v>104</v>
      </c>
      <c r="BI233">
        <v>0.32</v>
      </c>
      <c r="BJ233" t="s">
        <v>104</v>
      </c>
      <c r="BK233" s="2">
        <f t="shared" si="7"/>
        <v>2.9999999999999971E-2</v>
      </c>
      <c r="BL233" t="b">
        <f t="shared" si="8"/>
        <v>1</v>
      </c>
    </row>
    <row r="234" spans="1:64" x14ac:dyDescent="0.35">
      <c r="A234" t="s">
        <v>676</v>
      </c>
      <c r="B234" t="s">
        <v>672</v>
      </c>
      <c r="C234">
        <v>2021</v>
      </c>
      <c r="D234" t="s">
        <v>673</v>
      </c>
      <c r="E234" t="s">
        <v>674</v>
      </c>
      <c r="F234" t="s">
        <v>66</v>
      </c>
      <c r="G234" t="s">
        <v>67</v>
      </c>
      <c r="H234" t="s">
        <v>84</v>
      </c>
      <c r="I234" t="s">
        <v>675</v>
      </c>
      <c r="J234" t="s">
        <v>70</v>
      </c>
      <c r="L234">
        <v>1</v>
      </c>
      <c r="M234" t="b">
        <v>0</v>
      </c>
      <c r="N234">
        <v>3</v>
      </c>
      <c r="O234">
        <v>2</v>
      </c>
      <c r="P234">
        <v>4</v>
      </c>
      <c r="Q234">
        <v>4</v>
      </c>
      <c r="R234">
        <v>0</v>
      </c>
      <c r="S234">
        <v>4</v>
      </c>
      <c r="T234">
        <v>26</v>
      </c>
      <c r="U234">
        <v>379</v>
      </c>
      <c r="V234">
        <v>90</v>
      </c>
      <c r="W234">
        <v>19</v>
      </c>
      <c r="X234">
        <v>4.7368421052631584</v>
      </c>
      <c r="Y234">
        <v>0</v>
      </c>
      <c r="Z234">
        <v>0</v>
      </c>
      <c r="AA234">
        <v>0</v>
      </c>
      <c r="AB234">
        <v>0</v>
      </c>
      <c r="AC234">
        <v>4</v>
      </c>
      <c r="AD234">
        <v>4</v>
      </c>
      <c r="AE234">
        <v>103</v>
      </c>
      <c r="AF234">
        <v>2</v>
      </c>
      <c r="AG234">
        <v>2</v>
      </c>
      <c r="AH234">
        <v>2</v>
      </c>
      <c r="AI234">
        <v>53</v>
      </c>
      <c r="AJ234">
        <v>1</v>
      </c>
      <c r="AK234">
        <v>4</v>
      </c>
      <c r="AL234">
        <v>3</v>
      </c>
      <c r="AM234">
        <v>57</v>
      </c>
      <c r="AN234">
        <v>2</v>
      </c>
      <c r="AO234">
        <v>2</v>
      </c>
      <c r="AP234">
        <v>4</v>
      </c>
      <c r="AQ234">
        <v>103</v>
      </c>
      <c r="AR234">
        <v>0</v>
      </c>
      <c r="AS234">
        <v>0</v>
      </c>
      <c r="AT234">
        <v>0.27176781002638523</v>
      </c>
      <c r="AU234">
        <v>5.2770448548812663E-3</v>
      </c>
      <c r="AV234">
        <v>0.13984168865435359</v>
      </c>
      <c r="AW234">
        <v>0.15039577836411611</v>
      </c>
      <c r="AX234">
        <v>5.2770448548812663E-3</v>
      </c>
      <c r="AY234">
        <v>0.27176781002638523</v>
      </c>
      <c r="AZ234">
        <v>-0.14511873350923479</v>
      </c>
      <c r="BA234">
        <v>0.5</v>
      </c>
      <c r="BB234">
        <v>0.6228070175438597</v>
      </c>
      <c r="BC234">
        <v>0.26666666666666672</v>
      </c>
      <c r="BD234">
        <v>0.53430079155672827</v>
      </c>
      <c r="BE234">
        <v>4</v>
      </c>
      <c r="BF234">
        <v>0.48094361894181359</v>
      </c>
      <c r="BG234">
        <v>0.46</v>
      </c>
      <c r="BH234" t="s">
        <v>71</v>
      </c>
      <c r="BI234">
        <v>0.48</v>
      </c>
      <c r="BJ234" t="s">
        <v>71</v>
      </c>
      <c r="BK234" s="2">
        <f t="shared" si="7"/>
        <v>-1.9999999999999962E-2</v>
      </c>
      <c r="BL234" t="b">
        <f t="shared" si="8"/>
        <v>1</v>
      </c>
    </row>
    <row r="235" spans="1:64" x14ac:dyDescent="0.35">
      <c r="A235" t="s">
        <v>677</v>
      </c>
      <c r="B235" t="s">
        <v>678</v>
      </c>
      <c r="C235">
        <v>2014</v>
      </c>
      <c r="D235" t="s">
        <v>679</v>
      </c>
      <c r="E235" t="s">
        <v>680</v>
      </c>
      <c r="F235" t="s">
        <v>66</v>
      </c>
      <c r="G235" t="s">
        <v>67</v>
      </c>
      <c r="H235" t="s">
        <v>68</v>
      </c>
      <c r="I235" t="s">
        <v>68</v>
      </c>
      <c r="J235" t="s">
        <v>70</v>
      </c>
      <c r="L235">
        <v>2</v>
      </c>
      <c r="M235" t="b">
        <v>0</v>
      </c>
      <c r="N235">
        <v>1</v>
      </c>
      <c r="O235">
        <v>2</v>
      </c>
      <c r="P235">
        <v>7</v>
      </c>
      <c r="Q235">
        <v>5</v>
      </c>
      <c r="R235">
        <v>2</v>
      </c>
      <c r="S235">
        <v>5</v>
      </c>
      <c r="T235">
        <v>35</v>
      </c>
      <c r="U235">
        <v>588</v>
      </c>
      <c r="V235">
        <v>148</v>
      </c>
      <c r="W235">
        <v>27</v>
      </c>
      <c r="X235">
        <v>5.4814814814814818</v>
      </c>
      <c r="Y235">
        <v>5</v>
      </c>
      <c r="Z235">
        <v>62</v>
      </c>
      <c r="AA235">
        <v>0</v>
      </c>
      <c r="AB235">
        <v>0</v>
      </c>
      <c r="AC235">
        <v>2</v>
      </c>
      <c r="AD235">
        <v>2</v>
      </c>
      <c r="AE235">
        <v>68</v>
      </c>
      <c r="AF235">
        <v>3</v>
      </c>
      <c r="AG235">
        <v>10</v>
      </c>
      <c r="AH235">
        <v>2</v>
      </c>
      <c r="AI235">
        <v>68</v>
      </c>
      <c r="AJ235">
        <v>2</v>
      </c>
      <c r="AK235">
        <v>18</v>
      </c>
      <c r="AL235">
        <v>4</v>
      </c>
      <c r="AM235">
        <v>86</v>
      </c>
      <c r="AN235">
        <v>8</v>
      </c>
      <c r="AO235">
        <v>72</v>
      </c>
      <c r="AP235">
        <v>7</v>
      </c>
      <c r="AQ235">
        <v>130</v>
      </c>
      <c r="AR235">
        <v>0.10544217687074831</v>
      </c>
      <c r="AS235">
        <v>0</v>
      </c>
      <c r="AT235">
        <v>0.11564625850340141</v>
      </c>
      <c r="AU235">
        <v>1.700680272108844E-2</v>
      </c>
      <c r="AV235">
        <v>0.11564625850340141</v>
      </c>
      <c r="AW235">
        <v>0.14625850340136051</v>
      </c>
      <c r="AX235">
        <v>0.1224489795918367</v>
      </c>
      <c r="AY235">
        <v>0.22108843537414971</v>
      </c>
      <c r="AZ235">
        <v>-2.3809523809523812E-2</v>
      </c>
      <c r="BA235">
        <v>0.66666666666666663</v>
      </c>
      <c r="BB235">
        <v>0.74691358024691368</v>
      </c>
      <c r="BC235">
        <v>0.46666666666666667</v>
      </c>
      <c r="BD235">
        <v>0.61011904761904756</v>
      </c>
      <c r="BE235">
        <v>4</v>
      </c>
      <c r="BF235">
        <v>0.62259149029982364</v>
      </c>
      <c r="BG235">
        <v>0.6</v>
      </c>
      <c r="BH235" t="s">
        <v>86</v>
      </c>
      <c r="BI235">
        <v>0.62</v>
      </c>
      <c r="BJ235" t="s">
        <v>86</v>
      </c>
      <c r="BK235" s="2">
        <f t="shared" si="7"/>
        <v>-2.0000000000000018E-2</v>
      </c>
      <c r="BL235" t="b">
        <f t="shared" si="8"/>
        <v>1</v>
      </c>
    </row>
    <row r="236" spans="1:64" x14ac:dyDescent="0.35">
      <c r="A236" t="s">
        <v>681</v>
      </c>
      <c r="B236" t="s">
        <v>678</v>
      </c>
      <c r="C236">
        <v>2017</v>
      </c>
      <c r="D236" t="s">
        <v>679</v>
      </c>
      <c r="E236" t="s">
        <v>680</v>
      </c>
      <c r="F236" t="s">
        <v>66</v>
      </c>
      <c r="G236" t="s">
        <v>67</v>
      </c>
      <c r="H236" t="s">
        <v>68</v>
      </c>
      <c r="I236" t="s">
        <v>68</v>
      </c>
      <c r="J236" t="s">
        <v>70</v>
      </c>
      <c r="L236">
        <v>2</v>
      </c>
      <c r="M236" t="b">
        <v>0</v>
      </c>
      <c r="N236">
        <v>1</v>
      </c>
      <c r="O236">
        <v>1</v>
      </c>
      <c r="P236">
        <v>6</v>
      </c>
      <c r="Q236">
        <v>2</v>
      </c>
      <c r="R236">
        <v>4</v>
      </c>
      <c r="S236">
        <v>5</v>
      </c>
      <c r="T236">
        <v>28</v>
      </c>
      <c r="U236">
        <v>199</v>
      </c>
      <c r="V236">
        <v>114</v>
      </c>
      <c r="W236">
        <v>21</v>
      </c>
      <c r="X236">
        <v>5.4285714285714288</v>
      </c>
      <c r="Y236">
        <v>5</v>
      </c>
      <c r="Z236">
        <v>59</v>
      </c>
      <c r="AA236">
        <v>0</v>
      </c>
      <c r="AB236">
        <v>0</v>
      </c>
      <c r="AC236">
        <v>2</v>
      </c>
      <c r="AD236">
        <v>2</v>
      </c>
      <c r="AE236">
        <v>36</v>
      </c>
      <c r="AF236">
        <v>2</v>
      </c>
      <c r="AG236">
        <v>5</v>
      </c>
      <c r="AH236">
        <v>3</v>
      </c>
      <c r="AI236">
        <v>27</v>
      </c>
      <c r="AJ236">
        <v>1</v>
      </c>
      <c r="AK236">
        <v>1</v>
      </c>
      <c r="AL236">
        <v>4</v>
      </c>
      <c r="AM236">
        <v>28</v>
      </c>
      <c r="AN236">
        <v>7</v>
      </c>
      <c r="AO236">
        <v>64</v>
      </c>
      <c r="AP236">
        <v>7</v>
      </c>
      <c r="AQ236">
        <v>95</v>
      </c>
      <c r="AR236">
        <v>0.29648241206030151</v>
      </c>
      <c r="AS236">
        <v>0</v>
      </c>
      <c r="AT236">
        <v>0.18090452261306531</v>
      </c>
      <c r="AU236">
        <v>2.5125628140703519E-2</v>
      </c>
      <c r="AV236">
        <v>0.135678391959799</v>
      </c>
      <c r="AW236">
        <v>0.1407035175879397</v>
      </c>
      <c r="AX236">
        <v>0.32160804020100497</v>
      </c>
      <c r="AY236">
        <v>0.47738693467336679</v>
      </c>
      <c r="AZ236">
        <v>0.18090452261306531</v>
      </c>
      <c r="BA236">
        <v>0.66666666666666663</v>
      </c>
      <c r="BB236">
        <v>0.73809523809523814</v>
      </c>
      <c r="BC236">
        <v>0.46666666666666667</v>
      </c>
      <c r="BD236">
        <v>0.73806532663316571</v>
      </c>
      <c r="BE236">
        <v>4</v>
      </c>
      <c r="BF236">
        <v>0.65237347451543426</v>
      </c>
      <c r="BG236">
        <v>0.67</v>
      </c>
      <c r="BH236" t="s">
        <v>86</v>
      </c>
      <c r="BI236">
        <v>0.65</v>
      </c>
      <c r="BJ236" t="s">
        <v>86</v>
      </c>
      <c r="BK236" s="2">
        <f t="shared" si="7"/>
        <v>2.0000000000000018E-2</v>
      </c>
      <c r="BL236" t="b">
        <f t="shared" si="8"/>
        <v>1</v>
      </c>
    </row>
    <row r="237" spans="1:64" x14ac:dyDescent="0.35">
      <c r="A237" t="s">
        <v>682</v>
      </c>
      <c r="B237" t="s">
        <v>678</v>
      </c>
      <c r="C237">
        <v>2020</v>
      </c>
      <c r="D237" t="s">
        <v>679</v>
      </c>
      <c r="E237" t="s">
        <v>680</v>
      </c>
      <c r="F237" t="s">
        <v>66</v>
      </c>
      <c r="G237" t="s">
        <v>67</v>
      </c>
      <c r="H237" t="s">
        <v>68</v>
      </c>
      <c r="I237" t="s">
        <v>68</v>
      </c>
      <c r="J237" t="s">
        <v>70</v>
      </c>
      <c r="L237">
        <v>2</v>
      </c>
      <c r="M237" t="b">
        <v>0</v>
      </c>
      <c r="N237">
        <v>1</v>
      </c>
      <c r="O237">
        <v>1</v>
      </c>
      <c r="P237">
        <v>7</v>
      </c>
      <c r="Q237">
        <v>4</v>
      </c>
      <c r="R237">
        <v>3</v>
      </c>
      <c r="S237">
        <v>4</v>
      </c>
      <c r="T237">
        <v>28</v>
      </c>
      <c r="U237">
        <v>226</v>
      </c>
      <c r="V237">
        <v>141</v>
      </c>
      <c r="W237">
        <v>25</v>
      </c>
      <c r="X237">
        <v>5.64</v>
      </c>
      <c r="Y237">
        <v>4</v>
      </c>
      <c r="Z237">
        <v>55</v>
      </c>
      <c r="AA237">
        <v>0</v>
      </c>
      <c r="AB237">
        <v>0</v>
      </c>
      <c r="AC237">
        <v>4</v>
      </c>
      <c r="AD237">
        <v>4</v>
      </c>
      <c r="AE237">
        <v>42</v>
      </c>
      <c r="AF237">
        <v>2</v>
      </c>
      <c r="AG237">
        <v>4</v>
      </c>
      <c r="AH237">
        <v>1</v>
      </c>
      <c r="AI237">
        <v>26</v>
      </c>
      <c r="AJ237">
        <v>2</v>
      </c>
      <c r="AK237">
        <v>6</v>
      </c>
      <c r="AL237">
        <v>3</v>
      </c>
      <c r="AM237">
        <v>32</v>
      </c>
      <c r="AN237">
        <v>6</v>
      </c>
      <c r="AO237">
        <v>59</v>
      </c>
      <c r="AP237">
        <v>8</v>
      </c>
      <c r="AQ237">
        <v>97</v>
      </c>
      <c r="AR237">
        <v>0.2433628318584071</v>
      </c>
      <c r="AS237">
        <v>0</v>
      </c>
      <c r="AT237">
        <v>0.18584070796460181</v>
      </c>
      <c r="AU237">
        <v>1.7699115044247791E-2</v>
      </c>
      <c r="AV237">
        <v>0.1150442477876106</v>
      </c>
      <c r="AW237">
        <v>0.1415929203539823</v>
      </c>
      <c r="AX237">
        <v>0.26106194690265488</v>
      </c>
      <c r="AY237">
        <v>0.42920353982300891</v>
      </c>
      <c r="AZ237">
        <v>0.1194690265486726</v>
      </c>
      <c r="BA237">
        <v>0.5</v>
      </c>
      <c r="BB237">
        <v>0.77333333333333332</v>
      </c>
      <c r="BC237">
        <v>0.53333333333333333</v>
      </c>
      <c r="BD237">
        <v>0.69966814159292035</v>
      </c>
      <c r="BE237">
        <v>4</v>
      </c>
      <c r="BF237">
        <v>0.62658370206489677</v>
      </c>
      <c r="BG237">
        <v>0.64</v>
      </c>
      <c r="BH237" t="s">
        <v>86</v>
      </c>
      <c r="BI237">
        <v>0.63</v>
      </c>
      <c r="BJ237" t="s">
        <v>86</v>
      </c>
      <c r="BK237" s="2">
        <f t="shared" si="7"/>
        <v>1.0000000000000009E-2</v>
      </c>
      <c r="BL237" t="b">
        <f t="shared" si="8"/>
        <v>1</v>
      </c>
    </row>
    <row r="238" spans="1:64" x14ac:dyDescent="0.35">
      <c r="A238" t="s">
        <v>683</v>
      </c>
      <c r="B238" t="s">
        <v>684</v>
      </c>
      <c r="C238">
        <v>2015</v>
      </c>
      <c r="D238" t="s">
        <v>685</v>
      </c>
      <c r="E238" t="s">
        <v>686</v>
      </c>
      <c r="F238" t="s">
        <v>66</v>
      </c>
      <c r="G238" t="s">
        <v>67</v>
      </c>
      <c r="H238" t="s">
        <v>68</v>
      </c>
      <c r="I238" t="s">
        <v>68</v>
      </c>
      <c r="J238" t="s">
        <v>70</v>
      </c>
      <c r="L238">
        <v>2</v>
      </c>
      <c r="M238" t="b">
        <v>0</v>
      </c>
      <c r="N238">
        <v>1</v>
      </c>
      <c r="O238">
        <v>2</v>
      </c>
      <c r="P238">
        <v>6</v>
      </c>
      <c r="Q238">
        <v>3</v>
      </c>
      <c r="R238">
        <v>3</v>
      </c>
      <c r="S238">
        <v>5</v>
      </c>
      <c r="T238">
        <v>23</v>
      </c>
      <c r="U238">
        <v>106</v>
      </c>
      <c r="V238">
        <v>106</v>
      </c>
      <c r="W238">
        <v>18</v>
      </c>
      <c r="X238">
        <v>5.8888888888888893</v>
      </c>
      <c r="Y238">
        <v>3</v>
      </c>
      <c r="Z238">
        <v>33</v>
      </c>
      <c r="AA238">
        <v>0</v>
      </c>
      <c r="AB238">
        <v>0</v>
      </c>
      <c r="AC238">
        <v>4</v>
      </c>
      <c r="AD238">
        <v>4</v>
      </c>
      <c r="AE238">
        <v>15</v>
      </c>
      <c r="AF238">
        <v>2</v>
      </c>
      <c r="AG238">
        <v>3</v>
      </c>
      <c r="AH238">
        <v>2</v>
      </c>
      <c r="AI238">
        <v>22</v>
      </c>
      <c r="AJ238">
        <v>1</v>
      </c>
      <c r="AK238">
        <v>1</v>
      </c>
      <c r="AL238">
        <v>3</v>
      </c>
      <c r="AM238">
        <v>23</v>
      </c>
      <c r="AN238">
        <v>5</v>
      </c>
      <c r="AO238">
        <v>36</v>
      </c>
      <c r="AP238">
        <v>7</v>
      </c>
      <c r="AQ238">
        <v>48</v>
      </c>
      <c r="AR238">
        <v>0.31132075471698112</v>
      </c>
      <c r="AS238">
        <v>0</v>
      </c>
      <c r="AT238">
        <v>0.14150943396226409</v>
      </c>
      <c r="AU238">
        <v>2.8301886792452831E-2</v>
      </c>
      <c r="AV238">
        <v>0.20754716981132079</v>
      </c>
      <c r="AW238">
        <v>0.21698113207547171</v>
      </c>
      <c r="AX238">
        <v>0.33962264150943389</v>
      </c>
      <c r="AY238">
        <v>0.45283018867924529</v>
      </c>
      <c r="AZ238">
        <v>0.1226415094339622</v>
      </c>
      <c r="BA238">
        <v>0.66666666666666663</v>
      </c>
      <c r="BB238">
        <v>0.81481481481481488</v>
      </c>
      <c r="BC238">
        <v>0.46666666666666667</v>
      </c>
      <c r="BD238">
        <v>0.70165094339622625</v>
      </c>
      <c r="BE238">
        <v>4</v>
      </c>
      <c r="BF238">
        <v>0.66244977288609364</v>
      </c>
      <c r="BG238">
        <v>0.61</v>
      </c>
      <c r="BH238" t="s">
        <v>86</v>
      </c>
      <c r="BI238">
        <v>0.66</v>
      </c>
      <c r="BJ238" t="s">
        <v>86</v>
      </c>
      <c r="BK238" s="2">
        <f t="shared" si="7"/>
        <v>-5.0000000000000044E-2</v>
      </c>
      <c r="BL238" t="b">
        <f t="shared" si="8"/>
        <v>1</v>
      </c>
    </row>
    <row r="239" spans="1:64" x14ac:dyDescent="0.35">
      <c r="A239" t="s">
        <v>687</v>
      </c>
      <c r="B239" t="s">
        <v>684</v>
      </c>
      <c r="C239">
        <v>2018</v>
      </c>
      <c r="D239" t="s">
        <v>685</v>
      </c>
      <c r="E239" t="s">
        <v>686</v>
      </c>
      <c r="F239" t="s">
        <v>66</v>
      </c>
      <c r="G239" t="s">
        <v>67</v>
      </c>
      <c r="H239" t="s">
        <v>68</v>
      </c>
      <c r="I239" t="s">
        <v>68</v>
      </c>
      <c r="J239" t="s">
        <v>70</v>
      </c>
      <c r="L239">
        <v>2</v>
      </c>
      <c r="M239" t="b">
        <v>0</v>
      </c>
      <c r="N239">
        <v>1</v>
      </c>
      <c r="O239">
        <v>1</v>
      </c>
      <c r="P239">
        <v>7</v>
      </c>
      <c r="Q239">
        <v>4</v>
      </c>
      <c r="R239">
        <v>3</v>
      </c>
      <c r="S239">
        <v>4</v>
      </c>
      <c r="T239">
        <v>36</v>
      </c>
      <c r="U239">
        <v>840</v>
      </c>
      <c r="V239">
        <v>133</v>
      </c>
      <c r="W239">
        <v>24</v>
      </c>
      <c r="X239">
        <v>5.541666666666667</v>
      </c>
      <c r="Y239">
        <v>5</v>
      </c>
      <c r="Z239">
        <v>132</v>
      </c>
      <c r="AA239">
        <v>0</v>
      </c>
      <c r="AB239">
        <v>0</v>
      </c>
      <c r="AC239">
        <v>1</v>
      </c>
      <c r="AD239">
        <v>1</v>
      </c>
      <c r="AE239">
        <v>53</v>
      </c>
      <c r="AF239">
        <v>1</v>
      </c>
      <c r="AG239">
        <v>1</v>
      </c>
      <c r="AH239">
        <v>2</v>
      </c>
      <c r="AI239">
        <v>308</v>
      </c>
      <c r="AJ239">
        <v>1</v>
      </c>
      <c r="AK239">
        <v>18</v>
      </c>
      <c r="AL239">
        <v>3</v>
      </c>
      <c r="AM239">
        <v>326</v>
      </c>
      <c r="AN239">
        <v>6</v>
      </c>
      <c r="AO239">
        <v>133</v>
      </c>
      <c r="AP239">
        <v>6</v>
      </c>
      <c r="AQ239">
        <v>185</v>
      </c>
      <c r="AR239">
        <v>0.15714285714285711</v>
      </c>
      <c r="AS239">
        <v>0</v>
      </c>
      <c r="AT239">
        <v>6.3095238095238093E-2</v>
      </c>
      <c r="AU239">
        <v>1.190476190476191E-3</v>
      </c>
      <c r="AV239">
        <v>0.36666666666666659</v>
      </c>
      <c r="AW239">
        <v>0.3880952380952381</v>
      </c>
      <c r="AX239">
        <v>0.1583333333333333</v>
      </c>
      <c r="AY239">
        <v>0.22023809523809521</v>
      </c>
      <c r="AZ239">
        <v>-0.22976190476190481</v>
      </c>
      <c r="BA239">
        <v>0.5</v>
      </c>
      <c r="BB239">
        <v>0.75694444444444453</v>
      </c>
      <c r="BC239">
        <v>0.4</v>
      </c>
      <c r="BD239">
        <v>0.48139880952380948</v>
      </c>
      <c r="BE239">
        <v>4</v>
      </c>
      <c r="BF239">
        <v>0.53458581349206347</v>
      </c>
      <c r="BG239">
        <v>0.59</v>
      </c>
      <c r="BH239" t="s">
        <v>71</v>
      </c>
      <c r="BI239">
        <v>0.53</v>
      </c>
      <c r="BJ239" t="s">
        <v>71</v>
      </c>
      <c r="BK239" s="2">
        <f t="shared" si="7"/>
        <v>5.9999999999999942E-2</v>
      </c>
      <c r="BL239" t="b">
        <f t="shared" si="8"/>
        <v>1</v>
      </c>
    </row>
    <row r="240" spans="1:64" x14ac:dyDescent="0.35">
      <c r="A240" t="s">
        <v>688</v>
      </c>
      <c r="B240" t="s">
        <v>684</v>
      </c>
      <c r="C240">
        <v>2021</v>
      </c>
      <c r="D240" t="s">
        <v>685</v>
      </c>
      <c r="E240" t="s">
        <v>686</v>
      </c>
      <c r="F240" t="s">
        <v>66</v>
      </c>
      <c r="G240" t="s">
        <v>67</v>
      </c>
      <c r="H240" t="s">
        <v>68</v>
      </c>
      <c r="I240" t="s">
        <v>68</v>
      </c>
      <c r="J240" t="s">
        <v>70</v>
      </c>
      <c r="L240">
        <v>2</v>
      </c>
      <c r="M240" t="b">
        <v>0</v>
      </c>
      <c r="N240">
        <v>1</v>
      </c>
      <c r="O240">
        <v>1</v>
      </c>
      <c r="P240">
        <v>4</v>
      </c>
      <c r="Q240">
        <v>3</v>
      </c>
      <c r="R240">
        <v>1</v>
      </c>
      <c r="S240">
        <v>4</v>
      </c>
      <c r="T240">
        <v>25</v>
      </c>
      <c r="U240">
        <v>180</v>
      </c>
      <c r="V240">
        <v>129</v>
      </c>
      <c r="W240">
        <v>23</v>
      </c>
      <c r="X240">
        <v>5.6086956521739131</v>
      </c>
      <c r="Y240">
        <v>2</v>
      </c>
      <c r="Z240">
        <v>15</v>
      </c>
      <c r="AA240">
        <v>0</v>
      </c>
      <c r="AB240">
        <v>0</v>
      </c>
      <c r="AC240">
        <v>1</v>
      </c>
      <c r="AD240">
        <v>1</v>
      </c>
      <c r="AE240">
        <v>23</v>
      </c>
      <c r="AF240">
        <v>1</v>
      </c>
      <c r="AG240">
        <v>1</v>
      </c>
      <c r="AH240">
        <v>2</v>
      </c>
      <c r="AI240">
        <v>34</v>
      </c>
      <c r="AJ240">
        <v>1</v>
      </c>
      <c r="AK240">
        <v>17</v>
      </c>
      <c r="AL240">
        <v>4</v>
      </c>
      <c r="AM240">
        <v>53</v>
      </c>
      <c r="AN240">
        <v>3</v>
      </c>
      <c r="AO240">
        <v>16</v>
      </c>
      <c r="AP240">
        <v>3</v>
      </c>
      <c r="AQ240">
        <v>38</v>
      </c>
      <c r="AR240">
        <v>8.3333333333333329E-2</v>
      </c>
      <c r="AS240">
        <v>0</v>
      </c>
      <c r="AT240">
        <v>0.1277777777777778</v>
      </c>
      <c r="AU240">
        <v>5.5555555555555558E-3</v>
      </c>
      <c r="AV240">
        <v>0.18888888888888891</v>
      </c>
      <c r="AW240">
        <v>0.29444444444444451</v>
      </c>
      <c r="AX240">
        <v>8.8888888888888892E-2</v>
      </c>
      <c r="AY240">
        <v>0.21111111111111111</v>
      </c>
      <c r="AZ240">
        <v>-0.20555555555555549</v>
      </c>
      <c r="BA240">
        <v>0.5</v>
      </c>
      <c r="BB240">
        <v>0.76811594202898548</v>
      </c>
      <c r="BC240">
        <v>0.2</v>
      </c>
      <c r="BD240">
        <v>0.49652777777777779</v>
      </c>
      <c r="BE240">
        <v>4</v>
      </c>
      <c r="BF240">
        <v>0.49116092995169081</v>
      </c>
      <c r="BG240">
        <v>0.52</v>
      </c>
      <c r="BH240" t="s">
        <v>71</v>
      </c>
      <c r="BI240">
        <v>0.49</v>
      </c>
      <c r="BJ240" t="s">
        <v>71</v>
      </c>
      <c r="BK240" s="2">
        <f t="shared" si="7"/>
        <v>3.0000000000000027E-2</v>
      </c>
      <c r="BL240" t="b">
        <f t="shared" si="8"/>
        <v>1</v>
      </c>
    </row>
    <row r="241" spans="1:64" x14ac:dyDescent="0.35">
      <c r="A241" t="s">
        <v>689</v>
      </c>
      <c r="B241" t="s">
        <v>690</v>
      </c>
      <c r="C241">
        <v>2015</v>
      </c>
      <c r="D241" t="s">
        <v>691</v>
      </c>
      <c r="E241" t="s">
        <v>692</v>
      </c>
      <c r="F241" t="s">
        <v>66</v>
      </c>
      <c r="G241" t="s">
        <v>101</v>
      </c>
      <c r="H241" t="s">
        <v>348</v>
      </c>
      <c r="I241" t="s">
        <v>693</v>
      </c>
      <c r="J241" t="s">
        <v>70</v>
      </c>
      <c r="L241">
        <v>3</v>
      </c>
      <c r="M241" t="b">
        <v>0</v>
      </c>
      <c r="N241">
        <v>2</v>
      </c>
      <c r="O241">
        <v>1</v>
      </c>
      <c r="P241">
        <v>3</v>
      </c>
      <c r="Q241">
        <v>3</v>
      </c>
      <c r="R241">
        <v>0</v>
      </c>
      <c r="S241">
        <v>4</v>
      </c>
      <c r="T241">
        <v>28</v>
      </c>
      <c r="U241">
        <v>1041</v>
      </c>
      <c r="V241">
        <v>108</v>
      </c>
      <c r="W241">
        <v>22</v>
      </c>
      <c r="X241">
        <v>4.9090909090909092</v>
      </c>
      <c r="Y241">
        <v>2</v>
      </c>
      <c r="Z241">
        <v>50</v>
      </c>
      <c r="AA241">
        <v>0</v>
      </c>
      <c r="AB241">
        <v>0</v>
      </c>
      <c r="AC241">
        <v>2</v>
      </c>
      <c r="AD241">
        <v>2</v>
      </c>
      <c r="AE241">
        <v>29</v>
      </c>
      <c r="AF241">
        <v>1</v>
      </c>
      <c r="AG241">
        <v>1</v>
      </c>
      <c r="AH241">
        <v>0</v>
      </c>
      <c r="AI241">
        <v>0</v>
      </c>
      <c r="AJ241">
        <v>4</v>
      </c>
      <c r="AK241">
        <v>19</v>
      </c>
      <c r="AL241">
        <v>4</v>
      </c>
      <c r="AM241">
        <v>19</v>
      </c>
      <c r="AN241">
        <v>3</v>
      </c>
      <c r="AO241">
        <v>51</v>
      </c>
      <c r="AP241">
        <v>4</v>
      </c>
      <c r="AQ241">
        <v>79</v>
      </c>
      <c r="AR241">
        <v>4.8030739673390971E-2</v>
      </c>
      <c r="AS241">
        <v>0</v>
      </c>
      <c r="AT241">
        <v>2.785782901056676E-2</v>
      </c>
      <c r="AU241">
        <v>9.6061479346781938E-4</v>
      </c>
      <c r="AV241">
        <v>0</v>
      </c>
      <c r="AW241">
        <v>1.8251681075888569E-2</v>
      </c>
      <c r="AX241">
        <v>4.8991354466858789E-2</v>
      </c>
      <c r="AY241">
        <v>7.5888568683957727E-2</v>
      </c>
      <c r="AZ241">
        <v>3.073967339097022E-2</v>
      </c>
      <c r="BA241">
        <v>0.5</v>
      </c>
      <c r="BB241">
        <v>0.65151515151515149</v>
      </c>
      <c r="BC241">
        <v>0.26666666666666672</v>
      </c>
      <c r="BD241">
        <v>0.64421229586935636</v>
      </c>
      <c r="BE241">
        <v>4</v>
      </c>
      <c r="BF241">
        <v>0.51559852851279364</v>
      </c>
      <c r="BG241">
        <v>0.51</v>
      </c>
      <c r="BH241" t="s">
        <v>71</v>
      </c>
      <c r="BI241">
        <v>0.52</v>
      </c>
      <c r="BJ241" t="s">
        <v>71</v>
      </c>
      <c r="BK241" s="2">
        <f t="shared" si="7"/>
        <v>-1.0000000000000009E-2</v>
      </c>
      <c r="BL241" t="b">
        <f t="shared" si="8"/>
        <v>1</v>
      </c>
    </row>
    <row r="242" spans="1:64" x14ac:dyDescent="0.35">
      <c r="A242" t="s">
        <v>694</v>
      </c>
      <c r="B242" t="s">
        <v>690</v>
      </c>
      <c r="C242">
        <v>2018</v>
      </c>
      <c r="D242" t="s">
        <v>691</v>
      </c>
      <c r="E242" t="s">
        <v>692</v>
      </c>
      <c r="F242" t="s">
        <v>66</v>
      </c>
      <c r="G242" t="s">
        <v>101</v>
      </c>
      <c r="H242" t="s">
        <v>348</v>
      </c>
      <c r="I242" t="s">
        <v>693</v>
      </c>
      <c r="J242" t="s">
        <v>70</v>
      </c>
      <c r="L242">
        <v>3</v>
      </c>
      <c r="M242" t="b">
        <v>0</v>
      </c>
      <c r="N242">
        <v>1</v>
      </c>
      <c r="O242">
        <v>3</v>
      </c>
      <c r="P242">
        <v>9</v>
      </c>
      <c r="Q242">
        <v>0</v>
      </c>
      <c r="R242">
        <v>9</v>
      </c>
      <c r="S242">
        <v>6</v>
      </c>
      <c r="T242">
        <v>29</v>
      </c>
      <c r="U242">
        <v>862</v>
      </c>
      <c r="V242">
        <v>113</v>
      </c>
      <c r="W242">
        <v>18</v>
      </c>
      <c r="X242">
        <v>6.2777777777777777</v>
      </c>
      <c r="Y242">
        <v>3</v>
      </c>
      <c r="Z242">
        <v>79</v>
      </c>
      <c r="AA242">
        <v>0</v>
      </c>
      <c r="AB242">
        <v>0</v>
      </c>
      <c r="AC242">
        <v>6</v>
      </c>
      <c r="AD242">
        <v>6</v>
      </c>
      <c r="AE242">
        <v>153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3</v>
      </c>
      <c r="AO242">
        <v>79</v>
      </c>
      <c r="AP242">
        <v>9</v>
      </c>
      <c r="AQ242">
        <v>232</v>
      </c>
      <c r="AR242">
        <v>9.1647331786542927E-2</v>
      </c>
      <c r="AS242">
        <v>0</v>
      </c>
      <c r="AT242">
        <v>0.1774941995359629</v>
      </c>
      <c r="AU242">
        <v>0</v>
      </c>
      <c r="AV242">
        <v>0</v>
      </c>
      <c r="AW242">
        <v>0</v>
      </c>
      <c r="AX242">
        <v>9.1647331786542927E-2</v>
      </c>
      <c r="AY242">
        <v>0.26914153132250579</v>
      </c>
      <c r="AZ242">
        <v>9.1647331786542927E-2</v>
      </c>
      <c r="BA242">
        <v>0.83333333333333337</v>
      </c>
      <c r="BB242">
        <v>0.87962962962962965</v>
      </c>
      <c r="BC242">
        <v>0.6</v>
      </c>
      <c r="BD242">
        <v>0.68227958236658925</v>
      </c>
      <c r="BE242">
        <v>4</v>
      </c>
      <c r="BF242">
        <v>0.74881063633238809</v>
      </c>
      <c r="BG242">
        <v>0.74</v>
      </c>
      <c r="BH242" t="s">
        <v>86</v>
      </c>
      <c r="BI242">
        <v>0.75</v>
      </c>
      <c r="BJ242" t="s">
        <v>86</v>
      </c>
      <c r="BK242" s="2">
        <f t="shared" si="7"/>
        <v>-1.0000000000000009E-2</v>
      </c>
      <c r="BL242" t="b">
        <f t="shared" si="8"/>
        <v>1</v>
      </c>
    </row>
    <row r="243" spans="1:64" x14ac:dyDescent="0.35">
      <c r="A243" t="s">
        <v>695</v>
      </c>
      <c r="B243" t="s">
        <v>690</v>
      </c>
      <c r="C243">
        <v>2021</v>
      </c>
      <c r="D243" t="s">
        <v>691</v>
      </c>
      <c r="E243" t="s">
        <v>692</v>
      </c>
      <c r="F243" t="s">
        <v>66</v>
      </c>
      <c r="G243" t="s">
        <v>101</v>
      </c>
      <c r="H243" t="s">
        <v>348</v>
      </c>
      <c r="I243" t="s">
        <v>693</v>
      </c>
      <c r="J243" t="s">
        <v>70</v>
      </c>
      <c r="L243">
        <v>3</v>
      </c>
      <c r="M243" t="b">
        <v>0</v>
      </c>
      <c r="N243">
        <v>1</v>
      </c>
      <c r="O243">
        <v>3</v>
      </c>
      <c r="P243">
        <v>8</v>
      </c>
      <c r="Q243">
        <v>1</v>
      </c>
      <c r="R243">
        <v>7</v>
      </c>
      <c r="S243">
        <v>6</v>
      </c>
      <c r="T243">
        <v>23</v>
      </c>
      <c r="U243">
        <v>267</v>
      </c>
      <c r="V243">
        <v>90</v>
      </c>
      <c r="W243">
        <v>14</v>
      </c>
      <c r="X243">
        <v>6.4285714285714288</v>
      </c>
      <c r="Y243">
        <v>4</v>
      </c>
      <c r="Z243">
        <v>44</v>
      </c>
      <c r="AA243">
        <v>1</v>
      </c>
      <c r="AB243">
        <v>2</v>
      </c>
      <c r="AC243">
        <v>5</v>
      </c>
      <c r="AD243">
        <v>5</v>
      </c>
      <c r="AE243">
        <v>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5</v>
      </c>
      <c r="AO243">
        <v>46</v>
      </c>
      <c r="AP243">
        <v>10</v>
      </c>
      <c r="AQ243">
        <v>57</v>
      </c>
      <c r="AR243">
        <v>0.16479400749063669</v>
      </c>
      <c r="AS243">
        <v>7.4906367041198503E-3</v>
      </c>
      <c r="AT243">
        <v>4.1198501872659173E-2</v>
      </c>
      <c r="AU243">
        <v>0</v>
      </c>
      <c r="AV243">
        <v>0</v>
      </c>
      <c r="AW243">
        <v>0</v>
      </c>
      <c r="AX243">
        <v>0.17228464419475659</v>
      </c>
      <c r="AY243">
        <v>0.2134831460674157</v>
      </c>
      <c r="AZ243">
        <v>0.17228464419475659</v>
      </c>
      <c r="BA243">
        <v>0.83333333333333337</v>
      </c>
      <c r="BB243">
        <v>0.90476190476190477</v>
      </c>
      <c r="BC243">
        <v>0.66666666666666663</v>
      </c>
      <c r="BD243">
        <v>0.73267790262172283</v>
      </c>
      <c r="BE243">
        <v>4</v>
      </c>
      <c r="BF243">
        <v>0.7843599518459069</v>
      </c>
      <c r="BG243">
        <v>0.78</v>
      </c>
      <c r="BH243" t="s">
        <v>86</v>
      </c>
      <c r="BI243">
        <v>0.78</v>
      </c>
      <c r="BJ243" t="s">
        <v>86</v>
      </c>
      <c r="BK243" s="2">
        <f t="shared" si="7"/>
        <v>0</v>
      </c>
      <c r="BL243" t="b">
        <f t="shared" si="8"/>
        <v>1</v>
      </c>
    </row>
    <row r="244" spans="1:64" x14ac:dyDescent="0.35">
      <c r="A244" t="s">
        <v>696</v>
      </c>
      <c r="B244" t="s">
        <v>697</v>
      </c>
      <c r="C244">
        <v>2016</v>
      </c>
      <c r="D244" t="s">
        <v>698</v>
      </c>
      <c r="E244" t="s">
        <v>699</v>
      </c>
      <c r="F244" t="s">
        <v>66</v>
      </c>
      <c r="G244" t="s">
        <v>101</v>
      </c>
      <c r="H244" t="s">
        <v>211</v>
      </c>
      <c r="I244" t="s">
        <v>550</v>
      </c>
      <c r="J244" t="s">
        <v>70</v>
      </c>
      <c r="L244">
        <v>1</v>
      </c>
      <c r="M244" t="b">
        <v>0</v>
      </c>
      <c r="N244">
        <v>1</v>
      </c>
      <c r="O244">
        <v>1</v>
      </c>
      <c r="P244">
        <v>6</v>
      </c>
      <c r="Q244">
        <v>3</v>
      </c>
      <c r="R244">
        <v>3</v>
      </c>
      <c r="S244">
        <v>4</v>
      </c>
      <c r="T244">
        <v>28</v>
      </c>
      <c r="U244">
        <v>262</v>
      </c>
      <c r="V244">
        <v>110</v>
      </c>
      <c r="W244">
        <v>20</v>
      </c>
      <c r="X244">
        <v>5.5</v>
      </c>
      <c r="Y244">
        <v>2</v>
      </c>
      <c r="Z244">
        <v>8</v>
      </c>
      <c r="AA244">
        <v>2</v>
      </c>
      <c r="AB244">
        <v>3</v>
      </c>
      <c r="AC244">
        <v>5</v>
      </c>
      <c r="AD244">
        <v>5</v>
      </c>
      <c r="AE244">
        <v>6</v>
      </c>
      <c r="AF244">
        <v>1</v>
      </c>
      <c r="AG244">
        <v>8</v>
      </c>
      <c r="AH244">
        <v>2</v>
      </c>
      <c r="AI244">
        <v>16</v>
      </c>
      <c r="AJ244">
        <v>2</v>
      </c>
      <c r="AK244">
        <v>4</v>
      </c>
      <c r="AL244">
        <v>4</v>
      </c>
      <c r="AM244">
        <v>20</v>
      </c>
      <c r="AN244">
        <v>5</v>
      </c>
      <c r="AO244">
        <v>19</v>
      </c>
      <c r="AP244">
        <v>9</v>
      </c>
      <c r="AQ244">
        <v>17</v>
      </c>
      <c r="AR244">
        <v>3.053435114503817E-2</v>
      </c>
      <c r="AS244">
        <v>1.1450381679389309E-2</v>
      </c>
      <c r="AT244">
        <v>2.2900763358778629E-2</v>
      </c>
      <c r="AU244">
        <v>3.053435114503817E-2</v>
      </c>
      <c r="AV244">
        <v>6.1068702290076327E-2</v>
      </c>
      <c r="AW244">
        <v>7.6335877862595422E-2</v>
      </c>
      <c r="AX244">
        <v>7.2519083969465645E-2</v>
      </c>
      <c r="AY244">
        <v>6.4885496183206104E-2</v>
      </c>
      <c r="AZ244">
        <v>-3.8167938931297769E-3</v>
      </c>
      <c r="BA244">
        <v>0.5</v>
      </c>
      <c r="BB244">
        <v>0.75</v>
      </c>
      <c r="BC244">
        <v>0.6</v>
      </c>
      <c r="BD244">
        <v>0.62261450381679384</v>
      </c>
      <c r="BE244">
        <v>4</v>
      </c>
      <c r="BF244">
        <v>0.61815362595419843</v>
      </c>
      <c r="BG244">
        <v>0.63</v>
      </c>
      <c r="BH244" t="s">
        <v>86</v>
      </c>
      <c r="BI244">
        <v>0.62</v>
      </c>
      <c r="BJ244" t="s">
        <v>86</v>
      </c>
      <c r="BK244" s="2">
        <f t="shared" si="7"/>
        <v>1.0000000000000009E-2</v>
      </c>
      <c r="BL244" t="b">
        <f t="shared" si="8"/>
        <v>1</v>
      </c>
    </row>
    <row r="245" spans="1:64" x14ac:dyDescent="0.35">
      <c r="A245" t="s">
        <v>700</v>
      </c>
      <c r="B245" t="s">
        <v>697</v>
      </c>
      <c r="C245">
        <v>2019</v>
      </c>
      <c r="D245" t="s">
        <v>698</v>
      </c>
      <c r="E245" t="s">
        <v>699</v>
      </c>
      <c r="F245" t="s">
        <v>66</v>
      </c>
      <c r="G245" t="s">
        <v>101</v>
      </c>
      <c r="H245" t="s">
        <v>211</v>
      </c>
      <c r="I245" t="s">
        <v>550</v>
      </c>
      <c r="J245" t="s">
        <v>70</v>
      </c>
      <c r="L245">
        <v>1</v>
      </c>
      <c r="M245" t="b">
        <v>0</v>
      </c>
      <c r="N245">
        <v>1</v>
      </c>
      <c r="O245">
        <v>1</v>
      </c>
      <c r="P245">
        <v>6</v>
      </c>
      <c r="Q245">
        <v>5</v>
      </c>
      <c r="R245">
        <v>1</v>
      </c>
      <c r="S245">
        <v>4</v>
      </c>
      <c r="T245">
        <v>31</v>
      </c>
      <c r="U245">
        <v>298</v>
      </c>
      <c r="V245">
        <v>110</v>
      </c>
      <c r="W245">
        <v>20</v>
      </c>
      <c r="X245">
        <v>5.5</v>
      </c>
      <c r="Y245">
        <v>4</v>
      </c>
      <c r="Z245">
        <v>25</v>
      </c>
      <c r="AA245">
        <v>0</v>
      </c>
      <c r="AB245">
        <v>0</v>
      </c>
      <c r="AC245">
        <v>3</v>
      </c>
      <c r="AD245">
        <v>3</v>
      </c>
      <c r="AE245">
        <v>12</v>
      </c>
      <c r="AF245">
        <v>1</v>
      </c>
      <c r="AG245">
        <v>13</v>
      </c>
      <c r="AH245">
        <v>2</v>
      </c>
      <c r="AI245">
        <v>20</v>
      </c>
      <c r="AJ245">
        <v>2</v>
      </c>
      <c r="AK245">
        <v>8</v>
      </c>
      <c r="AL245">
        <v>4</v>
      </c>
      <c r="AM245">
        <v>28</v>
      </c>
      <c r="AN245">
        <v>5</v>
      </c>
      <c r="AO245">
        <v>38</v>
      </c>
      <c r="AP245">
        <v>7</v>
      </c>
      <c r="AQ245">
        <v>37</v>
      </c>
      <c r="AR245">
        <v>8.3892617449664433E-2</v>
      </c>
      <c r="AS245">
        <v>0</v>
      </c>
      <c r="AT245">
        <v>4.0268456375838917E-2</v>
      </c>
      <c r="AU245">
        <v>4.3624161073825503E-2</v>
      </c>
      <c r="AV245">
        <v>6.7114093959731544E-2</v>
      </c>
      <c r="AW245">
        <v>9.3959731543624164E-2</v>
      </c>
      <c r="AX245">
        <v>0.12751677852348989</v>
      </c>
      <c r="AY245">
        <v>0.1241610738255034</v>
      </c>
      <c r="AZ245">
        <v>3.3557046979865779E-2</v>
      </c>
      <c r="BA245">
        <v>0.5</v>
      </c>
      <c r="BB245">
        <v>0.75</v>
      </c>
      <c r="BC245">
        <v>0.46666666666666667</v>
      </c>
      <c r="BD245">
        <v>0.64597315436241609</v>
      </c>
      <c r="BE245">
        <v>4</v>
      </c>
      <c r="BF245">
        <v>0.59065995525727066</v>
      </c>
      <c r="BG245">
        <v>0.6</v>
      </c>
      <c r="BH245" t="s">
        <v>86</v>
      </c>
      <c r="BI245">
        <v>0.59</v>
      </c>
      <c r="BJ245" t="s">
        <v>71</v>
      </c>
      <c r="BK245" s="2">
        <f t="shared" si="7"/>
        <v>1.0000000000000009E-2</v>
      </c>
      <c r="BL245" t="b">
        <f t="shared" si="8"/>
        <v>0</v>
      </c>
    </row>
    <row r="246" spans="1:64" x14ac:dyDescent="0.35">
      <c r="A246" t="s">
        <v>701</v>
      </c>
      <c r="B246" t="s">
        <v>697</v>
      </c>
      <c r="C246">
        <v>2022</v>
      </c>
      <c r="D246" t="s">
        <v>698</v>
      </c>
      <c r="E246" t="s">
        <v>699</v>
      </c>
      <c r="F246" t="s">
        <v>66</v>
      </c>
      <c r="G246" t="s">
        <v>101</v>
      </c>
      <c r="H246" t="s">
        <v>211</v>
      </c>
      <c r="I246" t="s">
        <v>550</v>
      </c>
      <c r="J246" t="s">
        <v>70</v>
      </c>
      <c r="L246">
        <v>1</v>
      </c>
      <c r="M246" t="b">
        <v>0</v>
      </c>
      <c r="N246">
        <v>1</v>
      </c>
      <c r="O246">
        <v>2</v>
      </c>
      <c r="P246">
        <v>10</v>
      </c>
      <c r="Q246">
        <v>0</v>
      </c>
      <c r="R246">
        <v>10</v>
      </c>
      <c r="S246">
        <v>7</v>
      </c>
      <c r="T246">
        <v>31</v>
      </c>
      <c r="U246">
        <v>257</v>
      </c>
      <c r="V246">
        <v>152</v>
      </c>
      <c r="W246">
        <v>24</v>
      </c>
      <c r="X246">
        <v>6.333333333333333</v>
      </c>
      <c r="Y246">
        <v>6</v>
      </c>
      <c r="Z246">
        <v>67</v>
      </c>
      <c r="AA246">
        <v>2</v>
      </c>
      <c r="AB246">
        <v>6</v>
      </c>
      <c r="AC246">
        <v>4</v>
      </c>
      <c r="AD246">
        <v>4</v>
      </c>
      <c r="AE246">
        <v>52</v>
      </c>
      <c r="AF246">
        <v>2</v>
      </c>
      <c r="AG246">
        <v>2</v>
      </c>
      <c r="AH246">
        <v>1</v>
      </c>
      <c r="AI246">
        <v>17</v>
      </c>
      <c r="AJ246">
        <v>0</v>
      </c>
      <c r="AK246">
        <v>0</v>
      </c>
      <c r="AL246">
        <v>2</v>
      </c>
      <c r="AM246">
        <v>30</v>
      </c>
      <c r="AN246">
        <v>10</v>
      </c>
      <c r="AO246">
        <v>75</v>
      </c>
      <c r="AP246">
        <v>12</v>
      </c>
      <c r="AQ246">
        <v>125</v>
      </c>
      <c r="AR246">
        <v>0.26070038910505838</v>
      </c>
      <c r="AS246">
        <v>2.3346303501945529E-2</v>
      </c>
      <c r="AT246">
        <v>0.20233463035019461</v>
      </c>
      <c r="AU246">
        <v>7.7821011673151752E-3</v>
      </c>
      <c r="AV246">
        <v>6.6147859922178989E-2</v>
      </c>
      <c r="AW246">
        <v>0.1167315175097276</v>
      </c>
      <c r="AX246">
        <v>0.29182879377431908</v>
      </c>
      <c r="AY246">
        <v>0.48638132295719838</v>
      </c>
      <c r="AZ246">
        <v>0.17509727626459151</v>
      </c>
      <c r="BA246">
        <v>1</v>
      </c>
      <c r="BB246">
        <v>0.88888888888888884</v>
      </c>
      <c r="BC246">
        <v>0.8</v>
      </c>
      <c r="BD246">
        <v>0.73443579766536959</v>
      </c>
      <c r="BE246">
        <v>4</v>
      </c>
      <c r="BF246">
        <v>0.85583117163856459</v>
      </c>
      <c r="BG246">
        <v>0.87</v>
      </c>
      <c r="BH246" t="s">
        <v>164</v>
      </c>
      <c r="BI246">
        <v>0.86</v>
      </c>
      <c r="BJ246" t="s">
        <v>164</v>
      </c>
      <c r="BK246" s="2">
        <f t="shared" si="7"/>
        <v>1.0000000000000009E-2</v>
      </c>
      <c r="BL246" t="b">
        <f t="shared" si="8"/>
        <v>1</v>
      </c>
    </row>
    <row r="247" spans="1:64" x14ac:dyDescent="0.35">
      <c r="A247" t="s">
        <v>702</v>
      </c>
      <c r="B247" t="s">
        <v>703</v>
      </c>
      <c r="C247">
        <v>2014</v>
      </c>
      <c r="D247" t="s">
        <v>704</v>
      </c>
      <c r="E247" t="s">
        <v>705</v>
      </c>
      <c r="F247" t="s">
        <v>66</v>
      </c>
      <c r="G247" t="s">
        <v>101</v>
      </c>
      <c r="H247" t="s">
        <v>211</v>
      </c>
      <c r="I247" t="s">
        <v>550</v>
      </c>
      <c r="J247" t="s">
        <v>70</v>
      </c>
      <c r="L247">
        <v>2</v>
      </c>
      <c r="M247" t="b">
        <v>0</v>
      </c>
      <c r="N247">
        <v>1</v>
      </c>
      <c r="O247">
        <v>1</v>
      </c>
      <c r="P247">
        <v>13</v>
      </c>
      <c r="Q247">
        <v>3</v>
      </c>
      <c r="R247">
        <v>10</v>
      </c>
      <c r="S247">
        <v>6</v>
      </c>
      <c r="T247">
        <v>36</v>
      </c>
      <c r="U247">
        <v>324</v>
      </c>
      <c r="V247">
        <v>180</v>
      </c>
      <c r="W247">
        <v>30</v>
      </c>
      <c r="X247">
        <v>6</v>
      </c>
      <c r="Y247">
        <v>6</v>
      </c>
      <c r="Z247">
        <v>164</v>
      </c>
      <c r="AA247">
        <v>2</v>
      </c>
      <c r="AB247">
        <v>12</v>
      </c>
      <c r="AC247">
        <v>3</v>
      </c>
      <c r="AD247">
        <v>3</v>
      </c>
      <c r="AE247">
        <v>35</v>
      </c>
      <c r="AF247">
        <v>3</v>
      </c>
      <c r="AG247">
        <v>11</v>
      </c>
      <c r="AH247">
        <v>2</v>
      </c>
      <c r="AI247">
        <v>6</v>
      </c>
      <c r="AJ247">
        <v>1</v>
      </c>
      <c r="AK247">
        <v>2</v>
      </c>
      <c r="AL247">
        <v>3</v>
      </c>
      <c r="AM247">
        <v>8</v>
      </c>
      <c r="AN247">
        <v>11</v>
      </c>
      <c r="AO247">
        <v>187</v>
      </c>
      <c r="AP247">
        <v>11</v>
      </c>
      <c r="AQ247">
        <v>211</v>
      </c>
      <c r="AR247">
        <v>0.50617283950617287</v>
      </c>
      <c r="AS247">
        <v>3.7037037037037028E-2</v>
      </c>
      <c r="AT247">
        <v>0.1080246913580247</v>
      </c>
      <c r="AU247">
        <v>3.3950617283950622E-2</v>
      </c>
      <c r="AV247">
        <v>1.8518518518518521E-2</v>
      </c>
      <c r="AW247">
        <v>2.469135802469136E-2</v>
      </c>
      <c r="AX247">
        <v>0.5771604938271605</v>
      </c>
      <c r="AY247">
        <v>0.65123456790123457</v>
      </c>
      <c r="AZ247">
        <v>0.55246913580246915</v>
      </c>
      <c r="BA247">
        <v>0.83333333333333337</v>
      </c>
      <c r="BB247">
        <v>0.83333333333333337</v>
      </c>
      <c r="BC247">
        <v>0.73333333333333328</v>
      </c>
      <c r="BD247">
        <v>0.97029320987654322</v>
      </c>
      <c r="BE247">
        <v>4</v>
      </c>
      <c r="BF247">
        <v>0.84257330246913575</v>
      </c>
      <c r="BG247">
        <v>0.8</v>
      </c>
      <c r="BH247" t="s">
        <v>164</v>
      </c>
      <c r="BI247">
        <v>0.84</v>
      </c>
      <c r="BJ247" t="s">
        <v>164</v>
      </c>
      <c r="BK247" s="2">
        <f t="shared" si="7"/>
        <v>-3.9999999999999925E-2</v>
      </c>
      <c r="BL247" t="b">
        <f t="shared" si="8"/>
        <v>1</v>
      </c>
    </row>
    <row r="248" spans="1:64" x14ac:dyDescent="0.35">
      <c r="A248" t="s">
        <v>706</v>
      </c>
      <c r="B248" t="s">
        <v>707</v>
      </c>
      <c r="C248">
        <v>2014</v>
      </c>
      <c r="D248" t="s">
        <v>708</v>
      </c>
      <c r="E248" t="s">
        <v>709</v>
      </c>
      <c r="F248" t="s">
        <v>66</v>
      </c>
      <c r="G248" t="s">
        <v>101</v>
      </c>
      <c r="H248" t="s">
        <v>184</v>
      </c>
      <c r="I248" t="s">
        <v>710</v>
      </c>
      <c r="J248" t="s">
        <v>70</v>
      </c>
      <c r="L248">
        <v>3</v>
      </c>
      <c r="M248" t="b">
        <v>0</v>
      </c>
      <c r="N248">
        <v>3</v>
      </c>
      <c r="O248">
        <v>1</v>
      </c>
      <c r="P248">
        <v>3</v>
      </c>
      <c r="Q248">
        <v>6</v>
      </c>
      <c r="R248">
        <v>-3</v>
      </c>
      <c r="S248">
        <v>3</v>
      </c>
      <c r="T248">
        <v>25</v>
      </c>
      <c r="U248">
        <v>467</v>
      </c>
      <c r="V248">
        <v>91</v>
      </c>
      <c r="W248">
        <v>19</v>
      </c>
      <c r="X248">
        <v>4.7894736842105274</v>
      </c>
      <c r="Y248">
        <v>1</v>
      </c>
      <c r="Z248">
        <v>17</v>
      </c>
      <c r="AA248">
        <v>0</v>
      </c>
      <c r="AB248">
        <v>0</v>
      </c>
      <c r="AC248">
        <v>4</v>
      </c>
      <c r="AD248">
        <v>4</v>
      </c>
      <c r="AE248">
        <v>64</v>
      </c>
      <c r="AF248">
        <v>2</v>
      </c>
      <c r="AG248">
        <v>15</v>
      </c>
      <c r="AH248">
        <v>1</v>
      </c>
      <c r="AI248">
        <v>25</v>
      </c>
      <c r="AJ248">
        <v>2</v>
      </c>
      <c r="AK248">
        <v>44</v>
      </c>
      <c r="AL248">
        <v>3</v>
      </c>
      <c r="AM248">
        <v>69</v>
      </c>
      <c r="AN248">
        <v>3</v>
      </c>
      <c r="AO248">
        <v>32</v>
      </c>
      <c r="AP248">
        <v>5</v>
      </c>
      <c r="AQ248">
        <v>81</v>
      </c>
      <c r="AR248">
        <v>3.6402569593147749E-2</v>
      </c>
      <c r="AS248">
        <v>0</v>
      </c>
      <c r="AT248">
        <v>0.13704496788008569</v>
      </c>
      <c r="AU248">
        <v>3.2119914346895068E-2</v>
      </c>
      <c r="AV248">
        <v>5.353319057815846E-2</v>
      </c>
      <c r="AW248">
        <v>0.14775160599571729</v>
      </c>
      <c r="AX248">
        <v>6.852248394004283E-2</v>
      </c>
      <c r="AY248">
        <v>0.17344753747323341</v>
      </c>
      <c r="AZ248">
        <v>-7.922912205567452E-2</v>
      </c>
      <c r="BA248">
        <v>0.33333333333333331</v>
      </c>
      <c r="BB248">
        <v>0.63157894736842124</v>
      </c>
      <c r="BC248">
        <v>0.33333333333333331</v>
      </c>
      <c r="BD248">
        <v>0.57548179871520333</v>
      </c>
      <c r="BE248">
        <v>4</v>
      </c>
      <c r="BF248">
        <v>0.4684318531875728</v>
      </c>
      <c r="BG248">
        <v>0.48</v>
      </c>
      <c r="BH248" t="s">
        <v>71</v>
      </c>
      <c r="BI248">
        <v>0.47</v>
      </c>
      <c r="BJ248" t="s">
        <v>71</v>
      </c>
      <c r="BK248" s="2">
        <f t="shared" si="7"/>
        <v>1.0000000000000009E-2</v>
      </c>
      <c r="BL248" t="b">
        <f t="shared" si="8"/>
        <v>1</v>
      </c>
    </row>
    <row r="249" spans="1:64" x14ac:dyDescent="0.35">
      <c r="A249" t="s">
        <v>711</v>
      </c>
      <c r="B249" t="s">
        <v>707</v>
      </c>
      <c r="C249">
        <v>2020</v>
      </c>
      <c r="D249" t="s">
        <v>708</v>
      </c>
      <c r="E249" t="s">
        <v>709</v>
      </c>
      <c r="F249" t="s">
        <v>66</v>
      </c>
      <c r="G249" t="s">
        <v>101</v>
      </c>
      <c r="H249" t="s">
        <v>184</v>
      </c>
      <c r="I249" t="s">
        <v>710</v>
      </c>
      <c r="J249" t="s">
        <v>70</v>
      </c>
      <c r="L249">
        <v>3</v>
      </c>
      <c r="M249" t="b">
        <v>0</v>
      </c>
      <c r="N249">
        <v>1</v>
      </c>
      <c r="O249">
        <v>1</v>
      </c>
      <c r="P249">
        <v>3</v>
      </c>
      <c r="Q249">
        <v>1</v>
      </c>
      <c r="R249">
        <v>2</v>
      </c>
      <c r="S249">
        <v>4</v>
      </c>
      <c r="T249">
        <v>12</v>
      </c>
      <c r="U249">
        <v>182</v>
      </c>
      <c r="V249">
        <v>59</v>
      </c>
      <c r="W249">
        <v>11</v>
      </c>
      <c r="X249">
        <v>5.3636363636363633</v>
      </c>
      <c r="Y249">
        <v>4</v>
      </c>
      <c r="Z249">
        <v>38</v>
      </c>
      <c r="AA249">
        <v>0</v>
      </c>
      <c r="AB249">
        <v>0</v>
      </c>
      <c r="AC249">
        <v>1</v>
      </c>
      <c r="AD249">
        <v>1</v>
      </c>
      <c r="AE249">
        <v>65</v>
      </c>
      <c r="AF249">
        <v>1</v>
      </c>
      <c r="AG249">
        <v>1</v>
      </c>
      <c r="AH249">
        <v>0</v>
      </c>
      <c r="AI249">
        <v>0</v>
      </c>
      <c r="AJ249">
        <v>1</v>
      </c>
      <c r="AK249">
        <v>31</v>
      </c>
      <c r="AL249">
        <v>1</v>
      </c>
      <c r="AM249">
        <v>31</v>
      </c>
      <c r="AN249">
        <v>5</v>
      </c>
      <c r="AO249">
        <v>39</v>
      </c>
      <c r="AP249">
        <v>5</v>
      </c>
      <c r="AQ249">
        <v>103</v>
      </c>
      <c r="AR249">
        <v>0.2087912087912088</v>
      </c>
      <c r="AS249">
        <v>0</v>
      </c>
      <c r="AT249">
        <v>0.35714285714285721</v>
      </c>
      <c r="AU249">
        <v>5.4945054945054949E-3</v>
      </c>
      <c r="AV249">
        <v>0</v>
      </c>
      <c r="AW249">
        <v>0.17032967032967031</v>
      </c>
      <c r="AX249">
        <v>0.2142857142857143</v>
      </c>
      <c r="AY249">
        <v>0.56593406593406592</v>
      </c>
      <c r="AZ249">
        <v>4.3956043956043939E-2</v>
      </c>
      <c r="BA249">
        <v>0.5</v>
      </c>
      <c r="BB249">
        <v>0.72727272727272718</v>
      </c>
      <c r="BC249">
        <v>0.33333333333333331</v>
      </c>
      <c r="BD249">
        <v>0.65247252747252749</v>
      </c>
      <c r="BE249">
        <v>4</v>
      </c>
      <c r="BF249">
        <v>0.55326964701964698</v>
      </c>
      <c r="BG249">
        <v>0.55000000000000004</v>
      </c>
      <c r="BH249" t="s">
        <v>71</v>
      </c>
      <c r="BI249">
        <v>0.55000000000000004</v>
      </c>
      <c r="BJ249" t="s">
        <v>71</v>
      </c>
      <c r="BK249" s="2">
        <f t="shared" si="7"/>
        <v>0</v>
      </c>
      <c r="BL249" t="b">
        <f t="shared" si="8"/>
        <v>1</v>
      </c>
    </row>
    <row r="250" spans="1:64" x14ac:dyDescent="0.35">
      <c r="A250" t="s">
        <v>712</v>
      </c>
      <c r="B250" t="s">
        <v>713</v>
      </c>
      <c r="C250">
        <v>2016</v>
      </c>
      <c r="D250" t="s">
        <v>714</v>
      </c>
      <c r="E250" t="s">
        <v>715</v>
      </c>
      <c r="F250" t="s">
        <v>66</v>
      </c>
      <c r="G250" t="s">
        <v>101</v>
      </c>
      <c r="H250" t="s">
        <v>184</v>
      </c>
      <c r="I250" t="s">
        <v>716</v>
      </c>
      <c r="J250" t="s">
        <v>70</v>
      </c>
      <c r="L250">
        <v>1</v>
      </c>
      <c r="M250" t="b">
        <v>0</v>
      </c>
      <c r="N250">
        <v>1</v>
      </c>
      <c r="O250">
        <v>3</v>
      </c>
      <c r="P250">
        <v>14</v>
      </c>
      <c r="Q250">
        <v>3</v>
      </c>
      <c r="R250">
        <v>11</v>
      </c>
      <c r="S250">
        <v>7</v>
      </c>
      <c r="T250">
        <v>32</v>
      </c>
      <c r="U250">
        <v>848</v>
      </c>
      <c r="V250">
        <v>154</v>
      </c>
      <c r="W250">
        <v>26</v>
      </c>
      <c r="X250">
        <v>5.9230769230769234</v>
      </c>
      <c r="Y250">
        <v>6</v>
      </c>
      <c r="Z250">
        <v>155</v>
      </c>
      <c r="AA250">
        <v>0</v>
      </c>
      <c r="AB250">
        <v>0</v>
      </c>
      <c r="AC250">
        <v>4</v>
      </c>
      <c r="AD250">
        <v>4</v>
      </c>
      <c r="AE250">
        <v>131</v>
      </c>
      <c r="AF250">
        <v>0</v>
      </c>
      <c r="AG250">
        <v>0</v>
      </c>
      <c r="AH250">
        <v>2</v>
      </c>
      <c r="AI250">
        <v>33</v>
      </c>
      <c r="AJ250">
        <v>1</v>
      </c>
      <c r="AK250">
        <v>11</v>
      </c>
      <c r="AL250">
        <v>3</v>
      </c>
      <c r="AM250">
        <v>44</v>
      </c>
      <c r="AN250">
        <v>6</v>
      </c>
      <c r="AO250">
        <v>155</v>
      </c>
      <c r="AP250">
        <v>10</v>
      </c>
      <c r="AQ250">
        <v>286</v>
      </c>
      <c r="AR250">
        <v>0.1827830188679245</v>
      </c>
      <c r="AS250">
        <v>0</v>
      </c>
      <c r="AT250">
        <v>0.15448113207547171</v>
      </c>
      <c r="AU250">
        <v>0</v>
      </c>
      <c r="AV250">
        <v>3.891509433962264E-2</v>
      </c>
      <c r="AW250">
        <v>5.1886792452830191E-2</v>
      </c>
      <c r="AX250">
        <v>0.1827830188679245</v>
      </c>
      <c r="AY250">
        <v>0.33726415094339618</v>
      </c>
      <c r="AZ250">
        <v>0.13089622641509441</v>
      </c>
      <c r="BA250">
        <v>1</v>
      </c>
      <c r="BB250">
        <v>0.8205128205128206</v>
      </c>
      <c r="BC250">
        <v>0.66666666666666663</v>
      </c>
      <c r="BD250">
        <v>0.70681014150943389</v>
      </c>
      <c r="BE250">
        <v>4</v>
      </c>
      <c r="BF250">
        <v>0.79849740717223028</v>
      </c>
      <c r="BG250">
        <v>0.82</v>
      </c>
      <c r="BH250" t="s">
        <v>164</v>
      </c>
      <c r="BI250">
        <v>0.8</v>
      </c>
      <c r="BJ250" t="s">
        <v>164</v>
      </c>
      <c r="BK250" s="2">
        <f t="shared" si="7"/>
        <v>1.9999999999999907E-2</v>
      </c>
      <c r="BL250" t="b">
        <f t="shared" si="8"/>
        <v>1</v>
      </c>
    </row>
    <row r="251" spans="1:64" x14ac:dyDescent="0.35">
      <c r="A251" t="s">
        <v>717</v>
      </c>
      <c r="B251" t="s">
        <v>713</v>
      </c>
      <c r="C251">
        <v>2020</v>
      </c>
      <c r="D251" t="s">
        <v>714</v>
      </c>
      <c r="E251" t="s">
        <v>715</v>
      </c>
      <c r="F251" t="s">
        <v>66</v>
      </c>
      <c r="G251" t="s">
        <v>101</v>
      </c>
      <c r="H251" t="s">
        <v>184</v>
      </c>
      <c r="I251" t="s">
        <v>716</v>
      </c>
      <c r="J251" t="s">
        <v>70</v>
      </c>
      <c r="L251">
        <v>1</v>
      </c>
      <c r="M251" t="b">
        <v>0</v>
      </c>
      <c r="N251">
        <v>1</v>
      </c>
      <c r="O251">
        <v>1</v>
      </c>
      <c r="P251">
        <v>4</v>
      </c>
      <c r="Q251">
        <v>3</v>
      </c>
      <c r="R251">
        <v>1</v>
      </c>
      <c r="S251">
        <v>4</v>
      </c>
      <c r="T251">
        <v>23</v>
      </c>
      <c r="U251">
        <v>205</v>
      </c>
      <c r="V251">
        <v>77</v>
      </c>
      <c r="W251">
        <v>17</v>
      </c>
      <c r="X251">
        <v>4.5294117647058822</v>
      </c>
      <c r="Y251">
        <v>3</v>
      </c>
      <c r="Z251">
        <v>39</v>
      </c>
      <c r="AA251">
        <v>0</v>
      </c>
      <c r="AB251">
        <v>0</v>
      </c>
      <c r="AC251">
        <v>4</v>
      </c>
      <c r="AD251">
        <v>4</v>
      </c>
      <c r="AE251">
        <v>51</v>
      </c>
      <c r="AF251">
        <v>3</v>
      </c>
      <c r="AG251">
        <v>13</v>
      </c>
      <c r="AH251">
        <v>3</v>
      </c>
      <c r="AI251">
        <v>34</v>
      </c>
      <c r="AJ251">
        <v>0</v>
      </c>
      <c r="AK251">
        <v>0</v>
      </c>
      <c r="AL251">
        <v>3</v>
      </c>
      <c r="AM251">
        <v>34</v>
      </c>
      <c r="AN251">
        <v>6</v>
      </c>
      <c r="AO251">
        <v>52</v>
      </c>
      <c r="AP251">
        <v>7</v>
      </c>
      <c r="AQ251">
        <v>90</v>
      </c>
      <c r="AR251">
        <v>0.19024390243902439</v>
      </c>
      <c r="AS251">
        <v>0</v>
      </c>
      <c r="AT251">
        <v>0.24878048780487799</v>
      </c>
      <c r="AU251">
        <v>6.3414634146341464E-2</v>
      </c>
      <c r="AV251">
        <v>0.1658536585365854</v>
      </c>
      <c r="AW251">
        <v>0.1658536585365854</v>
      </c>
      <c r="AX251">
        <v>0.25365853658536591</v>
      </c>
      <c r="AY251">
        <v>0.43902439024390238</v>
      </c>
      <c r="AZ251">
        <v>8.7804878048780483E-2</v>
      </c>
      <c r="BA251">
        <v>0.5</v>
      </c>
      <c r="BB251">
        <v>0.58823529411764708</v>
      </c>
      <c r="BC251">
        <v>0.46666666666666667</v>
      </c>
      <c r="BD251">
        <v>0.67987804878048785</v>
      </c>
      <c r="BE251">
        <v>4</v>
      </c>
      <c r="BF251">
        <v>0.5586950023912004</v>
      </c>
      <c r="BG251">
        <v>0.57999999999999996</v>
      </c>
      <c r="BH251" t="s">
        <v>71</v>
      </c>
      <c r="BI251">
        <v>0.56000000000000005</v>
      </c>
      <c r="BJ251" t="s">
        <v>71</v>
      </c>
      <c r="BK251" s="2">
        <f t="shared" si="7"/>
        <v>1.9999999999999907E-2</v>
      </c>
      <c r="BL251" t="b">
        <f t="shared" si="8"/>
        <v>1</v>
      </c>
    </row>
    <row r="252" spans="1:64" x14ac:dyDescent="0.35">
      <c r="A252" t="s">
        <v>718</v>
      </c>
      <c r="B252" t="s">
        <v>719</v>
      </c>
      <c r="C252">
        <v>2014</v>
      </c>
      <c r="D252" t="s">
        <v>720</v>
      </c>
      <c r="E252" t="s">
        <v>721</v>
      </c>
      <c r="F252" t="s">
        <v>66</v>
      </c>
      <c r="G252" t="s">
        <v>101</v>
      </c>
      <c r="H252" t="s">
        <v>102</v>
      </c>
      <c r="I252" t="s">
        <v>722</v>
      </c>
      <c r="J252" t="s">
        <v>70</v>
      </c>
      <c r="L252">
        <v>1</v>
      </c>
      <c r="M252" t="b">
        <v>0</v>
      </c>
      <c r="N252">
        <v>2</v>
      </c>
      <c r="O252">
        <v>1</v>
      </c>
      <c r="P252">
        <v>2</v>
      </c>
      <c r="Q252">
        <v>5</v>
      </c>
      <c r="R252">
        <v>-3</v>
      </c>
      <c r="S252">
        <v>4</v>
      </c>
      <c r="T252">
        <v>19</v>
      </c>
      <c r="U252">
        <v>281</v>
      </c>
      <c r="V252">
        <v>74</v>
      </c>
      <c r="W252">
        <v>15</v>
      </c>
      <c r="X252">
        <v>4.9333333333333336</v>
      </c>
      <c r="Y252">
        <v>2</v>
      </c>
      <c r="Z252">
        <v>29</v>
      </c>
      <c r="AA252">
        <v>0</v>
      </c>
      <c r="AB252">
        <v>0</v>
      </c>
      <c r="AC252">
        <v>1</v>
      </c>
      <c r="AD252">
        <v>1</v>
      </c>
      <c r="AE252">
        <v>26</v>
      </c>
      <c r="AF252">
        <v>0</v>
      </c>
      <c r="AG252">
        <v>0</v>
      </c>
      <c r="AH252">
        <v>0</v>
      </c>
      <c r="AI252">
        <v>0</v>
      </c>
      <c r="AJ252">
        <v>4</v>
      </c>
      <c r="AK252">
        <v>15</v>
      </c>
      <c r="AL252">
        <v>5</v>
      </c>
      <c r="AM252">
        <v>23</v>
      </c>
      <c r="AN252">
        <v>2</v>
      </c>
      <c r="AO252">
        <v>29</v>
      </c>
      <c r="AP252">
        <v>3</v>
      </c>
      <c r="AQ252">
        <v>55</v>
      </c>
      <c r="AR252">
        <v>0.103202846975089</v>
      </c>
      <c r="AS252">
        <v>0</v>
      </c>
      <c r="AT252">
        <v>9.2526690391459068E-2</v>
      </c>
      <c r="AU252">
        <v>0</v>
      </c>
      <c r="AV252">
        <v>0</v>
      </c>
      <c r="AW252">
        <v>8.1850533807829182E-2</v>
      </c>
      <c r="AX252">
        <v>0.103202846975089</v>
      </c>
      <c r="AY252">
        <v>0.19572953736654811</v>
      </c>
      <c r="AZ252">
        <v>2.1352313167259791E-2</v>
      </c>
      <c r="BA252">
        <v>0.5</v>
      </c>
      <c r="BB252">
        <v>0.65555555555555556</v>
      </c>
      <c r="BC252">
        <v>0.2</v>
      </c>
      <c r="BD252">
        <v>0.6383451957295373</v>
      </c>
      <c r="BE252">
        <v>4</v>
      </c>
      <c r="BF252">
        <v>0.4984751878212732</v>
      </c>
      <c r="BG252">
        <v>0.51</v>
      </c>
      <c r="BH252" t="s">
        <v>71</v>
      </c>
      <c r="BI252">
        <v>0.5</v>
      </c>
      <c r="BJ252" t="s">
        <v>71</v>
      </c>
      <c r="BK252" s="2">
        <f t="shared" si="7"/>
        <v>1.0000000000000009E-2</v>
      </c>
      <c r="BL252" t="b">
        <f t="shared" si="8"/>
        <v>1</v>
      </c>
    </row>
    <row r="253" spans="1:64" x14ac:dyDescent="0.35">
      <c r="A253" t="s">
        <v>723</v>
      </c>
      <c r="B253" t="s">
        <v>719</v>
      </c>
      <c r="C253">
        <v>2018</v>
      </c>
      <c r="D253" t="s">
        <v>720</v>
      </c>
      <c r="E253" t="s">
        <v>721</v>
      </c>
      <c r="F253" t="s">
        <v>66</v>
      </c>
      <c r="G253" t="s">
        <v>101</v>
      </c>
      <c r="H253" t="s">
        <v>102</v>
      </c>
      <c r="I253" t="s">
        <v>722</v>
      </c>
      <c r="J253" t="s">
        <v>70</v>
      </c>
      <c r="L253">
        <v>1</v>
      </c>
      <c r="M253" t="b">
        <v>0</v>
      </c>
      <c r="N253">
        <v>1</v>
      </c>
      <c r="O253">
        <v>3</v>
      </c>
      <c r="P253">
        <v>8</v>
      </c>
      <c r="Q253">
        <v>6</v>
      </c>
      <c r="R253">
        <v>2</v>
      </c>
      <c r="S253">
        <v>5</v>
      </c>
      <c r="T253">
        <v>44</v>
      </c>
      <c r="U253">
        <v>1938</v>
      </c>
      <c r="V253">
        <v>115</v>
      </c>
      <c r="W253">
        <v>23</v>
      </c>
      <c r="X253">
        <v>5</v>
      </c>
      <c r="Y253">
        <v>7</v>
      </c>
      <c r="Z253">
        <v>259</v>
      </c>
      <c r="AA253">
        <v>0</v>
      </c>
      <c r="AB253">
        <v>0</v>
      </c>
      <c r="AC253">
        <v>3</v>
      </c>
      <c r="AD253">
        <v>3</v>
      </c>
      <c r="AE253">
        <v>195</v>
      </c>
      <c r="AF253">
        <v>1</v>
      </c>
      <c r="AG253">
        <v>1</v>
      </c>
      <c r="AH253">
        <v>1</v>
      </c>
      <c r="AI253">
        <v>152</v>
      </c>
      <c r="AJ253">
        <v>4</v>
      </c>
      <c r="AK253">
        <v>105</v>
      </c>
      <c r="AL253">
        <v>5</v>
      </c>
      <c r="AM253">
        <v>257</v>
      </c>
      <c r="AN253">
        <v>8</v>
      </c>
      <c r="AO253">
        <v>260</v>
      </c>
      <c r="AP253">
        <v>10</v>
      </c>
      <c r="AQ253">
        <v>454</v>
      </c>
      <c r="AR253">
        <v>0.13364293085655321</v>
      </c>
      <c r="AS253">
        <v>0</v>
      </c>
      <c r="AT253">
        <v>0.1006191950464396</v>
      </c>
      <c r="AU253">
        <v>5.1599587203302369E-4</v>
      </c>
      <c r="AV253">
        <v>7.8431372549019607E-2</v>
      </c>
      <c r="AW253">
        <v>0.13261093911248709</v>
      </c>
      <c r="AX253">
        <v>0.1341589267285862</v>
      </c>
      <c r="AY253">
        <v>0.23426212590299281</v>
      </c>
      <c r="AZ253">
        <v>1.5479876160990609E-3</v>
      </c>
      <c r="BA253">
        <v>0.66666666666666663</v>
      </c>
      <c r="BB253">
        <v>0.66666666666666663</v>
      </c>
      <c r="BC253">
        <v>0.66666666666666663</v>
      </c>
      <c r="BD253">
        <v>0.62596749226006188</v>
      </c>
      <c r="BE253">
        <v>4</v>
      </c>
      <c r="BF253">
        <v>0.65649187306501544</v>
      </c>
      <c r="BG253">
        <v>0.69</v>
      </c>
      <c r="BH253" t="s">
        <v>86</v>
      </c>
      <c r="BI253">
        <v>0.66</v>
      </c>
      <c r="BJ253" t="s">
        <v>86</v>
      </c>
      <c r="BK253" s="2">
        <f t="shared" si="7"/>
        <v>2.9999999999999916E-2</v>
      </c>
      <c r="BL253" t="b">
        <f t="shared" si="8"/>
        <v>1</v>
      </c>
    </row>
    <row r="254" spans="1:64" x14ac:dyDescent="0.35">
      <c r="A254" t="s">
        <v>724</v>
      </c>
      <c r="B254" t="s">
        <v>719</v>
      </c>
      <c r="C254">
        <v>2022</v>
      </c>
      <c r="D254" t="s">
        <v>720</v>
      </c>
      <c r="E254" t="s">
        <v>721</v>
      </c>
      <c r="F254" t="s">
        <v>66</v>
      </c>
      <c r="G254" t="s">
        <v>101</v>
      </c>
      <c r="H254" t="s">
        <v>102</v>
      </c>
      <c r="I254" t="s">
        <v>722</v>
      </c>
      <c r="J254" t="s">
        <v>70</v>
      </c>
      <c r="L254">
        <v>1</v>
      </c>
      <c r="M254" t="b">
        <v>0</v>
      </c>
      <c r="N254">
        <v>3</v>
      </c>
      <c r="O254">
        <v>1</v>
      </c>
      <c r="P254">
        <v>1</v>
      </c>
      <c r="Q254">
        <v>1</v>
      </c>
      <c r="R254">
        <v>0</v>
      </c>
      <c r="S254">
        <v>4</v>
      </c>
      <c r="T254">
        <v>10</v>
      </c>
      <c r="U254">
        <v>147</v>
      </c>
      <c r="V254">
        <v>48</v>
      </c>
      <c r="W254">
        <v>10</v>
      </c>
      <c r="X254">
        <v>4.8</v>
      </c>
      <c r="Y254">
        <v>1</v>
      </c>
      <c r="Z254">
        <v>13</v>
      </c>
      <c r="AA254">
        <v>0</v>
      </c>
      <c r="AB254">
        <v>0</v>
      </c>
      <c r="AC254">
        <v>1</v>
      </c>
      <c r="AD254">
        <v>1</v>
      </c>
      <c r="AE254">
        <v>37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14</v>
      </c>
      <c r="AP254">
        <v>2</v>
      </c>
      <c r="AQ254">
        <v>50</v>
      </c>
      <c r="AR254">
        <v>8.8435374149659865E-2</v>
      </c>
      <c r="AS254">
        <v>0</v>
      </c>
      <c r="AT254">
        <v>0.25170068027210879</v>
      </c>
      <c r="AU254">
        <v>6.8027210884353739E-3</v>
      </c>
      <c r="AV254">
        <v>0</v>
      </c>
      <c r="AW254">
        <v>0</v>
      </c>
      <c r="AX254">
        <v>9.5238095238095233E-2</v>
      </c>
      <c r="AY254">
        <v>0.3401360544217687</v>
      </c>
      <c r="AZ254">
        <v>9.5238095238095233E-2</v>
      </c>
      <c r="BA254">
        <v>0.5</v>
      </c>
      <c r="BB254">
        <v>0.6333333333333333</v>
      </c>
      <c r="BC254">
        <v>0.1333333333333333</v>
      </c>
      <c r="BD254">
        <v>0.68452380952380953</v>
      </c>
      <c r="BE254">
        <v>4</v>
      </c>
      <c r="BF254">
        <v>0.48779761904761898</v>
      </c>
      <c r="BG254">
        <v>0.49</v>
      </c>
      <c r="BH254" t="s">
        <v>71</v>
      </c>
      <c r="BI254">
        <v>0.49</v>
      </c>
      <c r="BJ254" t="s">
        <v>71</v>
      </c>
      <c r="BK254" s="2">
        <f t="shared" si="7"/>
        <v>0</v>
      </c>
      <c r="BL254" t="b">
        <f t="shared" si="8"/>
        <v>1</v>
      </c>
    </row>
    <row r="255" spans="1:64" x14ac:dyDescent="0.35">
      <c r="A255" t="s">
        <v>725</v>
      </c>
      <c r="B255" t="s">
        <v>726</v>
      </c>
      <c r="C255">
        <v>2014</v>
      </c>
      <c r="D255" t="s">
        <v>727</v>
      </c>
      <c r="E255" t="s">
        <v>728</v>
      </c>
      <c r="F255" t="s">
        <v>66</v>
      </c>
      <c r="G255" t="s">
        <v>101</v>
      </c>
      <c r="H255" t="s">
        <v>170</v>
      </c>
      <c r="I255" t="s">
        <v>729</v>
      </c>
      <c r="J255" t="s">
        <v>70</v>
      </c>
      <c r="L255">
        <v>1</v>
      </c>
      <c r="M255" t="b">
        <v>0</v>
      </c>
      <c r="N255">
        <v>1</v>
      </c>
      <c r="O255">
        <v>2</v>
      </c>
      <c r="P255">
        <v>7</v>
      </c>
      <c r="Q255">
        <v>2</v>
      </c>
      <c r="R255">
        <v>5</v>
      </c>
      <c r="S255">
        <v>6</v>
      </c>
      <c r="T255">
        <v>19</v>
      </c>
      <c r="U255">
        <v>188</v>
      </c>
      <c r="V255">
        <v>80</v>
      </c>
      <c r="W255">
        <v>14</v>
      </c>
      <c r="X255">
        <v>5.7142857142857144</v>
      </c>
      <c r="Y255">
        <v>3</v>
      </c>
      <c r="Z255">
        <v>44</v>
      </c>
      <c r="AA255">
        <v>0</v>
      </c>
      <c r="AB255">
        <v>0</v>
      </c>
      <c r="AC255">
        <v>5</v>
      </c>
      <c r="AD255">
        <v>5</v>
      </c>
      <c r="AE255">
        <v>28</v>
      </c>
      <c r="AF255">
        <v>0</v>
      </c>
      <c r="AG255">
        <v>0</v>
      </c>
      <c r="AH255">
        <v>2</v>
      </c>
      <c r="AI255">
        <v>3</v>
      </c>
      <c r="AJ255">
        <v>0</v>
      </c>
      <c r="AK255">
        <v>0</v>
      </c>
      <c r="AL255">
        <v>2</v>
      </c>
      <c r="AM255">
        <v>3</v>
      </c>
      <c r="AN255">
        <v>3</v>
      </c>
      <c r="AO255">
        <v>44</v>
      </c>
      <c r="AP255">
        <v>8</v>
      </c>
      <c r="AQ255">
        <v>72</v>
      </c>
      <c r="AR255">
        <v>0.23404255319148939</v>
      </c>
      <c r="AS255">
        <v>0</v>
      </c>
      <c r="AT255">
        <v>0.14893617021276601</v>
      </c>
      <c r="AU255">
        <v>0</v>
      </c>
      <c r="AV255">
        <v>1.5957446808510641E-2</v>
      </c>
      <c r="AW255">
        <v>1.5957446808510641E-2</v>
      </c>
      <c r="AX255">
        <v>0.23404255319148939</v>
      </c>
      <c r="AY255">
        <v>0.38297872340425532</v>
      </c>
      <c r="AZ255">
        <v>0.21808510638297871</v>
      </c>
      <c r="BA255">
        <v>0.83333333333333337</v>
      </c>
      <c r="BB255">
        <v>0.7857142857142857</v>
      </c>
      <c r="BC255">
        <v>0.53333333333333333</v>
      </c>
      <c r="BD255">
        <v>0.76130319148936165</v>
      </c>
      <c r="BE255">
        <v>4</v>
      </c>
      <c r="BF255">
        <v>0.72842103596757846</v>
      </c>
      <c r="BG255">
        <v>0.73</v>
      </c>
      <c r="BH255" t="s">
        <v>86</v>
      </c>
      <c r="BI255">
        <v>0.73</v>
      </c>
      <c r="BJ255" t="s">
        <v>86</v>
      </c>
      <c r="BK255" s="2">
        <f t="shared" si="7"/>
        <v>0</v>
      </c>
      <c r="BL255" t="b">
        <f t="shared" si="8"/>
        <v>1</v>
      </c>
    </row>
    <row r="256" spans="1:64" x14ac:dyDescent="0.35">
      <c r="A256" t="s">
        <v>730</v>
      </c>
      <c r="B256" t="s">
        <v>726</v>
      </c>
      <c r="C256">
        <v>2018</v>
      </c>
      <c r="D256" t="s">
        <v>727</v>
      </c>
      <c r="E256" t="s">
        <v>728</v>
      </c>
      <c r="F256" t="s">
        <v>66</v>
      </c>
      <c r="G256" t="s">
        <v>101</v>
      </c>
      <c r="H256" t="s">
        <v>170</v>
      </c>
      <c r="I256" t="s">
        <v>729</v>
      </c>
      <c r="J256" t="s">
        <v>70</v>
      </c>
      <c r="L256">
        <v>1</v>
      </c>
      <c r="M256" t="b">
        <v>0</v>
      </c>
      <c r="N256">
        <v>4</v>
      </c>
      <c r="O256">
        <v>2</v>
      </c>
      <c r="P256">
        <v>3</v>
      </c>
      <c r="Q256">
        <v>4</v>
      </c>
      <c r="R256">
        <v>-1</v>
      </c>
      <c r="S256">
        <v>3</v>
      </c>
      <c r="T256">
        <v>18</v>
      </c>
      <c r="U256">
        <v>92</v>
      </c>
      <c r="V256">
        <v>63</v>
      </c>
      <c r="W256">
        <v>13</v>
      </c>
      <c r="X256">
        <v>4.8461538461538458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</v>
      </c>
      <c r="AI256">
        <v>9</v>
      </c>
      <c r="AJ256">
        <v>1</v>
      </c>
      <c r="AK256">
        <v>7</v>
      </c>
      <c r="AL256">
        <v>3</v>
      </c>
      <c r="AM256">
        <v>16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9.7826086956521743E-2</v>
      </c>
      <c r="AW256">
        <v>0.17391304347826089</v>
      </c>
      <c r="AX256">
        <v>0</v>
      </c>
      <c r="AY256">
        <v>0</v>
      </c>
      <c r="AZ256">
        <v>-0.17391304347826089</v>
      </c>
      <c r="BA256">
        <v>0.33333333333333331</v>
      </c>
      <c r="BB256">
        <v>0.64102564102564097</v>
      </c>
      <c r="BC256">
        <v>0</v>
      </c>
      <c r="BD256">
        <v>0.51630434782608692</v>
      </c>
      <c r="BE256">
        <v>4</v>
      </c>
      <c r="BF256">
        <v>0.37266583054626529</v>
      </c>
      <c r="BG256">
        <v>0.39</v>
      </c>
      <c r="BH256" t="s">
        <v>104</v>
      </c>
      <c r="BI256">
        <v>0.37</v>
      </c>
      <c r="BJ256" t="s">
        <v>104</v>
      </c>
      <c r="BK256" s="2">
        <f t="shared" si="7"/>
        <v>2.0000000000000018E-2</v>
      </c>
      <c r="BL256" t="b">
        <f t="shared" si="8"/>
        <v>1</v>
      </c>
    </row>
    <row r="257" spans="1:64" x14ac:dyDescent="0.35">
      <c r="A257" t="s">
        <v>731</v>
      </c>
      <c r="B257" t="s">
        <v>732</v>
      </c>
      <c r="C257">
        <v>2014</v>
      </c>
      <c r="D257" t="s">
        <v>733</v>
      </c>
      <c r="E257" t="s">
        <v>734</v>
      </c>
      <c r="F257" t="s">
        <v>66</v>
      </c>
      <c r="G257" t="s">
        <v>101</v>
      </c>
      <c r="H257" t="s">
        <v>348</v>
      </c>
      <c r="I257" t="s">
        <v>349</v>
      </c>
      <c r="J257" t="s">
        <v>70</v>
      </c>
      <c r="L257">
        <v>4</v>
      </c>
      <c r="M257" t="b">
        <v>0</v>
      </c>
      <c r="N257">
        <v>1</v>
      </c>
      <c r="O257">
        <v>1</v>
      </c>
      <c r="P257">
        <v>8</v>
      </c>
      <c r="Q257">
        <v>5</v>
      </c>
      <c r="R257">
        <v>3</v>
      </c>
      <c r="S257">
        <v>4</v>
      </c>
      <c r="T257">
        <v>31</v>
      </c>
      <c r="U257">
        <v>575</v>
      </c>
      <c r="V257">
        <v>130</v>
      </c>
      <c r="W257">
        <v>22</v>
      </c>
      <c r="X257">
        <v>5.9090909090909092</v>
      </c>
      <c r="Y257">
        <v>3</v>
      </c>
      <c r="Z257">
        <v>52</v>
      </c>
      <c r="AA257">
        <v>1</v>
      </c>
      <c r="AB257">
        <v>3</v>
      </c>
      <c r="AC257">
        <v>4</v>
      </c>
      <c r="AD257">
        <v>4</v>
      </c>
      <c r="AE257">
        <v>7</v>
      </c>
      <c r="AF257">
        <v>2</v>
      </c>
      <c r="AG257">
        <v>52</v>
      </c>
      <c r="AH257">
        <v>1</v>
      </c>
      <c r="AI257">
        <v>7</v>
      </c>
      <c r="AJ257">
        <v>3</v>
      </c>
      <c r="AK257">
        <v>91</v>
      </c>
      <c r="AL257">
        <v>4</v>
      </c>
      <c r="AM257">
        <v>98</v>
      </c>
      <c r="AN257">
        <v>6</v>
      </c>
      <c r="AO257">
        <v>107</v>
      </c>
      <c r="AP257">
        <v>8</v>
      </c>
      <c r="AQ257">
        <v>62</v>
      </c>
      <c r="AR257">
        <v>9.0434782608695655E-2</v>
      </c>
      <c r="AS257">
        <v>5.2173913043478256E-3</v>
      </c>
      <c r="AT257">
        <v>1.2173913043478261E-2</v>
      </c>
      <c r="AU257">
        <v>9.0434782608695655E-2</v>
      </c>
      <c r="AV257">
        <v>1.2173913043478261E-2</v>
      </c>
      <c r="AW257">
        <v>0.17043478260869571</v>
      </c>
      <c r="AX257">
        <v>0.18608695652173909</v>
      </c>
      <c r="AY257">
        <v>0.1078260869565217</v>
      </c>
      <c r="AZ257">
        <v>1.5652173913043469E-2</v>
      </c>
      <c r="BA257">
        <v>0.5</v>
      </c>
      <c r="BB257">
        <v>0.81818181818181823</v>
      </c>
      <c r="BC257">
        <v>0.53333333333333333</v>
      </c>
      <c r="BD257">
        <v>0.63478260869565217</v>
      </c>
      <c r="BE257">
        <v>4</v>
      </c>
      <c r="BF257">
        <v>0.62157444005270091</v>
      </c>
      <c r="BG257">
        <v>0.62</v>
      </c>
      <c r="BH257" t="s">
        <v>86</v>
      </c>
      <c r="BI257">
        <v>0.62</v>
      </c>
      <c r="BJ257" t="s">
        <v>86</v>
      </c>
      <c r="BK257" s="2">
        <f t="shared" si="7"/>
        <v>0</v>
      </c>
      <c r="BL257" t="b">
        <f t="shared" si="8"/>
        <v>1</v>
      </c>
    </row>
    <row r="258" spans="1:64" x14ac:dyDescent="0.35">
      <c r="A258" t="s">
        <v>735</v>
      </c>
      <c r="B258" t="s">
        <v>732</v>
      </c>
      <c r="C258">
        <v>2015</v>
      </c>
      <c r="D258" t="s">
        <v>733</v>
      </c>
      <c r="E258" t="s">
        <v>734</v>
      </c>
      <c r="F258" t="s">
        <v>66</v>
      </c>
      <c r="G258" t="s">
        <v>101</v>
      </c>
      <c r="H258" t="s">
        <v>348</v>
      </c>
      <c r="I258" t="s">
        <v>349</v>
      </c>
      <c r="J258" t="s">
        <v>70</v>
      </c>
      <c r="L258">
        <v>4</v>
      </c>
      <c r="M258" t="b">
        <v>0</v>
      </c>
      <c r="N258">
        <v>1</v>
      </c>
      <c r="O258">
        <v>1</v>
      </c>
      <c r="P258">
        <v>4</v>
      </c>
      <c r="Q258">
        <v>5</v>
      </c>
      <c r="R258">
        <v>-1</v>
      </c>
      <c r="S258">
        <v>4</v>
      </c>
      <c r="T258">
        <v>23</v>
      </c>
      <c r="U258">
        <v>121</v>
      </c>
      <c r="V258">
        <v>100</v>
      </c>
      <c r="W258">
        <v>19</v>
      </c>
      <c r="X258">
        <v>5.2631578947368416</v>
      </c>
      <c r="Y258">
        <v>2</v>
      </c>
      <c r="Z258">
        <v>5</v>
      </c>
      <c r="AA258">
        <v>0</v>
      </c>
      <c r="AB258">
        <v>0</v>
      </c>
      <c r="AC258">
        <v>4</v>
      </c>
      <c r="AD258">
        <v>4</v>
      </c>
      <c r="AE258">
        <v>15</v>
      </c>
      <c r="AF258">
        <v>1</v>
      </c>
      <c r="AG258">
        <v>28</v>
      </c>
      <c r="AH258">
        <v>1</v>
      </c>
      <c r="AI258">
        <v>4</v>
      </c>
      <c r="AJ258">
        <v>3</v>
      </c>
      <c r="AK258">
        <v>3</v>
      </c>
      <c r="AL258">
        <v>4</v>
      </c>
      <c r="AM258">
        <v>7</v>
      </c>
      <c r="AN258">
        <v>3</v>
      </c>
      <c r="AO258">
        <v>33</v>
      </c>
      <c r="AP258">
        <v>6</v>
      </c>
      <c r="AQ258">
        <v>20</v>
      </c>
      <c r="AR258">
        <v>4.1322314049586778E-2</v>
      </c>
      <c r="AS258">
        <v>0</v>
      </c>
      <c r="AT258">
        <v>0.12396694214876031</v>
      </c>
      <c r="AU258">
        <v>0.23140495867768601</v>
      </c>
      <c r="AV258">
        <v>3.3057851239669422E-2</v>
      </c>
      <c r="AW258">
        <v>5.7851239669421489E-2</v>
      </c>
      <c r="AX258">
        <v>0.27272727272727271</v>
      </c>
      <c r="AY258">
        <v>0.16528925619834711</v>
      </c>
      <c r="AZ258">
        <v>0.21487603305785119</v>
      </c>
      <c r="BA258">
        <v>0.5</v>
      </c>
      <c r="BB258">
        <v>0.71052631578947356</v>
      </c>
      <c r="BC258">
        <v>0.4</v>
      </c>
      <c r="BD258">
        <v>0.75929752066115697</v>
      </c>
      <c r="BE258">
        <v>4</v>
      </c>
      <c r="BF258">
        <v>0.59245595911265769</v>
      </c>
      <c r="BG258">
        <v>0.62</v>
      </c>
      <c r="BH258" t="s">
        <v>86</v>
      </c>
      <c r="BI258">
        <v>0.59</v>
      </c>
      <c r="BJ258" t="s">
        <v>71</v>
      </c>
      <c r="BK258" s="2">
        <f t="shared" si="7"/>
        <v>3.0000000000000027E-2</v>
      </c>
      <c r="BL258" t="b">
        <f t="shared" si="8"/>
        <v>0</v>
      </c>
    </row>
    <row r="259" spans="1:64" x14ac:dyDescent="0.35">
      <c r="A259" t="s">
        <v>736</v>
      </c>
      <c r="B259" t="s">
        <v>732</v>
      </c>
      <c r="C259">
        <v>2016</v>
      </c>
      <c r="D259" t="s">
        <v>733</v>
      </c>
      <c r="E259" t="s">
        <v>734</v>
      </c>
      <c r="F259" t="s">
        <v>66</v>
      </c>
      <c r="G259" t="s">
        <v>101</v>
      </c>
      <c r="H259" t="s">
        <v>348</v>
      </c>
      <c r="I259" t="s">
        <v>349</v>
      </c>
      <c r="J259" t="s">
        <v>70</v>
      </c>
      <c r="L259">
        <v>4</v>
      </c>
      <c r="M259" t="b">
        <v>0</v>
      </c>
      <c r="N259">
        <v>1</v>
      </c>
      <c r="O259">
        <v>1</v>
      </c>
      <c r="P259">
        <v>8</v>
      </c>
      <c r="Q259">
        <v>4</v>
      </c>
      <c r="R259">
        <v>4</v>
      </c>
      <c r="S259">
        <v>5</v>
      </c>
      <c r="T259">
        <v>30</v>
      </c>
      <c r="U259">
        <v>401</v>
      </c>
      <c r="V259">
        <v>132</v>
      </c>
      <c r="W259">
        <v>22</v>
      </c>
      <c r="X259">
        <v>6</v>
      </c>
      <c r="Y259">
        <v>2</v>
      </c>
      <c r="Z259">
        <v>92</v>
      </c>
      <c r="AA259">
        <v>0</v>
      </c>
      <c r="AB259">
        <v>0</v>
      </c>
      <c r="AC259">
        <v>4</v>
      </c>
      <c r="AD259">
        <v>4</v>
      </c>
      <c r="AE259">
        <v>58</v>
      </c>
      <c r="AF259">
        <v>1</v>
      </c>
      <c r="AG259">
        <v>60</v>
      </c>
      <c r="AH259">
        <v>1</v>
      </c>
      <c r="AI259">
        <v>31</v>
      </c>
      <c r="AJ259">
        <v>4</v>
      </c>
      <c r="AK259">
        <v>35</v>
      </c>
      <c r="AL259">
        <v>5</v>
      </c>
      <c r="AM259">
        <v>66</v>
      </c>
      <c r="AN259">
        <v>3</v>
      </c>
      <c r="AO259">
        <v>152</v>
      </c>
      <c r="AP259">
        <v>6</v>
      </c>
      <c r="AQ259">
        <v>150</v>
      </c>
      <c r="AR259">
        <v>0.229426433915212</v>
      </c>
      <c r="AS259">
        <v>0</v>
      </c>
      <c r="AT259">
        <v>0.14463840399002489</v>
      </c>
      <c r="AU259">
        <v>0.1496259351620948</v>
      </c>
      <c r="AV259">
        <v>7.7306733167082295E-2</v>
      </c>
      <c r="AW259">
        <v>0.1645885286783042</v>
      </c>
      <c r="AX259">
        <v>0.37905236907730672</v>
      </c>
      <c r="AY259">
        <v>0.37406483790523692</v>
      </c>
      <c r="AZ259">
        <v>0.21446384039900249</v>
      </c>
      <c r="BA259">
        <v>0.66666666666666663</v>
      </c>
      <c r="BB259">
        <v>0.83333333333333337</v>
      </c>
      <c r="BC259">
        <v>0.4</v>
      </c>
      <c r="BD259">
        <v>0.75903990024937651</v>
      </c>
      <c r="BE259">
        <v>4</v>
      </c>
      <c r="BF259">
        <v>0.66475997506234408</v>
      </c>
      <c r="BG259">
        <v>0.68</v>
      </c>
      <c r="BH259" t="s">
        <v>86</v>
      </c>
      <c r="BI259">
        <v>0.66</v>
      </c>
      <c r="BJ259" t="s">
        <v>86</v>
      </c>
      <c r="BK259" s="2">
        <f t="shared" ref="BK259:BK322" si="9">BG259-BI259</f>
        <v>2.0000000000000018E-2</v>
      </c>
      <c r="BL259" t="b">
        <f t="shared" ref="BL259:BL322" si="10">EXACT(BH259,BJ259)</f>
        <v>1</v>
      </c>
    </row>
    <row r="260" spans="1:64" x14ac:dyDescent="0.35">
      <c r="A260" t="s">
        <v>737</v>
      </c>
      <c r="B260" t="s">
        <v>732</v>
      </c>
      <c r="C260">
        <v>2019</v>
      </c>
      <c r="D260" t="s">
        <v>733</v>
      </c>
      <c r="E260" t="s">
        <v>734</v>
      </c>
      <c r="F260" t="s">
        <v>66</v>
      </c>
      <c r="G260" t="s">
        <v>101</v>
      </c>
      <c r="H260" t="s">
        <v>348</v>
      </c>
      <c r="I260" t="s">
        <v>349</v>
      </c>
      <c r="J260" t="s">
        <v>70</v>
      </c>
      <c r="L260">
        <v>4</v>
      </c>
      <c r="M260" t="b">
        <v>0</v>
      </c>
      <c r="N260">
        <v>2</v>
      </c>
      <c r="O260">
        <v>1</v>
      </c>
      <c r="P260">
        <v>5</v>
      </c>
      <c r="Q260">
        <v>3</v>
      </c>
      <c r="R260">
        <v>2</v>
      </c>
      <c r="S260">
        <v>4</v>
      </c>
      <c r="T260">
        <v>27</v>
      </c>
      <c r="U260">
        <v>401</v>
      </c>
      <c r="V260">
        <v>94</v>
      </c>
      <c r="W260">
        <v>18</v>
      </c>
      <c r="X260">
        <v>5.2222222222222223</v>
      </c>
      <c r="Y260">
        <v>2</v>
      </c>
      <c r="Z260">
        <v>20</v>
      </c>
      <c r="AA260">
        <v>0</v>
      </c>
      <c r="AB260">
        <v>0</v>
      </c>
      <c r="AC260">
        <v>1</v>
      </c>
      <c r="AD260">
        <v>1</v>
      </c>
      <c r="AE260">
        <v>35</v>
      </c>
      <c r="AF260">
        <v>1</v>
      </c>
      <c r="AG260">
        <v>17</v>
      </c>
      <c r="AH260">
        <v>1</v>
      </c>
      <c r="AI260">
        <v>1</v>
      </c>
      <c r="AJ260">
        <v>1</v>
      </c>
      <c r="AK260">
        <v>1</v>
      </c>
      <c r="AL260">
        <v>2</v>
      </c>
      <c r="AM260">
        <v>2</v>
      </c>
      <c r="AN260">
        <v>3</v>
      </c>
      <c r="AO260">
        <v>37</v>
      </c>
      <c r="AP260">
        <v>3</v>
      </c>
      <c r="AQ260">
        <v>55</v>
      </c>
      <c r="AR260">
        <v>4.9875311720698257E-2</v>
      </c>
      <c r="AS260">
        <v>0</v>
      </c>
      <c r="AT260">
        <v>8.7281795511221949E-2</v>
      </c>
      <c r="AU260">
        <v>4.2394014962593519E-2</v>
      </c>
      <c r="AV260">
        <v>2.4937655860349131E-3</v>
      </c>
      <c r="AW260">
        <v>4.9875311720698253E-3</v>
      </c>
      <c r="AX260">
        <v>9.2269326683291769E-2</v>
      </c>
      <c r="AY260">
        <v>0.13715710723192021</v>
      </c>
      <c r="AZ260">
        <v>8.7281795511221949E-2</v>
      </c>
      <c r="BA260">
        <v>0.5</v>
      </c>
      <c r="BB260">
        <v>0.70370370370370372</v>
      </c>
      <c r="BC260">
        <v>0.2</v>
      </c>
      <c r="BD260">
        <v>0.67955112219451363</v>
      </c>
      <c r="BE260">
        <v>4</v>
      </c>
      <c r="BF260">
        <v>0.52081370647455438</v>
      </c>
      <c r="BG260">
        <v>0.51</v>
      </c>
      <c r="BH260" t="s">
        <v>71</v>
      </c>
      <c r="BI260">
        <v>0.52</v>
      </c>
      <c r="BJ260" t="s">
        <v>71</v>
      </c>
      <c r="BK260" s="2">
        <f t="shared" si="9"/>
        <v>-1.0000000000000009E-2</v>
      </c>
      <c r="BL260" t="b">
        <f t="shared" si="10"/>
        <v>1</v>
      </c>
    </row>
    <row r="261" spans="1:64" x14ac:dyDescent="0.35">
      <c r="A261" t="s">
        <v>738</v>
      </c>
      <c r="B261" t="s">
        <v>732</v>
      </c>
      <c r="C261">
        <v>2022</v>
      </c>
      <c r="D261" t="s">
        <v>733</v>
      </c>
      <c r="E261" t="s">
        <v>734</v>
      </c>
      <c r="F261" t="s">
        <v>66</v>
      </c>
      <c r="G261" t="s">
        <v>101</v>
      </c>
      <c r="H261" t="s">
        <v>348</v>
      </c>
      <c r="I261" t="s">
        <v>349</v>
      </c>
      <c r="J261" t="s">
        <v>70</v>
      </c>
      <c r="L261">
        <v>4</v>
      </c>
      <c r="M261" t="b">
        <v>0</v>
      </c>
      <c r="N261">
        <v>4</v>
      </c>
      <c r="O261">
        <v>2</v>
      </c>
      <c r="P261">
        <v>3</v>
      </c>
      <c r="Q261">
        <v>4</v>
      </c>
      <c r="R261">
        <v>-1</v>
      </c>
      <c r="S261">
        <v>3</v>
      </c>
      <c r="T261">
        <v>32</v>
      </c>
      <c r="U261">
        <v>404</v>
      </c>
      <c r="V261">
        <v>122</v>
      </c>
      <c r="W261">
        <v>27</v>
      </c>
      <c r="X261">
        <v>4.5185185185185182</v>
      </c>
      <c r="Y261">
        <v>1</v>
      </c>
      <c r="Z261">
        <v>13</v>
      </c>
      <c r="AA261">
        <v>0</v>
      </c>
      <c r="AB261">
        <v>0</v>
      </c>
      <c r="AC261">
        <v>1</v>
      </c>
      <c r="AD261">
        <v>1</v>
      </c>
      <c r="AE261">
        <v>11</v>
      </c>
      <c r="AF261">
        <v>2</v>
      </c>
      <c r="AG261">
        <v>19</v>
      </c>
      <c r="AH261">
        <v>1</v>
      </c>
      <c r="AI261">
        <v>22</v>
      </c>
      <c r="AJ261">
        <v>4</v>
      </c>
      <c r="AK261">
        <v>32</v>
      </c>
      <c r="AL261">
        <v>5</v>
      </c>
      <c r="AM261">
        <v>54</v>
      </c>
      <c r="AN261">
        <v>3</v>
      </c>
      <c r="AO261">
        <v>32</v>
      </c>
      <c r="AP261">
        <v>2</v>
      </c>
      <c r="AQ261">
        <v>24</v>
      </c>
      <c r="AR261">
        <v>3.2178217821782179E-2</v>
      </c>
      <c r="AS261">
        <v>0</v>
      </c>
      <c r="AT261">
        <v>2.7227722772277231E-2</v>
      </c>
      <c r="AU261">
        <v>4.702970297029703E-2</v>
      </c>
      <c r="AV261">
        <v>5.4455445544554462E-2</v>
      </c>
      <c r="AW261">
        <v>0.1336633663366337</v>
      </c>
      <c r="AX261">
        <v>7.9207920792079209E-2</v>
      </c>
      <c r="AY261">
        <v>5.9405940594059403E-2</v>
      </c>
      <c r="AZ261">
        <v>-5.4455445544554462E-2</v>
      </c>
      <c r="BA261">
        <v>0.33333333333333331</v>
      </c>
      <c r="BB261">
        <v>0.58641975308641969</v>
      </c>
      <c r="BC261">
        <v>0.1333333333333333</v>
      </c>
      <c r="BD261">
        <v>0.59096534653465338</v>
      </c>
      <c r="BE261">
        <v>4</v>
      </c>
      <c r="BF261">
        <v>0.41101294157193491</v>
      </c>
      <c r="BG261">
        <v>0.42</v>
      </c>
      <c r="BH261" t="s">
        <v>71</v>
      </c>
      <c r="BI261">
        <v>0.41</v>
      </c>
      <c r="BJ261" t="s">
        <v>71</v>
      </c>
      <c r="BK261" s="2">
        <f t="shared" si="9"/>
        <v>1.0000000000000009E-2</v>
      </c>
      <c r="BL261" t="b">
        <f t="shared" si="10"/>
        <v>1</v>
      </c>
    </row>
    <row r="262" spans="1:64" x14ac:dyDescent="0.35">
      <c r="A262" t="s">
        <v>739</v>
      </c>
      <c r="B262" t="s">
        <v>740</v>
      </c>
      <c r="C262">
        <v>2018</v>
      </c>
      <c r="D262" t="s">
        <v>741</v>
      </c>
      <c r="E262" t="s">
        <v>742</v>
      </c>
      <c r="F262" t="s">
        <v>66</v>
      </c>
      <c r="G262" t="s">
        <v>144</v>
      </c>
      <c r="H262" t="s">
        <v>144</v>
      </c>
      <c r="I262" t="s">
        <v>743</v>
      </c>
      <c r="J262" t="s">
        <v>70</v>
      </c>
      <c r="L262">
        <v>1</v>
      </c>
      <c r="M262" t="b">
        <v>0</v>
      </c>
      <c r="N262">
        <v>2</v>
      </c>
      <c r="O262">
        <v>1</v>
      </c>
      <c r="P262">
        <v>3</v>
      </c>
      <c r="Q262">
        <v>0</v>
      </c>
      <c r="R262">
        <v>3</v>
      </c>
      <c r="S262">
        <v>4</v>
      </c>
      <c r="T262">
        <v>11</v>
      </c>
      <c r="U262">
        <v>30</v>
      </c>
      <c r="V262">
        <v>55</v>
      </c>
      <c r="W262">
        <v>10</v>
      </c>
      <c r="X262">
        <v>5.5</v>
      </c>
      <c r="Y262">
        <v>2</v>
      </c>
      <c r="Z262">
        <v>2</v>
      </c>
      <c r="AA262">
        <v>0</v>
      </c>
      <c r="AB262">
        <v>0</v>
      </c>
      <c r="AC262">
        <v>2</v>
      </c>
      <c r="AD262">
        <v>2</v>
      </c>
      <c r="AE262">
        <v>11</v>
      </c>
      <c r="AF262">
        <v>1</v>
      </c>
      <c r="AG262">
        <v>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</v>
      </c>
      <c r="AO262">
        <v>5</v>
      </c>
      <c r="AP262">
        <v>4</v>
      </c>
      <c r="AQ262">
        <v>13</v>
      </c>
      <c r="AR262">
        <v>6.6666666666666666E-2</v>
      </c>
      <c r="AS262">
        <v>0</v>
      </c>
      <c r="AT262">
        <v>0.36666666666666659</v>
      </c>
      <c r="AU262">
        <v>0.1</v>
      </c>
      <c r="AV262">
        <v>0</v>
      </c>
      <c r="AW262">
        <v>0</v>
      </c>
      <c r="AX262">
        <v>0.16666666666666671</v>
      </c>
      <c r="AY262">
        <v>0.43333333333333329</v>
      </c>
      <c r="AZ262">
        <v>0.16666666666666671</v>
      </c>
      <c r="BA262">
        <v>0.5</v>
      </c>
      <c r="BB262">
        <v>0.75</v>
      </c>
      <c r="BC262">
        <v>0.26666666666666672</v>
      </c>
      <c r="BD262">
        <v>0.72916666666666663</v>
      </c>
      <c r="BE262">
        <v>4</v>
      </c>
      <c r="BF262">
        <v>0.56145833333333328</v>
      </c>
      <c r="BG262">
        <v>0.56000000000000005</v>
      </c>
      <c r="BH262" t="s">
        <v>71</v>
      </c>
      <c r="BI262">
        <v>0.56000000000000005</v>
      </c>
      <c r="BJ262" t="s">
        <v>71</v>
      </c>
      <c r="BK262" s="2">
        <f t="shared" si="9"/>
        <v>0</v>
      </c>
      <c r="BL262" t="b">
        <f t="shared" si="10"/>
        <v>1</v>
      </c>
    </row>
    <row r="263" spans="1:64" x14ac:dyDescent="0.35">
      <c r="A263" t="s">
        <v>744</v>
      </c>
      <c r="B263" t="s">
        <v>740</v>
      </c>
      <c r="C263">
        <v>2021</v>
      </c>
      <c r="D263" t="s">
        <v>741</v>
      </c>
      <c r="E263" t="s">
        <v>742</v>
      </c>
      <c r="F263" t="s">
        <v>66</v>
      </c>
      <c r="G263" t="s">
        <v>144</v>
      </c>
      <c r="H263" t="s">
        <v>144</v>
      </c>
      <c r="I263" t="s">
        <v>743</v>
      </c>
      <c r="J263" t="s">
        <v>70</v>
      </c>
      <c r="L263">
        <v>1</v>
      </c>
      <c r="M263" t="b">
        <v>0</v>
      </c>
      <c r="N263">
        <v>1</v>
      </c>
      <c r="O263">
        <v>3</v>
      </c>
      <c r="P263">
        <v>9</v>
      </c>
      <c r="Q263">
        <v>3</v>
      </c>
      <c r="R263">
        <v>6</v>
      </c>
      <c r="S263">
        <v>6</v>
      </c>
      <c r="T263">
        <v>32</v>
      </c>
      <c r="U263">
        <v>1792</v>
      </c>
      <c r="V263">
        <v>146</v>
      </c>
      <c r="W263">
        <v>24</v>
      </c>
      <c r="X263">
        <v>6.083333333333333</v>
      </c>
      <c r="Y263">
        <v>6</v>
      </c>
      <c r="Z263">
        <v>157</v>
      </c>
      <c r="AA263">
        <v>1</v>
      </c>
      <c r="AB263">
        <v>5</v>
      </c>
      <c r="AC263">
        <v>2</v>
      </c>
      <c r="AD263">
        <v>2</v>
      </c>
      <c r="AE263">
        <v>1175</v>
      </c>
      <c r="AF263">
        <v>1</v>
      </c>
      <c r="AG263">
        <v>1</v>
      </c>
      <c r="AH263">
        <v>1</v>
      </c>
      <c r="AI263">
        <v>36</v>
      </c>
      <c r="AJ263">
        <v>1</v>
      </c>
      <c r="AK263">
        <v>2</v>
      </c>
      <c r="AL263">
        <v>2</v>
      </c>
      <c r="AM263">
        <v>38</v>
      </c>
      <c r="AN263">
        <v>8</v>
      </c>
      <c r="AO263">
        <v>163</v>
      </c>
      <c r="AP263">
        <v>9</v>
      </c>
      <c r="AQ263">
        <v>1337</v>
      </c>
      <c r="AR263">
        <v>8.7611607142857137E-2</v>
      </c>
      <c r="AS263">
        <v>2.7901785714285711E-3</v>
      </c>
      <c r="AT263">
        <v>0.6556919642857143</v>
      </c>
      <c r="AU263">
        <v>5.5803571428571425E-4</v>
      </c>
      <c r="AV263">
        <v>2.0089285714285719E-2</v>
      </c>
      <c r="AW263">
        <v>2.120535714285714E-2</v>
      </c>
      <c r="AX263">
        <v>9.0959821428571425E-2</v>
      </c>
      <c r="AY263">
        <v>0.74609375</v>
      </c>
      <c r="AZ263">
        <v>6.9754464285714274E-2</v>
      </c>
      <c r="BA263">
        <v>0.83333333333333337</v>
      </c>
      <c r="BB263">
        <v>0.84722222222222221</v>
      </c>
      <c r="BC263">
        <v>0.6</v>
      </c>
      <c r="BD263">
        <v>0.66859654017857129</v>
      </c>
      <c r="BE263">
        <v>4</v>
      </c>
      <c r="BF263">
        <v>0.73728802393353177</v>
      </c>
      <c r="BG263">
        <v>0.74</v>
      </c>
      <c r="BH263" t="s">
        <v>86</v>
      </c>
      <c r="BI263">
        <v>0.74</v>
      </c>
      <c r="BJ263" t="s">
        <v>86</v>
      </c>
      <c r="BK263" s="2">
        <f t="shared" si="9"/>
        <v>0</v>
      </c>
      <c r="BL263" t="b">
        <f t="shared" si="10"/>
        <v>1</v>
      </c>
    </row>
    <row r="264" spans="1:64" x14ac:dyDescent="0.35">
      <c r="A264" t="s">
        <v>745</v>
      </c>
      <c r="B264" t="s">
        <v>746</v>
      </c>
      <c r="C264">
        <v>2016</v>
      </c>
      <c r="D264" t="s">
        <v>747</v>
      </c>
      <c r="E264" t="s">
        <v>748</v>
      </c>
      <c r="F264" t="s">
        <v>66</v>
      </c>
      <c r="G264" t="s">
        <v>144</v>
      </c>
      <c r="H264" t="s">
        <v>144</v>
      </c>
      <c r="I264" t="s">
        <v>749</v>
      </c>
      <c r="J264" t="s">
        <v>70</v>
      </c>
      <c r="L264">
        <v>2</v>
      </c>
      <c r="M264" t="b">
        <v>0</v>
      </c>
      <c r="N264">
        <v>1</v>
      </c>
      <c r="O264">
        <v>4</v>
      </c>
      <c r="P264">
        <v>12</v>
      </c>
      <c r="Q264">
        <v>4</v>
      </c>
      <c r="R264">
        <v>8</v>
      </c>
      <c r="S264">
        <v>6</v>
      </c>
      <c r="T264">
        <v>42</v>
      </c>
      <c r="U264">
        <v>2194</v>
      </c>
      <c r="V264">
        <v>150</v>
      </c>
      <c r="W264">
        <v>25</v>
      </c>
      <c r="X264">
        <v>6</v>
      </c>
      <c r="Y264">
        <v>8</v>
      </c>
      <c r="Z264">
        <v>211</v>
      </c>
      <c r="AA264">
        <v>2</v>
      </c>
      <c r="AB264">
        <v>65</v>
      </c>
      <c r="AC264">
        <v>2</v>
      </c>
      <c r="AD264">
        <v>2</v>
      </c>
      <c r="AE264">
        <v>228</v>
      </c>
      <c r="AF264">
        <v>1</v>
      </c>
      <c r="AG264">
        <v>7</v>
      </c>
      <c r="AH264">
        <v>2</v>
      </c>
      <c r="AI264">
        <v>403</v>
      </c>
      <c r="AJ264">
        <v>2</v>
      </c>
      <c r="AK264">
        <v>42</v>
      </c>
      <c r="AL264">
        <v>4</v>
      </c>
      <c r="AM264">
        <v>445</v>
      </c>
      <c r="AN264">
        <v>11</v>
      </c>
      <c r="AO264">
        <v>283</v>
      </c>
      <c r="AP264">
        <v>12</v>
      </c>
      <c r="AQ264">
        <v>504</v>
      </c>
      <c r="AR264">
        <v>9.6171376481312673E-2</v>
      </c>
      <c r="AS264">
        <v>2.9626253418413861E-2</v>
      </c>
      <c r="AT264">
        <v>0.1039197812215132</v>
      </c>
      <c r="AU264">
        <v>3.190519598906108E-3</v>
      </c>
      <c r="AV264">
        <v>0.1836827711941659</v>
      </c>
      <c r="AW264">
        <v>0.20282588878760249</v>
      </c>
      <c r="AX264">
        <v>0.1289881494986326</v>
      </c>
      <c r="AY264">
        <v>0.22971741112123981</v>
      </c>
      <c r="AZ264">
        <v>-7.3837739288969917E-2</v>
      </c>
      <c r="BA264">
        <v>0.83333333333333337</v>
      </c>
      <c r="BB264">
        <v>0.83333333333333337</v>
      </c>
      <c r="BC264">
        <v>0.8</v>
      </c>
      <c r="BD264">
        <v>0.57885141294439368</v>
      </c>
      <c r="BE264">
        <v>4</v>
      </c>
      <c r="BF264">
        <v>0.76137951990276509</v>
      </c>
      <c r="BG264">
        <v>0.8</v>
      </c>
      <c r="BH264" t="s">
        <v>164</v>
      </c>
      <c r="BI264">
        <v>0.76</v>
      </c>
      <c r="BJ264" t="s">
        <v>86</v>
      </c>
      <c r="BK264" s="2">
        <f t="shared" si="9"/>
        <v>4.0000000000000036E-2</v>
      </c>
      <c r="BL264" t="b">
        <f t="shared" si="10"/>
        <v>0</v>
      </c>
    </row>
    <row r="265" spans="1:64" x14ac:dyDescent="0.35">
      <c r="A265" t="s">
        <v>750</v>
      </c>
      <c r="B265" t="s">
        <v>746</v>
      </c>
      <c r="C265">
        <v>2019</v>
      </c>
      <c r="D265" t="s">
        <v>747</v>
      </c>
      <c r="E265" t="s">
        <v>748</v>
      </c>
      <c r="F265" t="s">
        <v>66</v>
      </c>
      <c r="G265" t="s">
        <v>144</v>
      </c>
      <c r="H265" t="s">
        <v>144</v>
      </c>
      <c r="I265" t="s">
        <v>749</v>
      </c>
      <c r="J265" t="s">
        <v>70</v>
      </c>
      <c r="L265">
        <v>2</v>
      </c>
      <c r="M265" t="b">
        <v>0</v>
      </c>
      <c r="N265">
        <v>3</v>
      </c>
      <c r="O265">
        <v>3</v>
      </c>
      <c r="P265">
        <v>6</v>
      </c>
      <c r="Q265">
        <v>3</v>
      </c>
      <c r="R265">
        <v>3</v>
      </c>
      <c r="S265">
        <v>4</v>
      </c>
      <c r="T265">
        <v>26</v>
      </c>
      <c r="U265">
        <v>539</v>
      </c>
      <c r="V265">
        <v>101</v>
      </c>
      <c r="W265">
        <v>19</v>
      </c>
      <c r="X265">
        <v>5.3157894736842106</v>
      </c>
      <c r="Y265">
        <v>2</v>
      </c>
      <c r="Z265">
        <v>65</v>
      </c>
      <c r="AA265">
        <v>0</v>
      </c>
      <c r="AB265">
        <v>0</v>
      </c>
      <c r="AC265">
        <v>1</v>
      </c>
      <c r="AD265">
        <v>1</v>
      </c>
      <c r="AE265">
        <v>190</v>
      </c>
      <c r="AF265">
        <v>0</v>
      </c>
      <c r="AG265">
        <v>0</v>
      </c>
      <c r="AH265">
        <v>2</v>
      </c>
      <c r="AI265">
        <v>84</v>
      </c>
      <c r="AJ265">
        <v>4</v>
      </c>
      <c r="AK265">
        <v>28</v>
      </c>
      <c r="AL265">
        <v>7</v>
      </c>
      <c r="AM265">
        <v>113</v>
      </c>
      <c r="AN265">
        <v>2</v>
      </c>
      <c r="AO265">
        <v>65</v>
      </c>
      <c r="AP265">
        <v>3</v>
      </c>
      <c r="AQ265">
        <v>255</v>
      </c>
      <c r="AR265">
        <v>0.1205936920222635</v>
      </c>
      <c r="AS265">
        <v>0</v>
      </c>
      <c r="AT265">
        <v>0.35250463821892392</v>
      </c>
      <c r="AU265">
        <v>0</v>
      </c>
      <c r="AV265">
        <v>0.15584415584415581</v>
      </c>
      <c r="AW265">
        <v>0.20964749536178109</v>
      </c>
      <c r="AX265">
        <v>0.1205936920222635</v>
      </c>
      <c r="AY265">
        <v>0.47309833024118741</v>
      </c>
      <c r="AZ265">
        <v>-8.9053803339517609E-2</v>
      </c>
      <c r="BA265">
        <v>0.5</v>
      </c>
      <c r="BB265">
        <v>0.7192982456140351</v>
      </c>
      <c r="BC265">
        <v>0.2</v>
      </c>
      <c r="BD265">
        <v>0.5693413729128014</v>
      </c>
      <c r="BE265">
        <v>4</v>
      </c>
      <c r="BF265">
        <v>0.49715990463170912</v>
      </c>
      <c r="BG265">
        <v>0.52</v>
      </c>
      <c r="BH265" t="s">
        <v>71</v>
      </c>
      <c r="BI265">
        <v>0.5</v>
      </c>
      <c r="BJ265" t="s">
        <v>71</v>
      </c>
      <c r="BK265" s="2">
        <f t="shared" si="9"/>
        <v>2.0000000000000018E-2</v>
      </c>
      <c r="BL265" t="b">
        <f t="shared" si="10"/>
        <v>1</v>
      </c>
    </row>
    <row r="266" spans="1:64" x14ac:dyDescent="0.35">
      <c r="A266" t="s">
        <v>751</v>
      </c>
      <c r="B266" t="s">
        <v>752</v>
      </c>
      <c r="C266">
        <v>2016</v>
      </c>
      <c r="D266" t="s">
        <v>753</v>
      </c>
      <c r="E266" t="s">
        <v>754</v>
      </c>
      <c r="F266" t="s">
        <v>66</v>
      </c>
      <c r="G266" t="s">
        <v>67</v>
      </c>
      <c r="H266" t="s">
        <v>84</v>
      </c>
      <c r="I266" t="s">
        <v>84</v>
      </c>
      <c r="J266" t="s">
        <v>70</v>
      </c>
      <c r="L266">
        <v>5</v>
      </c>
      <c r="M266" t="b">
        <v>0</v>
      </c>
      <c r="N266">
        <v>4</v>
      </c>
      <c r="O266">
        <v>3</v>
      </c>
      <c r="P266">
        <v>4</v>
      </c>
      <c r="Q266">
        <v>6</v>
      </c>
      <c r="R266">
        <v>-2</v>
      </c>
      <c r="S266">
        <v>3</v>
      </c>
      <c r="T266">
        <v>28</v>
      </c>
      <c r="U266">
        <v>407</v>
      </c>
      <c r="V266">
        <v>98</v>
      </c>
      <c r="W266">
        <v>21</v>
      </c>
      <c r="X266">
        <v>4.666666666666667</v>
      </c>
      <c r="Y266">
        <v>2</v>
      </c>
      <c r="Z266">
        <v>48</v>
      </c>
      <c r="AA266">
        <v>0</v>
      </c>
      <c r="AB266">
        <v>0</v>
      </c>
      <c r="AC266">
        <v>2</v>
      </c>
      <c r="AD266">
        <v>1</v>
      </c>
      <c r="AE266">
        <v>43</v>
      </c>
      <c r="AF266">
        <v>1</v>
      </c>
      <c r="AG266">
        <v>5</v>
      </c>
      <c r="AH266">
        <v>3</v>
      </c>
      <c r="AI266">
        <v>28</v>
      </c>
      <c r="AJ266">
        <v>3</v>
      </c>
      <c r="AK266">
        <v>19</v>
      </c>
      <c r="AL266">
        <v>6</v>
      </c>
      <c r="AM266">
        <v>47</v>
      </c>
      <c r="AN266">
        <v>3</v>
      </c>
      <c r="AO266">
        <v>53</v>
      </c>
      <c r="AP266">
        <v>3</v>
      </c>
      <c r="AQ266">
        <v>91</v>
      </c>
      <c r="AR266">
        <v>0.1179361179361179</v>
      </c>
      <c r="AS266">
        <v>0</v>
      </c>
      <c r="AT266">
        <v>0.10565110565110571</v>
      </c>
      <c r="AU266">
        <v>1.2285012285012281E-2</v>
      </c>
      <c r="AV266">
        <v>6.8796068796068796E-2</v>
      </c>
      <c r="AW266">
        <v>0.1154791154791155</v>
      </c>
      <c r="AX266">
        <v>0.13022113022113019</v>
      </c>
      <c r="AY266">
        <v>0.2235872235872236</v>
      </c>
      <c r="AZ266">
        <v>1.4742014742014741E-2</v>
      </c>
      <c r="BA266">
        <v>0.33333333333333331</v>
      </c>
      <c r="BB266">
        <v>0.61111111111111116</v>
      </c>
      <c r="BC266">
        <v>0.2</v>
      </c>
      <c r="BD266">
        <v>0.63421375921375922</v>
      </c>
      <c r="BE266">
        <v>4</v>
      </c>
      <c r="BF266">
        <v>0.44466455091455093</v>
      </c>
      <c r="BG266">
        <v>0.45</v>
      </c>
      <c r="BH266" t="s">
        <v>71</v>
      </c>
      <c r="BI266">
        <v>0.44</v>
      </c>
      <c r="BJ266" t="s">
        <v>71</v>
      </c>
      <c r="BK266" s="2">
        <f t="shared" si="9"/>
        <v>1.0000000000000009E-2</v>
      </c>
      <c r="BL266" t="b">
        <f t="shared" si="10"/>
        <v>1</v>
      </c>
    </row>
    <row r="267" spans="1:64" x14ac:dyDescent="0.35">
      <c r="A267" t="s">
        <v>755</v>
      </c>
      <c r="B267" t="s">
        <v>752</v>
      </c>
      <c r="C267">
        <v>2019</v>
      </c>
      <c r="D267" t="s">
        <v>753</v>
      </c>
      <c r="E267" t="s">
        <v>754</v>
      </c>
      <c r="F267" t="s">
        <v>66</v>
      </c>
      <c r="G267" t="s">
        <v>67</v>
      </c>
      <c r="H267" t="s">
        <v>84</v>
      </c>
      <c r="I267" t="s">
        <v>84</v>
      </c>
      <c r="J267" t="s">
        <v>70</v>
      </c>
      <c r="L267">
        <v>5</v>
      </c>
      <c r="M267" t="b">
        <v>0</v>
      </c>
      <c r="N267">
        <v>3</v>
      </c>
      <c r="O267">
        <v>3</v>
      </c>
      <c r="P267">
        <v>6</v>
      </c>
      <c r="Q267">
        <v>3</v>
      </c>
      <c r="R267">
        <v>3</v>
      </c>
      <c r="S267">
        <v>4</v>
      </c>
      <c r="T267">
        <v>27</v>
      </c>
      <c r="U267">
        <v>338</v>
      </c>
      <c r="V267">
        <v>83</v>
      </c>
      <c r="W267">
        <v>18</v>
      </c>
      <c r="X267">
        <v>4.6111111111111107</v>
      </c>
      <c r="Y267">
        <v>2</v>
      </c>
      <c r="Z267">
        <v>29</v>
      </c>
      <c r="AA267">
        <v>0</v>
      </c>
      <c r="AB267">
        <v>0</v>
      </c>
      <c r="AC267">
        <v>1</v>
      </c>
      <c r="AD267">
        <v>1</v>
      </c>
      <c r="AE267">
        <v>27</v>
      </c>
      <c r="AF267">
        <v>1</v>
      </c>
      <c r="AG267">
        <v>1</v>
      </c>
      <c r="AH267">
        <v>2</v>
      </c>
      <c r="AI267">
        <v>35</v>
      </c>
      <c r="AJ267">
        <v>3</v>
      </c>
      <c r="AK267">
        <v>6</v>
      </c>
      <c r="AL267">
        <v>6</v>
      </c>
      <c r="AM267">
        <v>57</v>
      </c>
      <c r="AN267">
        <v>3</v>
      </c>
      <c r="AO267">
        <v>30</v>
      </c>
      <c r="AP267">
        <v>3</v>
      </c>
      <c r="AQ267">
        <v>56</v>
      </c>
      <c r="AR267">
        <v>8.5798816568047331E-2</v>
      </c>
      <c r="AS267">
        <v>0</v>
      </c>
      <c r="AT267">
        <v>7.9881656804733733E-2</v>
      </c>
      <c r="AU267">
        <v>2.9585798816568051E-3</v>
      </c>
      <c r="AV267">
        <v>0.10355029585798819</v>
      </c>
      <c r="AW267">
        <v>0.1686390532544379</v>
      </c>
      <c r="AX267">
        <v>8.8757396449704137E-2</v>
      </c>
      <c r="AY267">
        <v>0.16568047337278111</v>
      </c>
      <c r="AZ267">
        <v>-7.9881656804733733E-2</v>
      </c>
      <c r="BA267">
        <v>0.5</v>
      </c>
      <c r="BB267">
        <v>0.60185185185185175</v>
      </c>
      <c r="BC267">
        <v>0.2</v>
      </c>
      <c r="BD267">
        <v>0.5750739644970414</v>
      </c>
      <c r="BE267">
        <v>4</v>
      </c>
      <c r="BF267">
        <v>0.46923145408722328</v>
      </c>
      <c r="BG267">
        <v>0.49</v>
      </c>
      <c r="BH267" t="s">
        <v>71</v>
      </c>
      <c r="BI267">
        <v>0.47</v>
      </c>
      <c r="BJ267" t="s">
        <v>71</v>
      </c>
      <c r="BK267" s="2">
        <f t="shared" si="9"/>
        <v>2.0000000000000018E-2</v>
      </c>
      <c r="BL267" t="b">
        <f t="shared" si="10"/>
        <v>1</v>
      </c>
    </row>
    <row r="268" spans="1:64" x14ac:dyDescent="0.35">
      <c r="A268" t="s">
        <v>756</v>
      </c>
      <c r="B268" t="s">
        <v>752</v>
      </c>
      <c r="C268">
        <v>2022</v>
      </c>
      <c r="D268" t="s">
        <v>753</v>
      </c>
      <c r="E268" t="s">
        <v>754</v>
      </c>
      <c r="F268" t="s">
        <v>66</v>
      </c>
      <c r="G268" t="s">
        <v>67</v>
      </c>
      <c r="H268" t="s">
        <v>84</v>
      </c>
      <c r="I268" t="s">
        <v>84</v>
      </c>
      <c r="J268" t="s">
        <v>70</v>
      </c>
      <c r="L268">
        <v>5</v>
      </c>
      <c r="M268" t="b">
        <v>0</v>
      </c>
      <c r="N268">
        <v>1</v>
      </c>
      <c r="O268">
        <v>1</v>
      </c>
      <c r="P268">
        <v>5</v>
      </c>
      <c r="Q268">
        <v>3</v>
      </c>
      <c r="R268">
        <v>2</v>
      </c>
      <c r="S268">
        <v>4</v>
      </c>
      <c r="T268">
        <v>22</v>
      </c>
      <c r="U268">
        <v>208</v>
      </c>
      <c r="V268">
        <v>86</v>
      </c>
      <c r="W268">
        <v>16</v>
      </c>
      <c r="X268">
        <v>5.375</v>
      </c>
      <c r="Y268">
        <v>1</v>
      </c>
      <c r="Z268">
        <v>7</v>
      </c>
      <c r="AA268">
        <v>0</v>
      </c>
      <c r="AB268">
        <v>0</v>
      </c>
      <c r="AC268">
        <v>1</v>
      </c>
      <c r="AD268">
        <v>1</v>
      </c>
      <c r="AE268">
        <v>1</v>
      </c>
      <c r="AF268">
        <v>0</v>
      </c>
      <c r="AG268">
        <v>0</v>
      </c>
      <c r="AH268">
        <v>3</v>
      </c>
      <c r="AI268">
        <v>140</v>
      </c>
      <c r="AJ268">
        <v>1</v>
      </c>
      <c r="AK268">
        <v>4</v>
      </c>
      <c r="AL268">
        <v>5</v>
      </c>
      <c r="AM268">
        <v>145</v>
      </c>
      <c r="AN268">
        <v>1</v>
      </c>
      <c r="AO268">
        <v>7</v>
      </c>
      <c r="AP268">
        <v>2</v>
      </c>
      <c r="AQ268">
        <v>8</v>
      </c>
      <c r="AR268">
        <v>3.3653846153846152E-2</v>
      </c>
      <c r="AS268">
        <v>0</v>
      </c>
      <c r="AT268">
        <v>4.807692307692308E-3</v>
      </c>
      <c r="AU268">
        <v>0</v>
      </c>
      <c r="AV268">
        <v>0.67307692307692313</v>
      </c>
      <c r="AW268">
        <v>0.69711538461538458</v>
      </c>
      <c r="AX268">
        <v>3.3653846153846152E-2</v>
      </c>
      <c r="AY268">
        <v>3.8461538461538457E-2</v>
      </c>
      <c r="AZ268">
        <v>-0.66346153846153844</v>
      </c>
      <c r="BA268">
        <v>0.5</v>
      </c>
      <c r="BB268">
        <v>0.72916666666666663</v>
      </c>
      <c r="BC268">
        <v>0.1333333333333333</v>
      </c>
      <c r="BD268">
        <v>0.21033653846153849</v>
      </c>
      <c r="BE268">
        <v>4</v>
      </c>
      <c r="BF268">
        <v>0.39320913461538459</v>
      </c>
      <c r="BG268">
        <v>0.5</v>
      </c>
      <c r="BH268" t="s">
        <v>71</v>
      </c>
      <c r="BI268">
        <v>0.39</v>
      </c>
      <c r="BJ268" t="s">
        <v>104</v>
      </c>
      <c r="BK268" s="2">
        <f t="shared" si="9"/>
        <v>0.10999999999999999</v>
      </c>
      <c r="BL268" t="b">
        <f t="shared" si="10"/>
        <v>0</v>
      </c>
    </row>
    <row r="269" spans="1:64" x14ac:dyDescent="0.35">
      <c r="A269" t="s">
        <v>757</v>
      </c>
      <c r="B269" t="s">
        <v>758</v>
      </c>
      <c r="C269">
        <v>2015</v>
      </c>
      <c r="D269" t="s">
        <v>759</v>
      </c>
      <c r="E269" t="s">
        <v>760</v>
      </c>
      <c r="F269" t="s">
        <v>66</v>
      </c>
      <c r="G269" t="s">
        <v>101</v>
      </c>
      <c r="H269" t="s">
        <v>102</v>
      </c>
      <c r="I269" t="s">
        <v>102</v>
      </c>
      <c r="J269" t="s">
        <v>70</v>
      </c>
      <c r="L269">
        <v>5</v>
      </c>
      <c r="M269" t="b">
        <v>0</v>
      </c>
      <c r="N269">
        <v>1</v>
      </c>
      <c r="O269">
        <v>1</v>
      </c>
      <c r="P269">
        <v>4</v>
      </c>
      <c r="Q269">
        <v>5</v>
      </c>
      <c r="R269">
        <v>-1</v>
      </c>
      <c r="S269">
        <v>4</v>
      </c>
      <c r="T269">
        <v>21</v>
      </c>
      <c r="U269">
        <v>61</v>
      </c>
      <c r="V269">
        <v>88</v>
      </c>
      <c r="W269">
        <v>17</v>
      </c>
      <c r="X269">
        <v>5.1764705882352944</v>
      </c>
      <c r="Y269">
        <v>2</v>
      </c>
      <c r="Z269">
        <v>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</v>
      </c>
      <c r="AG269">
        <v>2</v>
      </c>
      <c r="AH269">
        <v>2</v>
      </c>
      <c r="AI269">
        <v>14</v>
      </c>
      <c r="AJ269">
        <v>2</v>
      </c>
      <c r="AK269">
        <v>4</v>
      </c>
      <c r="AL269">
        <v>5</v>
      </c>
      <c r="AM269">
        <v>22</v>
      </c>
      <c r="AN269">
        <v>4</v>
      </c>
      <c r="AO269">
        <v>5</v>
      </c>
      <c r="AP269">
        <v>2</v>
      </c>
      <c r="AQ269">
        <v>3</v>
      </c>
      <c r="AR269">
        <v>4.9180327868852458E-2</v>
      </c>
      <c r="AS269">
        <v>0</v>
      </c>
      <c r="AT269">
        <v>0</v>
      </c>
      <c r="AU269">
        <v>3.2786885245901641E-2</v>
      </c>
      <c r="AV269">
        <v>0.22950819672131151</v>
      </c>
      <c r="AW269">
        <v>0.36065573770491799</v>
      </c>
      <c r="AX269">
        <v>8.1967213114754092E-2</v>
      </c>
      <c r="AY269">
        <v>4.9180327868852458E-2</v>
      </c>
      <c r="AZ269">
        <v>-0.27868852459016402</v>
      </c>
      <c r="BA269">
        <v>0.5</v>
      </c>
      <c r="BB269">
        <v>0.6960784313725491</v>
      </c>
      <c r="BC269">
        <v>0.1333333333333333</v>
      </c>
      <c r="BD269">
        <v>0.45081967213114749</v>
      </c>
      <c r="BE269">
        <v>4</v>
      </c>
      <c r="BF269">
        <v>0.4450578592092575</v>
      </c>
      <c r="BG269">
        <v>0.5</v>
      </c>
      <c r="BH269" t="s">
        <v>71</v>
      </c>
      <c r="BI269">
        <v>0.45</v>
      </c>
      <c r="BJ269" t="s">
        <v>71</v>
      </c>
      <c r="BK269" s="2">
        <f t="shared" si="9"/>
        <v>4.9999999999999989E-2</v>
      </c>
      <c r="BL269" t="b">
        <f t="shared" si="10"/>
        <v>1</v>
      </c>
    </row>
    <row r="270" spans="1:64" x14ac:dyDescent="0.35">
      <c r="A270" t="s">
        <v>761</v>
      </c>
      <c r="B270" t="s">
        <v>758</v>
      </c>
      <c r="C270">
        <v>2019</v>
      </c>
      <c r="D270" t="s">
        <v>759</v>
      </c>
      <c r="E270" t="s">
        <v>760</v>
      </c>
      <c r="F270" t="s">
        <v>66</v>
      </c>
      <c r="G270" t="s">
        <v>101</v>
      </c>
      <c r="H270" t="s">
        <v>102</v>
      </c>
      <c r="I270" t="s">
        <v>102</v>
      </c>
      <c r="J270" t="s">
        <v>70</v>
      </c>
      <c r="L270">
        <v>5</v>
      </c>
      <c r="M270" t="b">
        <v>0</v>
      </c>
      <c r="N270">
        <v>1</v>
      </c>
      <c r="O270">
        <v>2</v>
      </c>
      <c r="P270">
        <v>8</v>
      </c>
      <c r="Q270">
        <v>2</v>
      </c>
      <c r="R270">
        <v>6</v>
      </c>
      <c r="S270">
        <v>6</v>
      </c>
      <c r="T270">
        <v>28</v>
      </c>
      <c r="U270">
        <v>215</v>
      </c>
      <c r="V270">
        <v>126</v>
      </c>
      <c r="W270">
        <v>21</v>
      </c>
      <c r="X270">
        <v>6</v>
      </c>
      <c r="Y270">
        <v>4</v>
      </c>
      <c r="Z270">
        <v>5</v>
      </c>
      <c r="AA270">
        <v>3</v>
      </c>
      <c r="AB270">
        <v>16</v>
      </c>
      <c r="AC270">
        <v>4</v>
      </c>
      <c r="AD270">
        <v>4</v>
      </c>
      <c r="AE270">
        <v>15</v>
      </c>
      <c r="AF270">
        <v>1</v>
      </c>
      <c r="AG270">
        <v>11</v>
      </c>
      <c r="AH270">
        <v>0</v>
      </c>
      <c r="AI270">
        <v>0</v>
      </c>
      <c r="AJ270">
        <v>1</v>
      </c>
      <c r="AK270">
        <v>12</v>
      </c>
      <c r="AL270">
        <v>1</v>
      </c>
      <c r="AM270">
        <v>12</v>
      </c>
      <c r="AN270">
        <v>8</v>
      </c>
      <c r="AO270">
        <v>32</v>
      </c>
      <c r="AP270">
        <v>11</v>
      </c>
      <c r="AQ270">
        <v>36</v>
      </c>
      <c r="AR270">
        <v>2.3255813953488368E-2</v>
      </c>
      <c r="AS270">
        <v>7.441860465116279E-2</v>
      </c>
      <c r="AT270">
        <v>6.9767441860465115E-2</v>
      </c>
      <c r="AU270">
        <v>5.1162790697674418E-2</v>
      </c>
      <c r="AV270">
        <v>0</v>
      </c>
      <c r="AW270">
        <v>5.5813953488372092E-2</v>
      </c>
      <c r="AX270">
        <v>0.14883720930232561</v>
      </c>
      <c r="AY270">
        <v>0.1674418604651163</v>
      </c>
      <c r="AZ270">
        <v>9.3023255813953487E-2</v>
      </c>
      <c r="BA270">
        <v>0.83333333333333337</v>
      </c>
      <c r="BB270">
        <v>0.83333333333333337</v>
      </c>
      <c r="BC270">
        <v>0.73333333333333328</v>
      </c>
      <c r="BD270">
        <v>0.68313953488372081</v>
      </c>
      <c r="BE270">
        <v>4</v>
      </c>
      <c r="BF270">
        <v>0.77078488372093024</v>
      </c>
      <c r="BG270">
        <v>0.77</v>
      </c>
      <c r="BH270" t="s">
        <v>86</v>
      </c>
      <c r="BI270">
        <v>0.77</v>
      </c>
      <c r="BJ270" t="s">
        <v>86</v>
      </c>
      <c r="BK270" s="2">
        <f t="shared" si="9"/>
        <v>0</v>
      </c>
      <c r="BL270" t="b">
        <f t="shared" si="10"/>
        <v>1</v>
      </c>
    </row>
    <row r="271" spans="1:64" x14ac:dyDescent="0.35">
      <c r="A271" t="s">
        <v>762</v>
      </c>
      <c r="B271" t="s">
        <v>758</v>
      </c>
      <c r="C271">
        <v>2022</v>
      </c>
      <c r="D271" t="s">
        <v>759</v>
      </c>
      <c r="E271" t="s">
        <v>760</v>
      </c>
      <c r="F271" t="s">
        <v>66</v>
      </c>
      <c r="G271" t="s">
        <v>101</v>
      </c>
      <c r="H271" t="s">
        <v>102</v>
      </c>
      <c r="I271" t="s">
        <v>102</v>
      </c>
      <c r="J271" t="s">
        <v>70</v>
      </c>
      <c r="L271">
        <v>5</v>
      </c>
      <c r="M271" t="b">
        <v>0</v>
      </c>
      <c r="N271">
        <v>1</v>
      </c>
      <c r="O271">
        <v>1</v>
      </c>
      <c r="P271">
        <v>5</v>
      </c>
      <c r="Q271">
        <v>0</v>
      </c>
      <c r="R271">
        <v>5</v>
      </c>
      <c r="S271">
        <v>5</v>
      </c>
      <c r="T271">
        <v>18</v>
      </c>
      <c r="U271">
        <v>168</v>
      </c>
      <c r="V271">
        <v>84</v>
      </c>
      <c r="W271">
        <v>14</v>
      </c>
      <c r="X271">
        <v>6</v>
      </c>
      <c r="Y271">
        <v>3</v>
      </c>
      <c r="Z271">
        <v>35</v>
      </c>
      <c r="AA271">
        <v>0</v>
      </c>
      <c r="AB271">
        <v>0</v>
      </c>
      <c r="AC271">
        <v>3</v>
      </c>
      <c r="AD271">
        <v>3</v>
      </c>
      <c r="AE271">
        <v>23</v>
      </c>
      <c r="AF271">
        <v>1</v>
      </c>
      <c r="AG271">
        <v>14</v>
      </c>
      <c r="AH271">
        <v>1</v>
      </c>
      <c r="AI271">
        <v>14</v>
      </c>
      <c r="AJ271">
        <v>0</v>
      </c>
      <c r="AK271">
        <v>0</v>
      </c>
      <c r="AL271">
        <v>1</v>
      </c>
      <c r="AM271">
        <v>14</v>
      </c>
      <c r="AN271">
        <v>4</v>
      </c>
      <c r="AO271">
        <v>49</v>
      </c>
      <c r="AP271">
        <v>6</v>
      </c>
      <c r="AQ271">
        <v>58</v>
      </c>
      <c r="AR271">
        <v>0.20833333333333329</v>
      </c>
      <c r="AS271">
        <v>0</v>
      </c>
      <c r="AT271">
        <v>0.13690476190476189</v>
      </c>
      <c r="AU271">
        <v>8.3333333333333329E-2</v>
      </c>
      <c r="AV271">
        <v>8.3333333333333329E-2</v>
      </c>
      <c r="AW271">
        <v>8.3333333333333329E-2</v>
      </c>
      <c r="AX271">
        <v>0.29166666666666669</v>
      </c>
      <c r="AY271">
        <v>0.34523809523809518</v>
      </c>
      <c r="AZ271">
        <v>0.2083333333333334</v>
      </c>
      <c r="BA271">
        <v>0.66666666666666663</v>
      </c>
      <c r="BB271">
        <v>0.83333333333333337</v>
      </c>
      <c r="BC271">
        <v>0.4</v>
      </c>
      <c r="BD271">
        <v>0.75520833333333337</v>
      </c>
      <c r="BE271">
        <v>4</v>
      </c>
      <c r="BF271">
        <v>0.66380208333333335</v>
      </c>
      <c r="BG271">
        <v>0.68</v>
      </c>
      <c r="BH271" t="s">
        <v>86</v>
      </c>
      <c r="BI271">
        <v>0.66</v>
      </c>
      <c r="BJ271" t="s">
        <v>86</v>
      </c>
      <c r="BK271" s="2">
        <f t="shared" si="9"/>
        <v>2.0000000000000018E-2</v>
      </c>
      <c r="BL271" t="b">
        <f t="shared" si="10"/>
        <v>1</v>
      </c>
    </row>
    <row r="272" spans="1:64" x14ac:dyDescent="0.35">
      <c r="A272" t="s">
        <v>763</v>
      </c>
      <c r="B272" t="s">
        <v>764</v>
      </c>
      <c r="C272">
        <v>2015</v>
      </c>
      <c r="D272" t="s">
        <v>765</v>
      </c>
      <c r="E272" t="s">
        <v>766</v>
      </c>
      <c r="F272" t="s">
        <v>66</v>
      </c>
      <c r="G272" t="s">
        <v>67</v>
      </c>
      <c r="H272" t="s">
        <v>138</v>
      </c>
      <c r="I272" t="s">
        <v>767</v>
      </c>
      <c r="J272" t="s">
        <v>70</v>
      </c>
      <c r="L272">
        <v>1</v>
      </c>
      <c r="M272" t="b">
        <v>0</v>
      </c>
      <c r="N272">
        <v>1</v>
      </c>
      <c r="O272">
        <v>1</v>
      </c>
      <c r="P272">
        <v>10</v>
      </c>
      <c r="Q272">
        <v>5</v>
      </c>
      <c r="R272">
        <v>5</v>
      </c>
      <c r="S272">
        <v>5</v>
      </c>
      <c r="T272">
        <v>31</v>
      </c>
      <c r="U272">
        <v>457</v>
      </c>
      <c r="V272">
        <v>123</v>
      </c>
      <c r="W272">
        <v>22</v>
      </c>
      <c r="X272">
        <v>5.5909090909090908</v>
      </c>
      <c r="Y272">
        <v>3</v>
      </c>
      <c r="Z272">
        <v>39</v>
      </c>
      <c r="AA272">
        <v>0</v>
      </c>
      <c r="AB272">
        <v>0</v>
      </c>
      <c r="AC272">
        <v>3</v>
      </c>
      <c r="AD272">
        <v>3</v>
      </c>
      <c r="AE272">
        <v>77</v>
      </c>
      <c r="AF272">
        <v>3</v>
      </c>
      <c r="AG272">
        <v>114</v>
      </c>
      <c r="AH272">
        <v>2</v>
      </c>
      <c r="AI272">
        <v>68</v>
      </c>
      <c r="AJ272">
        <v>3</v>
      </c>
      <c r="AK272">
        <v>11</v>
      </c>
      <c r="AL272">
        <v>5</v>
      </c>
      <c r="AM272">
        <v>79</v>
      </c>
      <c r="AN272">
        <v>6</v>
      </c>
      <c r="AO272">
        <v>153</v>
      </c>
      <c r="AP272">
        <v>6</v>
      </c>
      <c r="AQ272">
        <v>116</v>
      </c>
      <c r="AR272">
        <v>8.5339168490153175E-2</v>
      </c>
      <c r="AS272">
        <v>0</v>
      </c>
      <c r="AT272">
        <v>0.1684901531728665</v>
      </c>
      <c r="AU272">
        <v>0.24945295404814011</v>
      </c>
      <c r="AV272">
        <v>0.1487964989059081</v>
      </c>
      <c r="AW272">
        <v>0.1728665207877462</v>
      </c>
      <c r="AX272">
        <v>0.33479212253829321</v>
      </c>
      <c r="AY272">
        <v>0.25382932166301969</v>
      </c>
      <c r="AZ272">
        <v>0.16192560175054699</v>
      </c>
      <c r="BA272">
        <v>0.66666666666666663</v>
      </c>
      <c r="BB272">
        <v>0.76515151515151514</v>
      </c>
      <c r="BC272">
        <v>0.4</v>
      </c>
      <c r="BD272">
        <v>0.72620350109409182</v>
      </c>
      <c r="BE272">
        <v>4</v>
      </c>
      <c r="BF272">
        <v>0.63950542072806837</v>
      </c>
      <c r="BG272">
        <v>0.68</v>
      </c>
      <c r="BH272" t="s">
        <v>86</v>
      </c>
      <c r="BI272">
        <v>0.64</v>
      </c>
      <c r="BJ272" t="s">
        <v>86</v>
      </c>
      <c r="BK272" s="2">
        <f t="shared" si="9"/>
        <v>4.0000000000000036E-2</v>
      </c>
      <c r="BL272" t="b">
        <f t="shared" si="10"/>
        <v>1</v>
      </c>
    </row>
    <row r="273" spans="1:64" x14ac:dyDescent="0.35">
      <c r="A273" t="s">
        <v>768</v>
      </c>
      <c r="B273" t="s">
        <v>769</v>
      </c>
      <c r="C273">
        <v>2020</v>
      </c>
      <c r="D273" t="s">
        <v>770</v>
      </c>
      <c r="E273" t="s">
        <v>771</v>
      </c>
      <c r="F273" t="s">
        <v>66</v>
      </c>
      <c r="G273" t="s">
        <v>67</v>
      </c>
      <c r="H273" t="s">
        <v>138</v>
      </c>
      <c r="I273" t="s">
        <v>772</v>
      </c>
      <c r="J273" t="s">
        <v>70</v>
      </c>
      <c r="L273">
        <v>1</v>
      </c>
      <c r="M273" t="b">
        <v>0</v>
      </c>
      <c r="N273">
        <v>3</v>
      </c>
      <c r="O273">
        <v>3</v>
      </c>
      <c r="P273">
        <v>7</v>
      </c>
      <c r="Q273">
        <v>3</v>
      </c>
      <c r="R273">
        <v>4</v>
      </c>
      <c r="S273">
        <v>4</v>
      </c>
      <c r="T273">
        <v>25</v>
      </c>
      <c r="U273">
        <v>875</v>
      </c>
      <c r="V273">
        <v>103</v>
      </c>
      <c r="W273">
        <v>22</v>
      </c>
      <c r="X273">
        <v>4.6818181818181817</v>
      </c>
      <c r="Y273">
        <v>3</v>
      </c>
      <c r="Z273">
        <v>173</v>
      </c>
      <c r="AA273">
        <v>0</v>
      </c>
      <c r="AB273">
        <v>0</v>
      </c>
      <c r="AC273">
        <v>2</v>
      </c>
      <c r="AD273">
        <v>2</v>
      </c>
      <c r="AE273">
        <v>208</v>
      </c>
      <c r="AF273">
        <v>1</v>
      </c>
      <c r="AG273">
        <v>11</v>
      </c>
      <c r="AH273">
        <v>2</v>
      </c>
      <c r="AI273">
        <v>47</v>
      </c>
      <c r="AJ273">
        <v>1</v>
      </c>
      <c r="AK273">
        <v>10</v>
      </c>
      <c r="AL273">
        <v>3</v>
      </c>
      <c r="AM273">
        <v>57</v>
      </c>
      <c r="AN273">
        <v>4</v>
      </c>
      <c r="AO273">
        <v>184</v>
      </c>
      <c r="AP273">
        <v>5</v>
      </c>
      <c r="AQ273">
        <v>381</v>
      </c>
      <c r="AR273">
        <v>0.1977142857142857</v>
      </c>
      <c r="AS273">
        <v>0</v>
      </c>
      <c r="AT273">
        <v>0.23771428571428571</v>
      </c>
      <c r="AU273">
        <v>1.257142857142857E-2</v>
      </c>
      <c r="AV273">
        <v>5.3714285714285707E-2</v>
      </c>
      <c r="AW273">
        <v>6.5142857142857141E-2</v>
      </c>
      <c r="AX273">
        <v>0.2102857142857143</v>
      </c>
      <c r="AY273">
        <v>0.43542857142857139</v>
      </c>
      <c r="AZ273">
        <v>0.14514285714285721</v>
      </c>
      <c r="BA273">
        <v>0.5</v>
      </c>
      <c r="BB273">
        <v>0.61363636363636365</v>
      </c>
      <c r="BC273">
        <v>0.33333333333333331</v>
      </c>
      <c r="BD273">
        <v>0.71571428571428575</v>
      </c>
      <c r="BE273">
        <v>4</v>
      </c>
      <c r="BF273">
        <v>0.54067099567099564</v>
      </c>
      <c r="BG273">
        <v>0.55000000000000004</v>
      </c>
      <c r="BH273" t="s">
        <v>71</v>
      </c>
      <c r="BI273">
        <v>0.54</v>
      </c>
      <c r="BJ273" t="s">
        <v>71</v>
      </c>
      <c r="BK273" s="2">
        <f t="shared" si="9"/>
        <v>1.0000000000000009E-2</v>
      </c>
      <c r="BL273" t="b">
        <f t="shared" si="10"/>
        <v>1</v>
      </c>
    </row>
    <row r="274" spans="1:64" x14ac:dyDescent="0.35">
      <c r="A274" t="s">
        <v>773</v>
      </c>
      <c r="B274" t="s">
        <v>774</v>
      </c>
      <c r="C274">
        <v>2015</v>
      </c>
      <c r="D274" t="s">
        <v>775</v>
      </c>
      <c r="E274" t="s">
        <v>776</v>
      </c>
      <c r="F274" t="s">
        <v>66</v>
      </c>
      <c r="G274" t="s">
        <v>101</v>
      </c>
      <c r="H274" t="s">
        <v>170</v>
      </c>
      <c r="I274" t="s">
        <v>777</v>
      </c>
      <c r="J274" t="s">
        <v>70</v>
      </c>
      <c r="L274">
        <v>2</v>
      </c>
      <c r="M274" t="b">
        <v>0</v>
      </c>
      <c r="N274">
        <v>1</v>
      </c>
      <c r="O274">
        <v>1</v>
      </c>
      <c r="P274">
        <v>8</v>
      </c>
      <c r="Q274">
        <v>6</v>
      </c>
      <c r="R274">
        <v>2</v>
      </c>
      <c r="S274">
        <v>4</v>
      </c>
      <c r="T274">
        <v>32</v>
      </c>
      <c r="U274">
        <v>761</v>
      </c>
      <c r="V274">
        <v>125</v>
      </c>
      <c r="W274">
        <v>25</v>
      </c>
      <c r="X274">
        <v>5</v>
      </c>
      <c r="Y274">
        <v>4</v>
      </c>
      <c r="Z274">
        <v>94</v>
      </c>
      <c r="AA274">
        <v>0</v>
      </c>
      <c r="AB274">
        <v>0</v>
      </c>
      <c r="AC274">
        <v>7</v>
      </c>
      <c r="AD274">
        <v>7</v>
      </c>
      <c r="AE274">
        <v>181</v>
      </c>
      <c r="AF274">
        <v>1</v>
      </c>
      <c r="AG274">
        <v>1</v>
      </c>
      <c r="AH274">
        <v>3</v>
      </c>
      <c r="AI274">
        <v>61</v>
      </c>
      <c r="AJ274">
        <v>3</v>
      </c>
      <c r="AK274">
        <v>47</v>
      </c>
      <c r="AL274">
        <v>6</v>
      </c>
      <c r="AM274">
        <v>108</v>
      </c>
      <c r="AN274">
        <v>5</v>
      </c>
      <c r="AO274">
        <v>95</v>
      </c>
      <c r="AP274">
        <v>11</v>
      </c>
      <c r="AQ274">
        <v>275</v>
      </c>
      <c r="AR274">
        <v>0.1235216819973719</v>
      </c>
      <c r="AS274">
        <v>0</v>
      </c>
      <c r="AT274">
        <v>0.23784494086727989</v>
      </c>
      <c r="AU274">
        <v>1.3140604467805519E-3</v>
      </c>
      <c r="AV274">
        <v>8.0157687253613663E-2</v>
      </c>
      <c r="AW274">
        <v>0.14191852825229959</v>
      </c>
      <c r="AX274">
        <v>0.12483574244415239</v>
      </c>
      <c r="AY274">
        <v>0.36136662286465182</v>
      </c>
      <c r="AZ274">
        <v>-1.7082785808147181E-2</v>
      </c>
      <c r="BA274">
        <v>0.5</v>
      </c>
      <c r="BB274">
        <v>0.66666666666666663</v>
      </c>
      <c r="BC274">
        <v>0.73333333333333328</v>
      </c>
      <c r="BD274">
        <v>0.61432325886990802</v>
      </c>
      <c r="BE274">
        <v>4</v>
      </c>
      <c r="BF274">
        <v>0.62858081471747695</v>
      </c>
      <c r="BG274">
        <v>0.64</v>
      </c>
      <c r="BH274" t="s">
        <v>86</v>
      </c>
      <c r="BI274">
        <v>0.63</v>
      </c>
      <c r="BJ274" t="s">
        <v>86</v>
      </c>
      <c r="BK274" s="2">
        <f t="shared" si="9"/>
        <v>1.0000000000000009E-2</v>
      </c>
      <c r="BL274" t="b">
        <f t="shared" si="10"/>
        <v>1</v>
      </c>
    </row>
    <row r="275" spans="1:64" x14ac:dyDescent="0.35">
      <c r="A275" t="s">
        <v>778</v>
      </c>
      <c r="B275" t="s">
        <v>774</v>
      </c>
      <c r="C275">
        <v>2018</v>
      </c>
      <c r="D275" t="s">
        <v>775</v>
      </c>
      <c r="E275" t="s">
        <v>776</v>
      </c>
      <c r="F275" t="s">
        <v>66</v>
      </c>
      <c r="G275" t="s">
        <v>101</v>
      </c>
      <c r="H275" t="s">
        <v>170</v>
      </c>
      <c r="I275" t="s">
        <v>777</v>
      </c>
      <c r="J275" t="s">
        <v>70</v>
      </c>
      <c r="L275">
        <v>2</v>
      </c>
      <c r="M275" t="b">
        <v>0</v>
      </c>
      <c r="N275">
        <v>1</v>
      </c>
      <c r="O275">
        <v>2</v>
      </c>
      <c r="P275">
        <v>9</v>
      </c>
      <c r="Q275">
        <v>1</v>
      </c>
      <c r="R275">
        <v>8</v>
      </c>
      <c r="S275">
        <v>6</v>
      </c>
      <c r="T275">
        <v>24</v>
      </c>
      <c r="U275">
        <v>191</v>
      </c>
      <c r="V275">
        <v>114</v>
      </c>
      <c r="W275">
        <v>19</v>
      </c>
      <c r="X275">
        <v>6</v>
      </c>
      <c r="Y275">
        <v>4</v>
      </c>
      <c r="Z275">
        <v>51</v>
      </c>
      <c r="AA275">
        <v>0</v>
      </c>
      <c r="AB275">
        <v>0</v>
      </c>
      <c r="AC275">
        <v>3</v>
      </c>
      <c r="AD275">
        <v>3</v>
      </c>
      <c r="AE275">
        <v>43</v>
      </c>
      <c r="AF275">
        <v>1</v>
      </c>
      <c r="AG275">
        <v>1</v>
      </c>
      <c r="AH275">
        <v>1</v>
      </c>
      <c r="AI275">
        <v>11</v>
      </c>
      <c r="AJ275">
        <v>0</v>
      </c>
      <c r="AK275">
        <v>0</v>
      </c>
      <c r="AL275">
        <v>1</v>
      </c>
      <c r="AM275">
        <v>11</v>
      </c>
      <c r="AN275">
        <v>5</v>
      </c>
      <c r="AO275">
        <v>52</v>
      </c>
      <c r="AP275">
        <v>7</v>
      </c>
      <c r="AQ275">
        <v>94</v>
      </c>
      <c r="AR275">
        <v>0.26701570680628273</v>
      </c>
      <c r="AS275">
        <v>0</v>
      </c>
      <c r="AT275">
        <v>0.22513089005235601</v>
      </c>
      <c r="AU275">
        <v>5.235602094240838E-3</v>
      </c>
      <c r="AV275">
        <v>5.7591623036649213E-2</v>
      </c>
      <c r="AW275">
        <v>5.7591623036649213E-2</v>
      </c>
      <c r="AX275">
        <v>0.27225130890052363</v>
      </c>
      <c r="AY275">
        <v>0.49214659685863882</v>
      </c>
      <c r="AZ275">
        <v>0.21465968586387429</v>
      </c>
      <c r="BA275">
        <v>0.83333333333333337</v>
      </c>
      <c r="BB275">
        <v>0.83333333333333337</v>
      </c>
      <c r="BC275">
        <v>0.46666666666666667</v>
      </c>
      <c r="BD275">
        <v>0.75916230366492143</v>
      </c>
      <c r="BE275">
        <v>4</v>
      </c>
      <c r="BF275">
        <v>0.72312390924956371</v>
      </c>
      <c r="BG275">
        <v>0.75</v>
      </c>
      <c r="BH275" t="s">
        <v>86</v>
      </c>
      <c r="BI275">
        <v>0.72</v>
      </c>
      <c r="BJ275" t="s">
        <v>86</v>
      </c>
      <c r="BK275" s="2">
        <f t="shared" si="9"/>
        <v>3.0000000000000027E-2</v>
      </c>
      <c r="BL275" t="b">
        <f t="shared" si="10"/>
        <v>1</v>
      </c>
    </row>
    <row r="276" spans="1:64" x14ac:dyDescent="0.35">
      <c r="A276" t="s">
        <v>779</v>
      </c>
      <c r="B276" t="s">
        <v>774</v>
      </c>
      <c r="C276">
        <v>2021</v>
      </c>
      <c r="D276" t="s">
        <v>775</v>
      </c>
      <c r="E276" t="s">
        <v>776</v>
      </c>
      <c r="F276" t="s">
        <v>66</v>
      </c>
      <c r="G276" t="s">
        <v>101</v>
      </c>
      <c r="H276" t="s">
        <v>170</v>
      </c>
      <c r="I276" t="s">
        <v>777</v>
      </c>
      <c r="J276" t="s">
        <v>70</v>
      </c>
      <c r="L276">
        <v>2</v>
      </c>
      <c r="M276" t="b">
        <v>0</v>
      </c>
      <c r="N276">
        <v>1</v>
      </c>
      <c r="O276">
        <v>2</v>
      </c>
      <c r="P276">
        <v>10</v>
      </c>
      <c r="Q276">
        <v>1</v>
      </c>
      <c r="R276">
        <v>9</v>
      </c>
      <c r="S276">
        <v>6</v>
      </c>
      <c r="T276">
        <v>31</v>
      </c>
      <c r="U276">
        <v>312</v>
      </c>
      <c r="V276">
        <v>140</v>
      </c>
      <c r="W276">
        <v>24</v>
      </c>
      <c r="X276">
        <v>5.833333333333333</v>
      </c>
      <c r="Y276">
        <v>5</v>
      </c>
      <c r="Z276">
        <v>34</v>
      </c>
      <c r="AA276">
        <v>0</v>
      </c>
      <c r="AB276">
        <v>0</v>
      </c>
      <c r="AC276">
        <v>6</v>
      </c>
      <c r="AD276">
        <v>6</v>
      </c>
      <c r="AE276">
        <v>39</v>
      </c>
      <c r="AF276">
        <v>1</v>
      </c>
      <c r="AG276">
        <v>15</v>
      </c>
      <c r="AH276">
        <v>2</v>
      </c>
      <c r="AI276">
        <v>19</v>
      </c>
      <c r="AJ276">
        <v>1</v>
      </c>
      <c r="AK276">
        <v>3</v>
      </c>
      <c r="AL276">
        <v>3</v>
      </c>
      <c r="AM276">
        <v>22</v>
      </c>
      <c r="AN276">
        <v>6</v>
      </c>
      <c r="AO276">
        <v>49</v>
      </c>
      <c r="AP276">
        <v>11</v>
      </c>
      <c r="AQ276">
        <v>73</v>
      </c>
      <c r="AR276">
        <v>0.108974358974359</v>
      </c>
      <c r="AS276">
        <v>0</v>
      </c>
      <c r="AT276">
        <v>0.125</v>
      </c>
      <c r="AU276">
        <v>4.807692307692308E-2</v>
      </c>
      <c r="AV276">
        <v>6.0897435897435903E-2</v>
      </c>
      <c r="AW276">
        <v>7.0512820512820512E-2</v>
      </c>
      <c r="AX276">
        <v>0.15705128205128199</v>
      </c>
      <c r="AY276">
        <v>0.233974358974359</v>
      </c>
      <c r="AZ276">
        <v>8.6538461538461536E-2</v>
      </c>
      <c r="BA276">
        <v>0.83333333333333337</v>
      </c>
      <c r="BB276">
        <v>0.80555555555555547</v>
      </c>
      <c r="BC276">
        <v>0.73333333333333328</v>
      </c>
      <c r="BD276">
        <v>0.67908653846153832</v>
      </c>
      <c r="BE276">
        <v>4</v>
      </c>
      <c r="BF276">
        <v>0.76282719017094014</v>
      </c>
      <c r="BG276">
        <v>0.77</v>
      </c>
      <c r="BH276" t="s">
        <v>86</v>
      </c>
      <c r="BI276">
        <v>0.76</v>
      </c>
      <c r="BJ276" t="s">
        <v>86</v>
      </c>
      <c r="BK276" s="2">
        <f t="shared" si="9"/>
        <v>1.0000000000000009E-2</v>
      </c>
      <c r="BL276" t="b">
        <f t="shared" si="10"/>
        <v>1</v>
      </c>
    </row>
    <row r="277" spans="1:64" x14ac:dyDescent="0.35">
      <c r="A277" t="s">
        <v>780</v>
      </c>
      <c r="B277" t="s">
        <v>781</v>
      </c>
      <c r="C277">
        <v>2015</v>
      </c>
      <c r="D277" t="s">
        <v>782</v>
      </c>
      <c r="E277" t="s">
        <v>783</v>
      </c>
      <c r="F277" t="s">
        <v>66</v>
      </c>
      <c r="G277" t="s">
        <v>101</v>
      </c>
      <c r="H277" t="s">
        <v>170</v>
      </c>
      <c r="I277" t="s">
        <v>784</v>
      </c>
      <c r="J277" t="s">
        <v>70</v>
      </c>
      <c r="L277">
        <v>3</v>
      </c>
      <c r="M277" t="b">
        <v>0</v>
      </c>
      <c r="N277">
        <v>1</v>
      </c>
      <c r="O277">
        <v>4</v>
      </c>
      <c r="P277">
        <v>8</v>
      </c>
      <c r="Q277">
        <v>4</v>
      </c>
      <c r="R277">
        <v>4</v>
      </c>
      <c r="S277">
        <v>6</v>
      </c>
      <c r="T277">
        <v>23</v>
      </c>
      <c r="U277">
        <v>331</v>
      </c>
      <c r="V277">
        <v>115</v>
      </c>
      <c r="W277">
        <v>20</v>
      </c>
      <c r="X277">
        <v>5.75</v>
      </c>
      <c r="Y277">
        <v>2</v>
      </c>
      <c r="Z277">
        <v>25</v>
      </c>
      <c r="AA277">
        <v>1</v>
      </c>
      <c r="AB277">
        <v>6</v>
      </c>
      <c r="AC277">
        <v>2</v>
      </c>
      <c r="AD277">
        <v>2</v>
      </c>
      <c r="AE277">
        <v>26</v>
      </c>
      <c r="AF277">
        <v>4</v>
      </c>
      <c r="AG277">
        <v>45</v>
      </c>
      <c r="AH277">
        <v>1</v>
      </c>
      <c r="AI277">
        <v>29</v>
      </c>
      <c r="AJ277">
        <v>1</v>
      </c>
      <c r="AK277">
        <v>2</v>
      </c>
      <c r="AL277">
        <v>2</v>
      </c>
      <c r="AM277">
        <v>31</v>
      </c>
      <c r="AN277">
        <v>7</v>
      </c>
      <c r="AO277">
        <v>76</v>
      </c>
      <c r="AP277">
        <v>5</v>
      </c>
      <c r="AQ277">
        <v>57</v>
      </c>
      <c r="AR277">
        <v>7.5528700906344406E-2</v>
      </c>
      <c r="AS277">
        <v>1.812688821752266E-2</v>
      </c>
      <c r="AT277">
        <v>7.8549848942598186E-2</v>
      </c>
      <c r="AU277">
        <v>0.13595166163141989</v>
      </c>
      <c r="AV277">
        <v>8.7613293051359523E-2</v>
      </c>
      <c r="AW277">
        <v>9.3655589123867067E-2</v>
      </c>
      <c r="AX277">
        <v>0.22960725075528701</v>
      </c>
      <c r="AY277">
        <v>0.17220543806646529</v>
      </c>
      <c r="AZ277">
        <v>0.13595166163141989</v>
      </c>
      <c r="BA277">
        <v>0.83333333333333337</v>
      </c>
      <c r="BB277">
        <v>0.79166666666666663</v>
      </c>
      <c r="BC277">
        <v>0.33333333333333331</v>
      </c>
      <c r="BD277">
        <v>0.70996978851963732</v>
      </c>
      <c r="BE277">
        <v>4</v>
      </c>
      <c r="BF277">
        <v>0.66707578046324267</v>
      </c>
      <c r="BG277">
        <v>0.68</v>
      </c>
      <c r="BH277" t="s">
        <v>86</v>
      </c>
      <c r="BI277">
        <v>0.67</v>
      </c>
      <c r="BJ277" t="s">
        <v>86</v>
      </c>
      <c r="BK277" s="2">
        <f t="shared" si="9"/>
        <v>1.0000000000000009E-2</v>
      </c>
      <c r="BL277" t="b">
        <f t="shared" si="10"/>
        <v>1</v>
      </c>
    </row>
    <row r="278" spans="1:64" x14ac:dyDescent="0.35">
      <c r="A278" t="s">
        <v>785</v>
      </c>
      <c r="B278" t="s">
        <v>786</v>
      </c>
      <c r="C278">
        <v>2016</v>
      </c>
      <c r="D278" t="s">
        <v>787</v>
      </c>
      <c r="E278" t="s">
        <v>788</v>
      </c>
      <c r="F278" t="s">
        <v>66</v>
      </c>
      <c r="G278" t="s">
        <v>67</v>
      </c>
      <c r="H278" t="s">
        <v>84</v>
      </c>
      <c r="I278" t="s">
        <v>84</v>
      </c>
      <c r="J278" t="s">
        <v>70</v>
      </c>
      <c r="L278">
        <v>4</v>
      </c>
      <c r="M278" t="b">
        <v>0</v>
      </c>
      <c r="N278">
        <v>1</v>
      </c>
      <c r="O278">
        <v>1</v>
      </c>
      <c r="P278">
        <v>5</v>
      </c>
      <c r="Q278">
        <v>5</v>
      </c>
      <c r="R278">
        <v>0</v>
      </c>
      <c r="S278">
        <v>4</v>
      </c>
      <c r="T278">
        <v>27</v>
      </c>
      <c r="U278">
        <v>422</v>
      </c>
      <c r="V278">
        <v>116</v>
      </c>
      <c r="W278">
        <v>21</v>
      </c>
      <c r="X278">
        <v>5.5238095238095237</v>
      </c>
      <c r="Y278">
        <v>1</v>
      </c>
      <c r="Z278">
        <v>3</v>
      </c>
      <c r="AA278">
        <v>0</v>
      </c>
      <c r="AB278">
        <v>0</v>
      </c>
      <c r="AC278">
        <v>1</v>
      </c>
      <c r="AD278">
        <v>1</v>
      </c>
      <c r="AE278">
        <v>151</v>
      </c>
      <c r="AF278">
        <v>1</v>
      </c>
      <c r="AG278">
        <v>1</v>
      </c>
      <c r="AH278">
        <v>2</v>
      </c>
      <c r="AI278">
        <v>142</v>
      </c>
      <c r="AJ278">
        <v>3</v>
      </c>
      <c r="AK278">
        <v>7</v>
      </c>
      <c r="AL278">
        <v>5</v>
      </c>
      <c r="AM278">
        <v>149</v>
      </c>
      <c r="AN278">
        <v>2</v>
      </c>
      <c r="AO278">
        <v>4</v>
      </c>
      <c r="AP278">
        <v>2</v>
      </c>
      <c r="AQ278">
        <v>154</v>
      </c>
      <c r="AR278">
        <v>7.1090047393364934E-3</v>
      </c>
      <c r="AS278">
        <v>0</v>
      </c>
      <c r="AT278">
        <v>0.35781990521327012</v>
      </c>
      <c r="AU278">
        <v>2.3696682464454978E-3</v>
      </c>
      <c r="AV278">
        <v>0.33649289099526059</v>
      </c>
      <c r="AW278">
        <v>0.35308056872037907</v>
      </c>
      <c r="AX278">
        <v>9.4786729857819912E-3</v>
      </c>
      <c r="AY278">
        <v>0.36492890995260657</v>
      </c>
      <c r="AZ278">
        <v>-0.34360189573459721</v>
      </c>
      <c r="BA278">
        <v>0.5</v>
      </c>
      <c r="BB278">
        <v>0.75396825396825395</v>
      </c>
      <c r="BC278">
        <v>0.1333333333333333</v>
      </c>
      <c r="BD278">
        <v>0.41024881516587669</v>
      </c>
      <c r="BE278">
        <v>4</v>
      </c>
      <c r="BF278">
        <v>0.449387600616866</v>
      </c>
      <c r="BG278">
        <v>0.46</v>
      </c>
      <c r="BH278" t="s">
        <v>71</v>
      </c>
      <c r="BI278">
        <v>0.45</v>
      </c>
      <c r="BJ278" t="s">
        <v>71</v>
      </c>
      <c r="BK278" s="2">
        <f t="shared" si="9"/>
        <v>1.0000000000000009E-2</v>
      </c>
      <c r="BL278" t="b">
        <f t="shared" si="10"/>
        <v>1</v>
      </c>
    </row>
    <row r="279" spans="1:64" x14ac:dyDescent="0.35">
      <c r="A279" t="s">
        <v>789</v>
      </c>
      <c r="B279" t="s">
        <v>786</v>
      </c>
      <c r="C279">
        <v>2019</v>
      </c>
      <c r="D279" t="s">
        <v>787</v>
      </c>
      <c r="E279" t="s">
        <v>788</v>
      </c>
      <c r="F279" t="s">
        <v>66</v>
      </c>
      <c r="G279" t="s">
        <v>67</v>
      </c>
      <c r="H279" t="s">
        <v>84</v>
      </c>
      <c r="I279" t="s">
        <v>84</v>
      </c>
      <c r="J279" t="s">
        <v>70</v>
      </c>
      <c r="L279">
        <v>4</v>
      </c>
      <c r="M279" t="b">
        <v>0</v>
      </c>
      <c r="N279">
        <v>1</v>
      </c>
      <c r="O279">
        <v>1</v>
      </c>
      <c r="P279">
        <v>7</v>
      </c>
      <c r="Q279">
        <v>4</v>
      </c>
      <c r="R279">
        <v>3</v>
      </c>
      <c r="S279">
        <v>4</v>
      </c>
      <c r="T279">
        <v>35</v>
      </c>
      <c r="U279">
        <v>421</v>
      </c>
      <c r="V279">
        <v>141</v>
      </c>
      <c r="W279">
        <v>27</v>
      </c>
      <c r="X279">
        <v>5.2222222222222223</v>
      </c>
      <c r="Y279">
        <v>3</v>
      </c>
      <c r="Z279">
        <v>38</v>
      </c>
      <c r="AA279">
        <v>0</v>
      </c>
      <c r="AB279">
        <v>0</v>
      </c>
      <c r="AC279">
        <v>1</v>
      </c>
      <c r="AD279">
        <v>1</v>
      </c>
      <c r="AE279">
        <v>29</v>
      </c>
      <c r="AF279">
        <v>1</v>
      </c>
      <c r="AG279">
        <v>1</v>
      </c>
      <c r="AH279">
        <v>2</v>
      </c>
      <c r="AI279">
        <v>6</v>
      </c>
      <c r="AJ279">
        <v>3</v>
      </c>
      <c r="AK279">
        <v>25</v>
      </c>
      <c r="AL279">
        <v>5</v>
      </c>
      <c r="AM279">
        <v>31</v>
      </c>
      <c r="AN279">
        <v>4</v>
      </c>
      <c r="AO279">
        <v>39</v>
      </c>
      <c r="AP279">
        <v>4</v>
      </c>
      <c r="AQ279">
        <v>67</v>
      </c>
      <c r="AR279">
        <v>9.0261282660332537E-2</v>
      </c>
      <c r="AS279">
        <v>0</v>
      </c>
      <c r="AT279">
        <v>6.8883610451306407E-2</v>
      </c>
      <c r="AU279">
        <v>2.3752969121140139E-3</v>
      </c>
      <c r="AV279">
        <v>1.425178147268409E-2</v>
      </c>
      <c r="AW279">
        <v>7.3634204275534437E-2</v>
      </c>
      <c r="AX279">
        <v>9.2636579572446559E-2</v>
      </c>
      <c r="AY279">
        <v>0.15914489311163901</v>
      </c>
      <c r="AZ279">
        <v>1.9002375296912118E-2</v>
      </c>
      <c r="BA279">
        <v>0.5</v>
      </c>
      <c r="BB279">
        <v>0.70370370370370372</v>
      </c>
      <c r="BC279">
        <v>0.26666666666666672</v>
      </c>
      <c r="BD279">
        <v>0.63687648456057011</v>
      </c>
      <c r="BE279">
        <v>4</v>
      </c>
      <c r="BF279">
        <v>0.52681171373273517</v>
      </c>
      <c r="BG279">
        <v>0.53</v>
      </c>
      <c r="BH279" t="s">
        <v>71</v>
      </c>
      <c r="BI279">
        <v>0.53</v>
      </c>
      <c r="BJ279" t="s">
        <v>71</v>
      </c>
      <c r="BK279" s="2">
        <f t="shared" si="9"/>
        <v>0</v>
      </c>
      <c r="BL279" t="b">
        <f t="shared" si="10"/>
        <v>1</v>
      </c>
    </row>
    <row r="280" spans="1:64" x14ac:dyDescent="0.35">
      <c r="A280" t="s">
        <v>790</v>
      </c>
      <c r="B280" t="s">
        <v>786</v>
      </c>
      <c r="C280">
        <v>2022</v>
      </c>
      <c r="D280" t="s">
        <v>787</v>
      </c>
      <c r="E280" t="s">
        <v>788</v>
      </c>
      <c r="F280" t="s">
        <v>66</v>
      </c>
      <c r="G280" t="s">
        <v>67</v>
      </c>
      <c r="H280" t="s">
        <v>84</v>
      </c>
      <c r="I280" t="s">
        <v>84</v>
      </c>
      <c r="J280" t="s">
        <v>70</v>
      </c>
      <c r="L280">
        <v>4</v>
      </c>
      <c r="M280" t="b">
        <v>0</v>
      </c>
      <c r="N280">
        <v>1</v>
      </c>
      <c r="O280">
        <v>1</v>
      </c>
      <c r="P280">
        <v>4</v>
      </c>
      <c r="Q280">
        <v>3</v>
      </c>
      <c r="R280">
        <v>1</v>
      </c>
      <c r="S280">
        <v>4</v>
      </c>
      <c r="T280">
        <v>22</v>
      </c>
      <c r="U280">
        <v>218</v>
      </c>
      <c r="V280">
        <v>94</v>
      </c>
      <c r="W280">
        <v>18</v>
      </c>
      <c r="X280">
        <v>5.2222222222222223</v>
      </c>
      <c r="Y280">
        <v>1</v>
      </c>
      <c r="Z280">
        <v>49</v>
      </c>
      <c r="AA280">
        <v>0</v>
      </c>
      <c r="AB280">
        <v>0</v>
      </c>
      <c r="AC280">
        <v>1</v>
      </c>
      <c r="AD280">
        <v>1</v>
      </c>
      <c r="AE280">
        <v>27</v>
      </c>
      <c r="AF280">
        <v>0</v>
      </c>
      <c r="AG280">
        <v>0</v>
      </c>
      <c r="AH280">
        <v>1</v>
      </c>
      <c r="AI280">
        <v>5</v>
      </c>
      <c r="AJ280">
        <v>1</v>
      </c>
      <c r="AK280">
        <v>4</v>
      </c>
      <c r="AL280">
        <v>2</v>
      </c>
      <c r="AM280">
        <v>9</v>
      </c>
      <c r="AN280">
        <v>1</v>
      </c>
      <c r="AO280">
        <v>49</v>
      </c>
      <c r="AP280">
        <v>2</v>
      </c>
      <c r="AQ280">
        <v>76</v>
      </c>
      <c r="AR280">
        <v>0.2247706422018349</v>
      </c>
      <c r="AS280">
        <v>0</v>
      </c>
      <c r="AT280">
        <v>0.1238532110091743</v>
      </c>
      <c r="AU280">
        <v>0</v>
      </c>
      <c r="AV280">
        <v>2.2935779816513759E-2</v>
      </c>
      <c r="AW280">
        <v>4.1284403669724773E-2</v>
      </c>
      <c r="AX280">
        <v>0.2247706422018349</v>
      </c>
      <c r="AY280">
        <v>0.34862385321100919</v>
      </c>
      <c r="AZ280">
        <v>0.1834862385321101</v>
      </c>
      <c r="BA280">
        <v>0.5</v>
      </c>
      <c r="BB280">
        <v>0.70370370370370372</v>
      </c>
      <c r="BC280">
        <v>0.1333333333333333</v>
      </c>
      <c r="BD280">
        <v>0.73967889908256879</v>
      </c>
      <c r="BE280">
        <v>4</v>
      </c>
      <c r="BF280">
        <v>0.51917898402990148</v>
      </c>
      <c r="BG280">
        <v>0.52</v>
      </c>
      <c r="BH280" t="s">
        <v>71</v>
      </c>
      <c r="BI280">
        <v>0.52</v>
      </c>
      <c r="BJ280" t="s">
        <v>71</v>
      </c>
      <c r="BK280" s="2">
        <f t="shared" si="9"/>
        <v>0</v>
      </c>
      <c r="BL280" t="b">
        <f t="shared" si="10"/>
        <v>1</v>
      </c>
    </row>
    <row r="281" spans="1:64" x14ac:dyDescent="0.35">
      <c r="A281" t="s">
        <v>791</v>
      </c>
      <c r="B281" t="s">
        <v>792</v>
      </c>
      <c r="C281">
        <v>2015</v>
      </c>
      <c r="D281" t="s">
        <v>793</v>
      </c>
      <c r="E281" t="s">
        <v>794</v>
      </c>
      <c r="F281" t="s">
        <v>66</v>
      </c>
      <c r="G281" t="s">
        <v>67</v>
      </c>
      <c r="H281" t="s">
        <v>84</v>
      </c>
      <c r="I281" t="s">
        <v>795</v>
      </c>
      <c r="J281" t="s">
        <v>70</v>
      </c>
      <c r="L281">
        <v>5</v>
      </c>
      <c r="M281" t="b">
        <v>0</v>
      </c>
      <c r="N281">
        <v>1</v>
      </c>
      <c r="O281">
        <v>2</v>
      </c>
      <c r="P281">
        <v>10</v>
      </c>
      <c r="Q281">
        <v>5</v>
      </c>
      <c r="R281">
        <v>5</v>
      </c>
      <c r="S281">
        <v>6</v>
      </c>
      <c r="T281">
        <v>37</v>
      </c>
      <c r="U281">
        <v>196</v>
      </c>
      <c r="V281">
        <v>200</v>
      </c>
      <c r="W281">
        <v>32</v>
      </c>
      <c r="X281">
        <v>6.25</v>
      </c>
      <c r="Y281">
        <v>5</v>
      </c>
      <c r="Z281">
        <v>26</v>
      </c>
      <c r="AA281">
        <v>0</v>
      </c>
      <c r="AB281">
        <v>0</v>
      </c>
      <c r="AC281">
        <v>2</v>
      </c>
      <c r="AD281">
        <v>2</v>
      </c>
      <c r="AE281">
        <v>31</v>
      </c>
      <c r="AF281">
        <v>3</v>
      </c>
      <c r="AG281">
        <v>6</v>
      </c>
      <c r="AH281">
        <v>2</v>
      </c>
      <c r="AI281">
        <v>26</v>
      </c>
      <c r="AJ281">
        <v>1</v>
      </c>
      <c r="AK281">
        <v>3</v>
      </c>
      <c r="AL281">
        <v>3</v>
      </c>
      <c r="AM281">
        <v>29</v>
      </c>
      <c r="AN281">
        <v>8</v>
      </c>
      <c r="AO281">
        <v>32</v>
      </c>
      <c r="AP281">
        <v>7</v>
      </c>
      <c r="AQ281">
        <v>57</v>
      </c>
      <c r="AR281">
        <v>0.1326530612244898</v>
      </c>
      <c r="AS281">
        <v>0</v>
      </c>
      <c r="AT281">
        <v>0.15816326530612251</v>
      </c>
      <c r="AU281">
        <v>3.0612244897959179E-2</v>
      </c>
      <c r="AV281">
        <v>0.1326530612244898</v>
      </c>
      <c r="AW281">
        <v>0.14795918367346941</v>
      </c>
      <c r="AX281">
        <v>0.16326530612244899</v>
      </c>
      <c r="AY281">
        <v>0.29081632653061218</v>
      </c>
      <c r="AZ281">
        <v>1.5306122448979579E-2</v>
      </c>
      <c r="BA281">
        <v>0.83333333333333337</v>
      </c>
      <c r="BB281">
        <v>0.875</v>
      </c>
      <c r="BC281">
        <v>0.46666666666666667</v>
      </c>
      <c r="BD281">
        <v>0.63456632653061229</v>
      </c>
      <c r="BE281">
        <v>4</v>
      </c>
      <c r="BF281">
        <v>0.70239158163265314</v>
      </c>
      <c r="BG281">
        <v>0.72</v>
      </c>
      <c r="BH281" t="s">
        <v>86</v>
      </c>
      <c r="BI281">
        <v>0.7</v>
      </c>
      <c r="BJ281" t="s">
        <v>86</v>
      </c>
      <c r="BK281" s="2">
        <f t="shared" si="9"/>
        <v>2.0000000000000018E-2</v>
      </c>
      <c r="BL281" t="b">
        <f t="shared" si="10"/>
        <v>1</v>
      </c>
    </row>
    <row r="282" spans="1:64" x14ac:dyDescent="0.35">
      <c r="A282" t="s">
        <v>796</v>
      </c>
      <c r="B282" t="s">
        <v>792</v>
      </c>
      <c r="C282">
        <v>2019</v>
      </c>
      <c r="D282" t="s">
        <v>793</v>
      </c>
      <c r="E282" t="s">
        <v>794</v>
      </c>
      <c r="F282" t="s">
        <v>66</v>
      </c>
      <c r="G282" t="s">
        <v>67</v>
      </c>
      <c r="H282" t="s">
        <v>84</v>
      </c>
      <c r="I282" t="s">
        <v>795</v>
      </c>
      <c r="J282" t="s">
        <v>70</v>
      </c>
      <c r="L282">
        <v>5</v>
      </c>
      <c r="M282" t="b">
        <v>0</v>
      </c>
      <c r="N282">
        <v>1</v>
      </c>
      <c r="O282">
        <v>2</v>
      </c>
      <c r="P282">
        <v>5</v>
      </c>
      <c r="Q282">
        <v>4</v>
      </c>
      <c r="R282">
        <v>1</v>
      </c>
      <c r="S282">
        <v>5</v>
      </c>
      <c r="T282">
        <v>26</v>
      </c>
      <c r="U282">
        <v>243</v>
      </c>
      <c r="V282">
        <v>95</v>
      </c>
      <c r="W282">
        <v>19</v>
      </c>
      <c r="X282">
        <v>5</v>
      </c>
      <c r="Y282">
        <v>3</v>
      </c>
      <c r="Z282">
        <v>7</v>
      </c>
      <c r="AA282">
        <v>0</v>
      </c>
      <c r="AB282">
        <v>0</v>
      </c>
      <c r="AC282">
        <v>1</v>
      </c>
      <c r="AD282">
        <v>1</v>
      </c>
      <c r="AE282">
        <v>33</v>
      </c>
      <c r="AF282">
        <v>3</v>
      </c>
      <c r="AG282">
        <v>17</v>
      </c>
      <c r="AH282">
        <v>2</v>
      </c>
      <c r="AI282">
        <v>21</v>
      </c>
      <c r="AJ282">
        <v>0</v>
      </c>
      <c r="AK282">
        <v>0</v>
      </c>
      <c r="AL282">
        <v>2</v>
      </c>
      <c r="AM282">
        <v>21</v>
      </c>
      <c r="AN282">
        <v>6</v>
      </c>
      <c r="AO282">
        <v>24</v>
      </c>
      <c r="AP282">
        <v>4</v>
      </c>
      <c r="AQ282">
        <v>40</v>
      </c>
      <c r="AR282">
        <v>2.8806584362139918E-2</v>
      </c>
      <c r="AS282">
        <v>0</v>
      </c>
      <c r="AT282">
        <v>0.13580246913580249</v>
      </c>
      <c r="AU282">
        <v>6.9958847736625515E-2</v>
      </c>
      <c r="AV282">
        <v>8.6419753086419748E-2</v>
      </c>
      <c r="AW282">
        <v>8.6419753086419748E-2</v>
      </c>
      <c r="AX282">
        <v>9.8765432098765427E-2</v>
      </c>
      <c r="AY282">
        <v>0.16460905349794239</v>
      </c>
      <c r="AZ282">
        <v>1.234567901234568E-2</v>
      </c>
      <c r="BA282">
        <v>0.66666666666666663</v>
      </c>
      <c r="BB282">
        <v>0.66666666666666663</v>
      </c>
      <c r="BC282">
        <v>0.26666666666666672</v>
      </c>
      <c r="BD282">
        <v>0.63271604938271608</v>
      </c>
      <c r="BE282">
        <v>4</v>
      </c>
      <c r="BF282">
        <v>0.55817901234567902</v>
      </c>
      <c r="BG282">
        <v>0.56999999999999995</v>
      </c>
      <c r="BH282" t="s">
        <v>71</v>
      </c>
      <c r="BI282">
        <v>0.56000000000000005</v>
      </c>
      <c r="BJ282" t="s">
        <v>71</v>
      </c>
      <c r="BK282" s="2">
        <f t="shared" si="9"/>
        <v>9.9999999999998979E-3</v>
      </c>
      <c r="BL282" t="b">
        <f t="shared" si="10"/>
        <v>1</v>
      </c>
    </row>
    <row r="283" spans="1:64" x14ac:dyDescent="0.35">
      <c r="A283" t="s">
        <v>797</v>
      </c>
      <c r="B283" t="s">
        <v>792</v>
      </c>
      <c r="C283">
        <v>2022</v>
      </c>
      <c r="D283" t="s">
        <v>793</v>
      </c>
      <c r="E283" t="s">
        <v>794</v>
      </c>
      <c r="F283" t="s">
        <v>66</v>
      </c>
      <c r="G283" t="s">
        <v>67</v>
      </c>
      <c r="H283" t="s">
        <v>84</v>
      </c>
      <c r="I283" t="s">
        <v>795</v>
      </c>
      <c r="J283" t="s">
        <v>70</v>
      </c>
      <c r="L283">
        <v>5</v>
      </c>
      <c r="M283" t="b">
        <v>0</v>
      </c>
      <c r="N283">
        <v>1</v>
      </c>
      <c r="O283">
        <v>1</v>
      </c>
      <c r="P283">
        <v>10</v>
      </c>
      <c r="Q283">
        <v>3</v>
      </c>
      <c r="R283">
        <v>7</v>
      </c>
      <c r="S283">
        <v>5</v>
      </c>
      <c r="T283">
        <v>34</v>
      </c>
      <c r="U283">
        <v>330</v>
      </c>
      <c r="V283">
        <v>158</v>
      </c>
      <c r="W283">
        <v>27</v>
      </c>
      <c r="X283">
        <v>5.8518518518518521</v>
      </c>
      <c r="Y283">
        <v>5</v>
      </c>
      <c r="Z283">
        <v>54</v>
      </c>
      <c r="AA283">
        <v>0</v>
      </c>
      <c r="AB283">
        <v>0</v>
      </c>
      <c r="AC283">
        <v>2</v>
      </c>
      <c r="AD283">
        <v>2</v>
      </c>
      <c r="AE283">
        <v>87</v>
      </c>
      <c r="AF283">
        <v>3</v>
      </c>
      <c r="AG283">
        <v>22</v>
      </c>
      <c r="AH283">
        <v>2</v>
      </c>
      <c r="AI283">
        <v>13</v>
      </c>
      <c r="AJ283">
        <v>1</v>
      </c>
      <c r="AK283">
        <v>2</v>
      </c>
      <c r="AL283">
        <v>3</v>
      </c>
      <c r="AM283">
        <v>15</v>
      </c>
      <c r="AN283">
        <v>8</v>
      </c>
      <c r="AO283">
        <v>76</v>
      </c>
      <c r="AP283">
        <v>7</v>
      </c>
      <c r="AQ283">
        <v>141</v>
      </c>
      <c r="AR283">
        <v>0.16363636363636361</v>
      </c>
      <c r="AS283">
        <v>0</v>
      </c>
      <c r="AT283">
        <v>0.26363636363636361</v>
      </c>
      <c r="AU283">
        <v>6.6666666666666666E-2</v>
      </c>
      <c r="AV283">
        <v>3.9393939393939391E-2</v>
      </c>
      <c r="AW283">
        <v>4.5454545454545463E-2</v>
      </c>
      <c r="AX283">
        <v>0.23030303030303029</v>
      </c>
      <c r="AY283">
        <v>0.42727272727272719</v>
      </c>
      <c r="AZ283">
        <v>0.1848484848484849</v>
      </c>
      <c r="BA283">
        <v>0.66666666666666663</v>
      </c>
      <c r="BB283">
        <v>0.80864197530864201</v>
      </c>
      <c r="BC283">
        <v>0.46666666666666667</v>
      </c>
      <c r="BD283">
        <v>0.74053030303030298</v>
      </c>
      <c r="BE283">
        <v>4</v>
      </c>
      <c r="BF283">
        <v>0.67062640291806952</v>
      </c>
      <c r="BG283">
        <v>0.67</v>
      </c>
      <c r="BH283" t="s">
        <v>86</v>
      </c>
      <c r="BI283">
        <v>0.67</v>
      </c>
      <c r="BJ283" t="s">
        <v>86</v>
      </c>
      <c r="BK283" s="2">
        <f t="shared" si="9"/>
        <v>0</v>
      </c>
      <c r="BL283" t="b">
        <f t="shared" si="10"/>
        <v>1</v>
      </c>
    </row>
    <row r="284" spans="1:64" x14ac:dyDescent="0.35">
      <c r="A284" t="s">
        <v>798</v>
      </c>
      <c r="B284" t="s">
        <v>799</v>
      </c>
      <c r="C284">
        <v>2016</v>
      </c>
      <c r="D284" t="s">
        <v>800</v>
      </c>
      <c r="E284" t="s">
        <v>801</v>
      </c>
      <c r="F284" t="s">
        <v>66</v>
      </c>
      <c r="G284" t="s">
        <v>101</v>
      </c>
      <c r="H284" t="s">
        <v>150</v>
      </c>
      <c r="I284" t="s">
        <v>802</v>
      </c>
      <c r="J284" t="s">
        <v>70</v>
      </c>
      <c r="L284">
        <v>3</v>
      </c>
      <c r="M284" t="b">
        <v>0</v>
      </c>
      <c r="N284">
        <v>1</v>
      </c>
      <c r="O284">
        <v>2</v>
      </c>
      <c r="P284">
        <v>11</v>
      </c>
      <c r="Q284">
        <v>1</v>
      </c>
      <c r="R284">
        <v>10</v>
      </c>
      <c r="S284">
        <v>7</v>
      </c>
      <c r="T284">
        <v>33</v>
      </c>
      <c r="U284">
        <v>791</v>
      </c>
      <c r="V284">
        <v>154</v>
      </c>
      <c r="W284">
        <v>23</v>
      </c>
      <c r="X284">
        <v>6.6956521739130439</v>
      </c>
      <c r="Y284">
        <v>3</v>
      </c>
      <c r="Z284">
        <v>527</v>
      </c>
      <c r="AA284">
        <v>2</v>
      </c>
      <c r="AB284">
        <v>2</v>
      </c>
      <c r="AC284">
        <v>5</v>
      </c>
      <c r="AD284">
        <v>5</v>
      </c>
      <c r="AE284">
        <v>21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5</v>
      </c>
      <c r="AO284">
        <v>529</v>
      </c>
      <c r="AP284">
        <v>10</v>
      </c>
      <c r="AQ284">
        <v>550</v>
      </c>
      <c r="AR284">
        <v>0.66624525916561317</v>
      </c>
      <c r="AS284">
        <v>2.5284450063211132E-3</v>
      </c>
      <c r="AT284">
        <v>2.6548672566371681E-2</v>
      </c>
      <c r="AU284">
        <v>0</v>
      </c>
      <c r="AV284">
        <v>0</v>
      </c>
      <c r="AW284">
        <v>0</v>
      </c>
      <c r="AX284">
        <v>0.66877370417193427</v>
      </c>
      <c r="AY284">
        <v>0.69532237673830599</v>
      </c>
      <c r="AZ284">
        <v>0.66877370417193427</v>
      </c>
      <c r="BA284">
        <v>1</v>
      </c>
      <c r="BB284">
        <v>0.94927536231884069</v>
      </c>
      <c r="BC284">
        <v>0.66666666666666663</v>
      </c>
      <c r="BD284">
        <v>1.042983565107459</v>
      </c>
      <c r="BE284">
        <v>4</v>
      </c>
      <c r="BF284">
        <v>0.91473139852324148</v>
      </c>
      <c r="BG284">
        <v>0.91</v>
      </c>
      <c r="BH284" t="s">
        <v>164</v>
      </c>
      <c r="BI284">
        <v>0.91</v>
      </c>
      <c r="BJ284" t="s">
        <v>164</v>
      </c>
      <c r="BK284" s="2">
        <f t="shared" si="9"/>
        <v>0</v>
      </c>
      <c r="BL284" t="b">
        <f t="shared" si="10"/>
        <v>1</v>
      </c>
    </row>
    <row r="285" spans="1:64" x14ac:dyDescent="0.35">
      <c r="A285" t="s">
        <v>803</v>
      </c>
      <c r="B285" t="s">
        <v>799</v>
      </c>
      <c r="C285">
        <v>2019</v>
      </c>
      <c r="D285" t="s">
        <v>800</v>
      </c>
      <c r="E285" t="s">
        <v>801</v>
      </c>
      <c r="F285" t="s">
        <v>66</v>
      </c>
      <c r="G285" t="s">
        <v>101</v>
      </c>
      <c r="H285" t="s">
        <v>150</v>
      </c>
      <c r="I285" t="s">
        <v>802</v>
      </c>
      <c r="J285" t="s">
        <v>70</v>
      </c>
      <c r="L285">
        <v>3</v>
      </c>
      <c r="M285" t="b">
        <v>0</v>
      </c>
      <c r="N285">
        <v>1</v>
      </c>
      <c r="O285">
        <v>2</v>
      </c>
      <c r="P285">
        <v>3</v>
      </c>
      <c r="Q285">
        <v>3</v>
      </c>
      <c r="R285">
        <v>0</v>
      </c>
      <c r="S285">
        <v>5</v>
      </c>
      <c r="T285">
        <v>19</v>
      </c>
      <c r="U285">
        <v>200</v>
      </c>
      <c r="V285">
        <v>81</v>
      </c>
      <c r="W285">
        <v>14</v>
      </c>
      <c r="X285">
        <v>5.7857142857142856</v>
      </c>
      <c r="Y285">
        <v>1</v>
      </c>
      <c r="Z285">
        <v>1</v>
      </c>
      <c r="AA285">
        <v>0</v>
      </c>
      <c r="AB285">
        <v>0</v>
      </c>
      <c r="AC285">
        <v>3</v>
      </c>
      <c r="AD285">
        <v>3</v>
      </c>
      <c r="AE285">
        <v>29</v>
      </c>
      <c r="AF285">
        <v>1</v>
      </c>
      <c r="AG285">
        <v>8</v>
      </c>
      <c r="AH285">
        <v>0</v>
      </c>
      <c r="AI285">
        <v>0</v>
      </c>
      <c r="AJ285">
        <v>1</v>
      </c>
      <c r="AK285">
        <v>4</v>
      </c>
      <c r="AL285">
        <v>1</v>
      </c>
      <c r="AM285">
        <v>4</v>
      </c>
      <c r="AN285">
        <v>2</v>
      </c>
      <c r="AO285">
        <v>9</v>
      </c>
      <c r="AP285">
        <v>4</v>
      </c>
      <c r="AQ285">
        <v>30</v>
      </c>
      <c r="AR285">
        <v>5.0000000000000001E-3</v>
      </c>
      <c r="AS285">
        <v>0</v>
      </c>
      <c r="AT285">
        <v>0.14499999999999999</v>
      </c>
      <c r="AU285">
        <v>0.04</v>
      </c>
      <c r="AV285">
        <v>0</v>
      </c>
      <c r="AW285">
        <v>0.02</v>
      </c>
      <c r="AX285">
        <v>4.4999999999999998E-2</v>
      </c>
      <c r="AY285">
        <v>0.15</v>
      </c>
      <c r="AZ285">
        <v>2.5000000000000001E-2</v>
      </c>
      <c r="BA285">
        <v>0.66666666666666663</v>
      </c>
      <c r="BB285">
        <v>0.79761904761904756</v>
      </c>
      <c r="BC285">
        <v>0.26666666666666672</v>
      </c>
      <c r="BD285">
        <v>0.64062499999999989</v>
      </c>
      <c r="BE285">
        <v>4</v>
      </c>
      <c r="BF285">
        <v>0.59289434523809514</v>
      </c>
      <c r="BG285">
        <v>0.59</v>
      </c>
      <c r="BH285" t="s">
        <v>71</v>
      </c>
      <c r="BI285">
        <v>0.59</v>
      </c>
      <c r="BJ285" t="s">
        <v>71</v>
      </c>
      <c r="BK285" s="2">
        <f t="shared" si="9"/>
        <v>0</v>
      </c>
      <c r="BL285" t="b">
        <f t="shared" si="10"/>
        <v>1</v>
      </c>
    </row>
    <row r="286" spans="1:64" x14ac:dyDescent="0.35">
      <c r="A286" t="s">
        <v>804</v>
      </c>
      <c r="B286" t="s">
        <v>805</v>
      </c>
      <c r="C286">
        <v>2015</v>
      </c>
      <c r="D286" t="s">
        <v>450</v>
      </c>
      <c r="E286" t="s">
        <v>806</v>
      </c>
      <c r="F286" t="s">
        <v>66</v>
      </c>
      <c r="G286" t="s">
        <v>101</v>
      </c>
      <c r="H286" t="s">
        <v>365</v>
      </c>
      <c r="I286" t="s">
        <v>365</v>
      </c>
      <c r="J286" t="s">
        <v>70</v>
      </c>
      <c r="L286">
        <v>4</v>
      </c>
      <c r="M286" t="b">
        <v>0</v>
      </c>
      <c r="N286">
        <v>1</v>
      </c>
      <c r="O286">
        <v>1</v>
      </c>
      <c r="P286">
        <v>9</v>
      </c>
      <c r="Q286">
        <v>4</v>
      </c>
      <c r="R286">
        <v>5</v>
      </c>
      <c r="S286">
        <v>5</v>
      </c>
      <c r="T286">
        <v>38</v>
      </c>
      <c r="U286">
        <v>306</v>
      </c>
      <c r="V286">
        <v>163</v>
      </c>
      <c r="W286">
        <v>26</v>
      </c>
      <c r="X286">
        <v>6.2692307692307692</v>
      </c>
      <c r="Y286">
        <v>4</v>
      </c>
      <c r="Z286">
        <v>59</v>
      </c>
      <c r="AA286">
        <v>0</v>
      </c>
      <c r="AB286">
        <v>0</v>
      </c>
      <c r="AC286">
        <v>5</v>
      </c>
      <c r="AD286">
        <v>5</v>
      </c>
      <c r="AE286">
        <v>20</v>
      </c>
      <c r="AF286">
        <v>4</v>
      </c>
      <c r="AG286">
        <v>11</v>
      </c>
      <c r="AH286">
        <v>1</v>
      </c>
      <c r="AI286">
        <v>3</v>
      </c>
      <c r="AJ286">
        <v>1</v>
      </c>
      <c r="AK286">
        <v>2</v>
      </c>
      <c r="AL286">
        <v>2</v>
      </c>
      <c r="AM286">
        <v>5</v>
      </c>
      <c r="AN286">
        <v>8</v>
      </c>
      <c r="AO286">
        <v>70</v>
      </c>
      <c r="AP286">
        <v>9</v>
      </c>
      <c r="AQ286">
        <v>79</v>
      </c>
      <c r="AR286">
        <v>0.19281045751633991</v>
      </c>
      <c r="AS286">
        <v>0</v>
      </c>
      <c r="AT286">
        <v>6.535947712418301E-2</v>
      </c>
      <c r="AU286">
        <v>3.5947712418300651E-2</v>
      </c>
      <c r="AV286">
        <v>9.8039215686274508E-3</v>
      </c>
      <c r="AW286">
        <v>1.6339869281045749E-2</v>
      </c>
      <c r="AX286">
        <v>0.22875816993464049</v>
      </c>
      <c r="AY286">
        <v>0.2581699346405229</v>
      </c>
      <c r="AZ286">
        <v>0.21241830065359479</v>
      </c>
      <c r="BA286">
        <v>0.66666666666666663</v>
      </c>
      <c r="BB286">
        <v>0.87820512820512819</v>
      </c>
      <c r="BC286">
        <v>0.6</v>
      </c>
      <c r="BD286">
        <v>0.75776143790849682</v>
      </c>
      <c r="BE286">
        <v>4</v>
      </c>
      <c r="BF286">
        <v>0.72565830819507293</v>
      </c>
      <c r="BG286">
        <v>0.74</v>
      </c>
      <c r="BH286" t="s">
        <v>86</v>
      </c>
      <c r="BI286">
        <v>0.73</v>
      </c>
      <c r="BJ286" t="s">
        <v>86</v>
      </c>
      <c r="BK286" s="2">
        <f t="shared" si="9"/>
        <v>1.0000000000000009E-2</v>
      </c>
      <c r="BL286" t="b">
        <f t="shared" si="10"/>
        <v>1</v>
      </c>
    </row>
    <row r="287" spans="1:64" x14ac:dyDescent="0.35">
      <c r="A287" t="s">
        <v>807</v>
      </c>
      <c r="B287" t="s">
        <v>805</v>
      </c>
      <c r="C287">
        <v>2021</v>
      </c>
      <c r="D287" t="s">
        <v>450</v>
      </c>
      <c r="E287" t="s">
        <v>806</v>
      </c>
      <c r="F287" t="s">
        <v>66</v>
      </c>
      <c r="G287" t="s">
        <v>101</v>
      </c>
      <c r="H287" t="s">
        <v>365</v>
      </c>
      <c r="I287" t="s">
        <v>365</v>
      </c>
      <c r="J287" t="s">
        <v>70</v>
      </c>
      <c r="L287">
        <v>4</v>
      </c>
      <c r="M287" t="b">
        <v>0</v>
      </c>
      <c r="N287">
        <v>1</v>
      </c>
      <c r="O287">
        <v>1</v>
      </c>
      <c r="P287">
        <v>5</v>
      </c>
      <c r="Q287">
        <v>4</v>
      </c>
      <c r="R287">
        <v>1</v>
      </c>
      <c r="S287">
        <v>4</v>
      </c>
      <c r="T287">
        <v>29</v>
      </c>
      <c r="U287">
        <v>281</v>
      </c>
      <c r="V287">
        <v>141</v>
      </c>
      <c r="W287">
        <v>25</v>
      </c>
      <c r="X287">
        <v>5.64</v>
      </c>
      <c r="Y287">
        <v>3</v>
      </c>
      <c r="Z287">
        <v>103</v>
      </c>
      <c r="AA287">
        <v>1</v>
      </c>
      <c r="AB287">
        <v>1</v>
      </c>
      <c r="AC287">
        <v>5</v>
      </c>
      <c r="AD287">
        <v>5</v>
      </c>
      <c r="AE287">
        <v>60</v>
      </c>
      <c r="AF287">
        <v>2</v>
      </c>
      <c r="AG287">
        <v>14</v>
      </c>
      <c r="AH287">
        <v>1</v>
      </c>
      <c r="AI287">
        <v>39</v>
      </c>
      <c r="AJ287">
        <v>1</v>
      </c>
      <c r="AK287">
        <v>6</v>
      </c>
      <c r="AL287">
        <v>2</v>
      </c>
      <c r="AM287">
        <v>45</v>
      </c>
      <c r="AN287">
        <v>6</v>
      </c>
      <c r="AO287">
        <v>118</v>
      </c>
      <c r="AP287">
        <v>9</v>
      </c>
      <c r="AQ287">
        <v>164</v>
      </c>
      <c r="AR287">
        <v>0.36654804270462632</v>
      </c>
      <c r="AS287">
        <v>3.5587188612099638E-3</v>
      </c>
      <c r="AT287">
        <v>0.2135231316725979</v>
      </c>
      <c r="AU287">
        <v>4.9822064056939501E-2</v>
      </c>
      <c r="AV287">
        <v>0.13879003558718861</v>
      </c>
      <c r="AW287">
        <v>0.16014234875444841</v>
      </c>
      <c r="AX287">
        <v>0.41992882562277578</v>
      </c>
      <c r="AY287">
        <v>0.58362989323843417</v>
      </c>
      <c r="AZ287">
        <v>0.25978647686832729</v>
      </c>
      <c r="BA287">
        <v>0.5</v>
      </c>
      <c r="BB287">
        <v>0.77333333333333332</v>
      </c>
      <c r="BC287">
        <v>0.6</v>
      </c>
      <c r="BD287">
        <v>0.78736654804270456</v>
      </c>
      <c r="BE287">
        <v>4</v>
      </c>
      <c r="BF287">
        <v>0.66517497034400952</v>
      </c>
      <c r="BG287">
        <v>0.69</v>
      </c>
      <c r="BH287" t="s">
        <v>86</v>
      </c>
      <c r="BI287">
        <v>0.67</v>
      </c>
      <c r="BJ287" t="s">
        <v>86</v>
      </c>
      <c r="BK287" s="2">
        <f t="shared" si="9"/>
        <v>1.9999999999999907E-2</v>
      </c>
      <c r="BL287" t="b">
        <f t="shared" si="10"/>
        <v>1</v>
      </c>
    </row>
    <row r="288" spans="1:64" x14ac:dyDescent="0.35">
      <c r="A288" t="s">
        <v>808</v>
      </c>
      <c r="B288" t="s">
        <v>809</v>
      </c>
      <c r="C288">
        <v>2014</v>
      </c>
      <c r="D288" t="s">
        <v>810</v>
      </c>
      <c r="E288" t="s">
        <v>811</v>
      </c>
      <c r="F288" t="s">
        <v>66</v>
      </c>
      <c r="G288" t="s">
        <v>101</v>
      </c>
      <c r="H288" t="s">
        <v>129</v>
      </c>
      <c r="I288" t="s">
        <v>812</v>
      </c>
      <c r="J288" t="s">
        <v>70</v>
      </c>
      <c r="L288">
        <v>1</v>
      </c>
      <c r="M288" t="b">
        <v>0</v>
      </c>
      <c r="N288">
        <v>1</v>
      </c>
      <c r="O288">
        <v>2</v>
      </c>
      <c r="P288">
        <v>4</v>
      </c>
      <c r="Q288">
        <v>4</v>
      </c>
      <c r="R288">
        <v>0</v>
      </c>
      <c r="S288">
        <v>5</v>
      </c>
      <c r="T288">
        <v>19</v>
      </c>
      <c r="U288">
        <v>483</v>
      </c>
      <c r="V288">
        <v>80</v>
      </c>
      <c r="W288">
        <v>15</v>
      </c>
      <c r="X288">
        <v>5.333333333333333</v>
      </c>
      <c r="Y288">
        <v>1</v>
      </c>
      <c r="Z288">
        <v>69</v>
      </c>
      <c r="AA288">
        <v>0</v>
      </c>
      <c r="AB288">
        <v>0</v>
      </c>
      <c r="AC288">
        <v>2</v>
      </c>
      <c r="AD288">
        <v>2</v>
      </c>
      <c r="AE288">
        <v>38</v>
      </c>
      <c r="AF288">
        <v>0</v>
      </c>
      <c r="AG288">
        <v>0</v>
      </c>
      <c r="AH288">
        <v>1</v>
      </c>
      <c r="AI288">
        <v>19</v>
      </c>
      <c r="AJ288">
        <v>0</v>
      </c>
      <c r="AK288">
        <v>0</v>
      </c>
      <c r="AL288">
        <v>1</v>
      </c>
      <c r="AM288">
        <v>19</v>
      </c>
      <c r="AN288">
        <v>1</v>
      </c>
      <c r="AO288">
        <v>69</v>
      </c>
      <c r="AP288">
        <v>3</v>
      </c>
      <c r="AQ288">
        <v>107</v>
      </c>
      <c r="AR288">
        <v>0.14285714285714279</v>
      </c>
      <c r="AS288">
        <v>0</v>
      </c>
      <c r="AT288">
        <v>7.8674948240165632E-2</v>
      </c>
      <c r="AU288">
        <v>0</v>
      </c>
      <c r="AV288">
        <v>3.9337474120082823E-2</v>
      </c>
      <c r="AW288">
        <v>3.9337474120082823E-2</v>
      </c>
      <c r="AX288">
        <v>0.14285714285714279</v>
      </c>
      <c r="AY288">
        <v>0.22153209109730851</v>
      </c>
      <c r="AZ288">
        <v>0.10351966873706001</v>
      </c>
      <c r="BA288">
        <v>0.66666666666666663</v>
      </c>
      <c r="BB288">
        <v>0.72222222222222221</v>
      </c>
      <c r="BC288">
        <v>0.2</v>
      </c>
      <c r="BD288">
        <v>0.68969979296066253</v>
      </c>
      <c r="BE288">
        <v>4</v>
      </c>
      <c r="BF288">
        <v>0.56964717046238789</v>
      </c>
      <c r="BG288">
        <v>0.57999999999999996</v>
      </c>
      <c r="BH288" t="s">
        <v>71</v>
      </c>
      <c r="BI288">
        <v>0.56999999999999995</v>
      </c>
      <c r="BJ288" t="s">
        <v>71</v>
      </c>
      <c r="BK288" s="2">
        <f t="shared" si="9"/>
        <v>1.0000000000000009E-2</v>
      </c>
      <c r="BL288" t="b">
        <f t="shared" si="10"/>
        <v>1</v>
      </c>
    </row>
    <row r="289" spans="1:64" x14ac:dyDescent="0.35">
      <c r="A289" t="s">
        <v>813</v>
      </c>
      <c r="B289" t="s">
        <v>814</v>
      </c>
      <c r="C289">
        <v>2015</v>
      </c>
      <c r="D289" t="s">
        <v>815</v>
      </c>
      <c r="E289" t="s">
        <v>816</v>
      </c>
      <c r="F289" t="s">
        <v>66</v>
      </c>
      <c r="G289" t="s">
        <v>101</v>
      </c>
      <c r="H289" t="s">
        <v>102</v>
      </c>
      <c r="I289" t="s">
        <v>802</v>
      </c>
      <c r="J289" t="s">
        <v>70</v>
      </c>
      <c r="L289">
        <v>2</v>
      </c>
      <c r="M289" t="b">
        <v>0</v>
      </c>
      <c r="N289">
        <v>1</v>
      </c>
      <c r="O289">
        <v>2</v>
      </c>
      <c r="P289">
        <v>9</v>
      </c>
      <c r="Q289">
        <v>4</v>
      </c>
      <c r="R289">
        <v>5</v>
      </c>
      <c r="S289">
        <v>6</v>
      </c>
      <c r="T289">
        <v>26</v>
      </c>
      <c r="U289">
        <v>410</v>
      </c>
      <c r="V289">
        <v>112</v>
      </c>
      <c r="W289">
        <v>18</v>
      </c>
      <c r="X289">
        <v>6.2222222222222223</v>
      </c>
      <c r="Y289">
        <v>1</v>
      </c>
      <c r="Z289">
        <v>44</v>
      </c>
      <c r="AA289">
        <v>0</v>
      </c>
      <c r="AB289">
        <v>0</v>
      </c>
      <c r="AC289">
        <v>2</v>
      </c>
      <c r="AD289">
        <v>2</v>
      </c>
      <c r="AE289">
        <v>12</v>
      </c>
      <c r="AF289">
        <v>1</v>
      </c>
      <c r="AG289">
        <v>1</v>
      </c>
      <c r="AH289">
        <v>1</v>
      </c>
      <c r="AI289">
        <v>5</v>
      </c>
      <c r="AJ289">
        <v>1</v>
      </c>
      <c r="AK289">
        <v>11</v>
      </c>
      <c r="AL289">
        <v>2</v>
      </c>
      <c r="AM289">
        <v>16</v>
      </c>
      <c r="AN289">
        <v>2</v>
      </c>
      <c r="AO289">
        <v>45</v>
      </c>
      <c r="AP289">
        <v>3</v>
      </c>
      <c r="AQ289">
        <v>56</v>
      </c>
      <c r="AR289">
        <v>0.10731707317073171</v>
      </c>
      <c r="AS289">
        <v>0</v>
      </c>
      <c r="AT289">
        <v>2.9268292682926831E-2</v>
      </c>
      <c r="AU289">
        <v>2.439024390243902E-3</v>
      </c>
      <c r="AV289">
        <v>1.2195121951219509E-2</v>
      </c>
      <c r="AW289">
        <v>3.9024390243902439E-2</v>
      </c>
      <c r="AX289">
        <v>0.1097560975609756</v>
      </c>
      <c r="AY289">
        <v>0.13658536585365849</v>
      </c>
      <c r="AZ289">
        <v>7.0731707317073178E-2</v>
      </c>
      <c r="BA289">
        <v>0.83333333333333337</v>
      </c>
      <c r="BB289">
        <v>0.87037037037037035</v>
      </c>
      <c r="BC289">
        <v>0.2</v>
      </c>
      <c r="BD289">
        <v>0.66920731707317072</v>
      </c>
      <c r="BE289">
        <v>4</v>
      </c>
      <c r="BF289">
        <v>0.6432277551942186</v>
      </c>
      <c r="BG289">
        <v>0.65</v>
      </c>
      <c r="BH289" t="s">
        <v>86</v>
      </c>
      <c r="BI289">
        <v>0.64</v>
      </c>
      <c r="BJ289" t="s">
        <v>86</v>
      </c>
      <c r="BK289" s="2">
        <f t="shared" si="9"/>
        <v>1.0000000000000009E-2</v>
      </c>
      <c r="BL289" t="b">
        <f t="shared" si="10"/>
        <v>1</v>
      </c>
    </row>
    <row r="290" spans="1:64" x14ac:dyDescent="0.35">
      <c r="A290" t="s">
        <v>817</v>
      </c>
      <c r="B290" t="s">
        <v>818</v>
      </c>
      <c r="C290">
        <v>2015</v>
      </c>
      <c r="D290" t="s">
        <v>819</v>
      </c>
      <c r="E290" t="s">
        <v>820</v>
      </c>
      <c r="F290" t="s">
        <v>66</v>
      </c>
      <c r="G290" t="s">
        <v>101</v>
      </c>
      <c r="H290" t="s">
        <v>184</v>
      </c>
      <c r="I290" t="s">
        <v>710</v>
      </c>
      <c r="J290" t="s">
        <v>70</v>
      </c>
      <c r="L290">
        <v>1</v>
      </c>
      <c r="M290" t="b">
        <v>0</v>
      </c>
      <c r="N290">
        <v>1</v>
      </c>
      <c r="O290">
        <v>3</v>
      </c>
      <c r="P290">
        <v>6</v>
      </c>
      <c r="Q290">
        <v>4</v>
      </c>
      <c r="R290">
        <v>2</v>
      </c>
      <c r="S290">
        <v>5</v>
      </c>
      <c r="T290">
        <v>21</v>
      </c>
      <c r="U290">
        <v>381</v>
      </c>
      <c r="V290">
        <v>103</v>
      </c>
      <c r="W290">
        <v>17</v>
      </c>
      <c r="X290">
        <v>6.0588235294117636</v>
      </c>
      <c r="Y290">
        <v>3</v>
      </c>
      <c r="Z290">
        <v>44</v>
      </c>
      <c r="AA290">
        <v>0</v>
      </c>
      <c r="AB290">
        <v>0</v>
      </c>
      <c r="AC290">
        <v>3</v>
      </c>
      <c r="AD290">
        <v>3</v>
      </c>
      <c r="AE290">
        <v>79</v>
      </c>
      <c r="AF290">
        <v>1</v>
      </c>
      <c r="AG290">
        <v>9</v>
      </c>
      <c r="AH290">
        <v>0</v>
      </c>
      <c r="AI290">
        <v>0</v>
      </c>
      <c r="AJ290">
        <v>1</v>
      </c>
      <c r="AK290">
        <v>7</v>
      </c>
      <c r="AL290">
        <v>1</v>
      </c>
      <c r="AM290">
        <v>7</v>
      </c>
      <c r="AN290">
        <v>4</v>
      </c>
      <c r="AO290">
        <v>53</v>
      </c>
      <c r="AP290">
        <v>6</v>
      </c>
      <c r="AQ290">
        <v>123</v>
      </c>
      <c r="AR290">
        <v>0.1154855643044619</v>
      </c>
      <c r="AS290">
        <v>0</v>
      </c>
      <c r="AT290">
        <v>0.20734908136482941</v>
      </c>
      <c r="AU290">
        <v>2.3622047244094491E-2</v>
      </c>
      <c r="AV290">
        <v>0</v>
      </c>
      <c r="AW290">
        <v>1.8372703412073491E-2</v>
      </c>
      <c r="AX290">
        <v>0.13910761154855639</v>
      </c>
      <c r="AY290">
        <v>0.32283464566929132</v>
      </c>
      <c r="AZ290">
        <v>0.12073490813648299</v>
      </c>
      <c r="BA290">
        <v>0.66666666666666663</v>
      </c>
      <c r="BB290">
        <v>0.84313725490196056</v>
      </c>
      <c r="BC290">
        <v>0.4</v>
      </c>
      <c r="BD290">
        <v>0.70045931758530189</v>
      </c>
      <c r="BE290">
        <v>4</v>
      </c>
      <c r="BF290">
        <v>0.65256580978848233</v>
      </c>
      <c r="BG290">
        <v>0.65</v>
      </c>
      <c r="BH290" t="s">
        <v>86</v>
      </c>
      <c r="BI290">
        <v>0.65</v>
      </c>
      <c r="BJ290" t="s">
        <v>86</v>
      </c>
      <c r="BK290" s="2">
        <f t="shared" si="9"/>
        <v>0</v>
      </c>
      <c r="BL290" t="b">
        <f t="shared" si="10"/>
        <v>1</v>
      </c>
    </row>
    <row r="291" spans="1:64" x14ac:dyDescent="0.35">
      <c r="A291" t="s">
        <v>821</v>
      </c>
      <c r="B291" t="s">
        <v>818</v>
      </c>
      <c r="C291">
        <v>2020</v>
      </c>
      <c r="D291" t="s">
        <v>819</v>
      </c>
      <c r="E291" t="s">
        <v>820</v>
      </c>
      <c r="F291" t="s">
        <v>66</v>
      </c>
      <c r="G291" t="s">
        <v>101</v>
      </c>
      <c r="H291" t="s">
        <v>184</v>
      </c>
      <c r="I291" t="s">
        <v>710</v>
      </c>
      <c r="J291" t="s">
        <v>70</v>
      </c>
      <c r="L291">
        <v>1</v>
      </c>
      <c r="M291" t="b">
        <v>0</v>
      </c>
      <c r="N291">
        <v>1</v>
      </c>
      <c r="O291">
        <v>3</v>
      </c>
      <c r="P291">
        <v>10</v>
      </c>
      <c r="Q291">
        <v>5</v>
      </c>
      <c r="R291">
        <v>5</v>
      </c>
      <c r="S291">
        <v>6</v>
      </c>
      <c r="T291">
        <v>48</v>
      </c>
      <c r="U291">
        <v>1111</v>
      </c>
      <c r="V291">
        <v>178</v>
      </c>
      <c r="W291">
        <v>30</v>
      </c>
      <c r="X291">
        <v>5.9333333333333336</v>
      </c>
      <c r="Y291">
        <v>3</v>
      </c>
      <c r="Z291">
        <v>110</v>
      </c>
      <c r="AA291">
        <v>1</v>
      </c>
      <c r="AB291">
        <v>37</v>
      </c>
      <c r="AC291">
        <v>7</v>
      </c>
      <c r="AD291">
        <v>6</v>
      </c>
      <c r="AE291">
        <v>184</v>
      </c>
      <c r="AF291">
        <v>2</v>
      </c>
      <c r="AG291">
        <v>59</v>
      </c>
      <c r="AH291">
        <v>0</v>
      </c>
      <c r="AI291">
        <v>0</v>
      </c>
      <c r="AJ291">
        <v>2</v>
      </c>
      <c r="AK291">
        <v>17</v>
      </c>
      <c r="AL291">
        <v>3</v>
      </c>
      <c r="AM291">
        <v>137</v>
      </c>
      <c r="AN291">
        <v>6</v>
      </c>
      <c r="AO291">
        <v>206</v>
      </c>
      <c r="AP291">
        <v>10</v>
      </c>
      <c r="AQ291">
        <v>331</v>
      </c>
      <c r="AR291">
        <v>9.9009900990099015E-2</v>
      </c>
      <c r="AS291">
        <v>3.3303330333033301E-2</v>
      </c>
      <c r="AT291">
        <v>0.16561656165616559</v>
      </c>
      <c r="AU291">
        <v>5.3105310531053107E-2</v>
      </c>
      <c r="AV291">
        <v>0</v>
      </c>
      <c r="AW291">
        <v>0.1233123312331233</v>
      </c>
      <c r="AX291">
        <v>0.18541854185418541</v>
      </c>
      <c r="AY291">
        <v>0.29792979297929789</v>
      </c>
      <c r="AZ291">
        <v>6.21062106210621E-2</v>
      </c>
      <c r="BA291">
        <v>0.83333333333333337</v>
      </c>
      <c r="BB291">
        <v>0.8222222222222223</v>
      </c>
      <c r="BC291">
        <v>0.66666666666666663</v>
      </c>
      <c r="BD291">
        <v>0.66381638163816381</v>
      </c>
      <c r="BE291">
        <v>4</v>
      </c>
      <c r="BF291">
        <v>0.74650965096509658</v>
      </c>
      <c r="BG291">
        <v>0.79</v>
      </c>
      <c r="BH291" t="s">
        <v>86</v>
      </c>
      <c r="BI291">
        <v>0.75</v>
      </c>
      <c r="BJ291" t="s">
        <v>86</v>
      </c>
      <c r="BK291" s="2">
        <f t="shared" si="9"/>
        <v>4.0000000000000036E-2</v>
      </c>
      <c r="BL291" t="b">
        <f t="shared" si="10"/>
        <v>1</v>
      </c>
    </row>
    <row r="292" spans="1:64" x14ac:dyDescent="0.35">
      <c r="A292" t="s">
        <v>822</v>
      </c>
      <c r="B292" t="s">
        <v>823</v>
      </c>
      <c r="C292">
        <v>2014</v>
      </c>
      <c r="D292" t="s">
        <v>824</v>
      </c>
      <c r="E292" t="s">
        <v>825</v>
      </c>
      <c r="F292" t="s">
        <v>66</v>
      </c>
      <c r="G292" t="s">
        <v>101</v>
      </c>
      <c r="H292" t="s">
        <v>102</v>
      </c>
      <c r="I292" t="s">
        <v>826</v>
      </c>
      <c r="J292" t="s">
        <v>70</v>
      </c>
      <c r="L292">
        <v>1</v>
      </c>
      <c r="M292" t="b">
        <v>0</v>
      </c>
      <c r="N292">
        <v>1</v>
      </c>
      <c r="O292">
        <v>2</v>
      </c>
      <c r="P292">
        <v>12</v>
      </c>
      <c r="Q292">
        <v>6</v>
      </c>
      <c r="R292">
        <v>6</v>
      </c>
      <c r="S292">
        <v>6</v>
      </c>
      <c r="T292">
        <v>35</v>
      </c>
      <c r="U292">
        <v>1956</v>
      </c>
      <c r="V292">
        <v>167</v>
      </c>
      <c r="W292">
        <v>30</v>
      </c>
      <c r="X292">
        <v>5.5666666666666664</v>
      </c>
      <c r="Y292">
        <v>3</v>
      </c>
      <c r="Z292">
        <v>522</v>
      </c>
      <c r="AA292">
        <v>0</v>
      </c>
      <c r="AB292">
        <v>0</v>
      </c>
      <c r="AC292">
        <v>1</v>
      </c>
      <c r="AD292">
        <v>1</v>
      </c>
      <c r="AE292">
        <v>10</v>
      </c>
      <c r="AF292">
        <v>1</v>
      </c>
      <c r="AG292">
        <v>22</v>
      </c>
      <c r="AH292">
        <v>1</v>
      </c>
      <c r="AI292">
        <v>19</v>
      </c>
      <c r="AJ292">
        <v>4</v>
      </c>
      <c r="AK292">
        <v>53</v>
      </c>
      <c r="AL292">
        <v>5</v>
      </c>
      <c r="AM292">
        <v>72</v>
      </c>
      <c r="AN292">
        <v>4</v>
      </c>
      <c r="AO292">
        <v>544</v>
      </c>
      <c r="AP292">
        <v>4</v>
      </c>
      <c r="AQ292">
        <v>532</v>
      </c>
      <c r="AR292">
        <v>0.26687116564417179</v>
      </c>
      <c r="AS292">
        <v>0</v>
      </c>
      <c r="AT292">
        <v>5.1124744376278121E-3</v>
      </c>
      <c r="AU292">
        <v>1.124744376278119E-2</v>
      </c>
      <c r="AV292">
        <v>9.7137014314928431E-3</v>
      </c>
      <c r="AW292">
        <v>3.6809815950920248E-2</v>
      </c>
      <c r="AX292">
        <v>0.27811860940695299</v>
      </c>
      <c r="AY292">
        <v>0.27198364008179959</v>
      </c>
      <c r="AZ292">
        <v>0.24130879345603271</v>
      </c>
      <c r="BA292">
        <v>0.83333333333333337</v>
      </c>
      <c r="BB292">
        <v>0.76111111111111107</v>
      </c>
      <c r="BC292">
        <v>0.26666666666666672</v>
      </c>
      <c r="BD292">
        <v>0.77581799591002043</v>
      </c>
      <c r="BE292">
        <v>4</v>
      </c>
      <c r="BF292">
        <v>0.65923227675528284</v>
      </c>
      <c r="BG292">
        <v>0.68</v>
      </c>
      <c r="BH292" t="s">
        <v>86</v>
      </c>
      <c r="BI292">
        <v>0.66</v>
      </c>
      <c r="BJ292" t="s">
        <v>86</v>
      </c>
      <c r="BK292" s="2">
        <f t="shared" si="9"/>
        <v>2.0000000000000018E-2</v>
      </c>
      <c r="BL292" t="b">
        <f t="shared" si="10"/>
        <v>1</v>
      </c>
    </row>
    <row r="293" spans="1:64" x14ac:dyDescent="0.35">
      <c r="A293" t="s">
        <v>827</v>
      </c>
      <c r="B293" t="s">
        <v>828</v>
      </c>
      <c r="C293">
        <v>2015</v>
      </c>
      <c r="D293" t="s">
        <v>829</v>
      </c>
      <c r="E293" t="s">
        <v>830</v>
      </c>
      <c r="F293" t="s">
        <v>66</v>
      </c>
      <c r="G293" t="s">
        <v>101</v>
      </c>
      <c r="H293" t="s">
        <v>102</v>
      </c>
      <c r="I293" t="s">
        <v>116</v>
      </c>
      <c r="J293" t="s">
        <v>70</v>
      </c>
      <c r="L293">
        <v>2</v>
      </c>
      <c r="M293" t="b">
        <v>0</v>
      </c>
      <c r="N293">
        <v>1</v>
      </c>
      <c r="O293">
        <v>1</v>
      </c>
      <c r="P293">
        <v>12</v>
      </c>
      <c r="Q293">
        <v>4</v>
      </c>
      <c r="R293">
        <v>8</v>
      </c>
      <c r="S293">
        <v>5</v>
      </c>
      <c r="T293">
        <v>38</v>
      </c>
      <c r="U293">
        <v>352</v>
      </c>
      <c r="V293">
        <v>179</v>
      </c>
      <c r="W293">
        <v>31</v>
      </c>
      <c r="X293">
        <v>5.774193548387097</v>
      </c>
      <c r="Y293">
        <v>4</v>
      </c>
      <c r="Z293">
        <v>45</v>
      </c>
      <c r="AA293">
        <v>0</v>
      </c>
      <c r="AB293">
        <v>0</v>
      </c>
      <c r="AC293">
        <v>3</v>
      </c>
      <c r="AD293">
        <v>3</v>
      </c>
      <c r="AE293">
        <v>23</v>
      </c>
      <c r="AF293">
        <v>4</v>
      </c>
      <c r="AG293">
        <v>10</v>
      </c>
      <c r="AH293">
        <v>2</v>
      </c>
      <c r="AI293">
        <v>5</v>
      </c>
      <c r="AJ293">
        <v>1</v>
      </c>
      <c r="AK293">
        <v>4</v>
      </c>
      <c r="AL293">
        <v>3</v>
      </c>
      <c r="AM293">
        <v>9</v>
      </c>
      <c r="AN293">
        <v>8</v>
      </c>
      <c r="AO293">
        <v>55</v>
      </c>
      <c r="AP293">
        <v>7</v>
      </c>
      <c r="AQ293">
        <v>68</v>
      </c>
      <c r="AR293">
        <v>0.12784090909090909</v>
      </c>
      <c r="AS293">
        <v>0</v>
      </c>
      <c r="AT293">
        <v>6.5340909090909088E-2</v>
      </c>
      <c r="AU293">
        <v>2.8409090909090912E-2</v>
      </c>
      <c r="AV293">
        <v>1.4204545454545451E-2</v>
      </c>
      <c r="AW293">
        <v>2.556818181818182E-2</v>
      </c>
      <c r="AX293">
        <v>0.15625</v>
      </c>
      <c r="AY293">
        <v>0.1931818181818182</v>
      </c>
      <c r="AZ293">
        <v>0.1306818181818182</v>
      </c>
      <c r="BA293">
        <v>0.66666666666666663</v>
      </c>
      <c r="BB293">
        <v>0.79569892473118287</v>
      </c>
      <c r="BC293">
        <v>0.46666666666666667</v>
      </c>
      <c r="BD293">
        <v>0.70667613636363624</v>
      </c>
      <c r="BE293">
        <v>4</v>
      </c>
      <c r="BF293">
        <v>0.65892709860703813</v>
      </c>
      <c r="BG293">
        <v>0.66</v>
      </c>
      <c r="BH293" t="s">
        <v>86</v>
      </c>
      <c r="BI293">
        <v>0.66</v>
      </c>
      <c r="BJ293" t="s">
        <v>86</v>
      </c>
      <c r="BK293" s="2">
        <f t="shared" si="9"/>
        <v>0</v>
      </c>
      <c r="BL293" t="b">
        <f t="shared" si="10"/>
        <v>1</v>
      </c>
    </row>
    <row r="294" spans="1:64" x14ac:dyDescent="0.35">
      <c r="A294" t="s">
        <v>831</v>
      </c>
      <c r="B294" t="s">
        <v>828</v>
      </c>
      <c r="C294">
        <v>2018</v>
      </c>
      <c r="D294" t="s">
        <v>829</v>
      </c>
      <c r="E294" t="s">
        <v>830</v>
      </c>
      <c r="F294" t="s">
        <v>66</v>
      </c>
      <c r="G294" t="s">
        <v>101</v>
      </c>
      <c r="H294" t="s">
        <v>102</v>
      </c>
      <c r="I294" t="s">
        <v>116</v>
      </c>
      <c r="J294" t="s">
        <v>70</v>
      </c>
      <c r="L294">
        <v>2</v>
      </c>
      <c r="M294" t="b">
        <v>0</v>
      </c>
      <c r="N294">
        <v>1</v>
      </c>
      <c r="O294">
        <v>3</v>
      </c>
      <c r="P294">
        <v>6</v>
      </c>
      <c r="Q294">
        <v>5</v>
      </c>
      <c r="R294">
        <v>1</v>
      </c>
      <c r="S294">
        <v>5</v>
      </c>
      <c r="T294">
        <v>32</v>
      </c>
      <c r="U294">
        <v>342</v>
      </c>
      <c r="V294">
        <v>137</v>
      </c>
      <c r="W294">
        <v>26</v>
      </c>
      <c r="X294">
        <v>5.2692307692307692</v>
      </c>
      <c r="Y294">
        <v>2</v>
      </c>
      <c r="Z294">
        <v>54</v>
      </c>
      <c r="AA294">
        <v>1</v>
      </c>
      <c r="AB294">
        <v>6</v>
      </c>
      <c r="AC294">
        <v>1</v>
      </c>
      <c r="AD294">
        <v>1</v>
      </c>
      <c r="AE294">
        <v>65</v>
      </c>
      <c r="AF294">
        <v>5</v>
      </c>
      <c r="AG294">
        <v>10</v>
      </c>
      <c r="AH294">
        <v>1</v>
      </c>
      <c r="AI294">
        <v>9</v>
      </c>
      <c r="AJ294">
        <v>3</v>
      </c>
      <c r="AK294">
        <v>19</v>
      </c>
      <c r="AL294">
        <v>4</v>
      </c>
      <c r="AM294">
        <v>28</v>
      </c>
      <c r="AN294">
        <v>8</v>
      </c>
      <c r="AO294">
        <v>70</v>
      </c>
      <c r="AP294">
        <v>4</v>
      </c>
      <c r="AQ294">
        <v>125</v>
      </c>
      <c r="AR294">
        <v>0.15789473684210531</v>
      </c>
      <c r="AS294">
        <v>1.754385964912281E-2</v>
      </c>
      <c r="AT294">
        <v>0.1900584795321637</v>
      </c>
      <c r="AU294">
        <v>2.923976608187134E-2</v>
      </c>
      <c r="AV294">
        <v>2.6315789473684209E-2</v>
      </c>
      <c r="AW294">
        <v>8.1871345029239762E-2</v>
      </c>
      <c r="AX294">
        <v>0.2046783625730994</v>
      </c>
      <c r="AY294">
        <v>0.36549707602339182</v>
      </c>
      <c r="AZ294">
        <v>0.1228070175438596</v>
      </c>
      <c r="BA294">
        <v>0.66666666666666663</v>
      </c>
      <c r="BB294">
        <v>0.71153846153846156</v>
      </c>
      <c r="BC294">
        <v>0.26666666666666672</v>
      </c>
      <c r="BD294">
        <v>0.70175438596491224</v>
      </c>
      <c r="BE294">
        <v>4</v>
      </c>
      <c r="BF294">
        <v>0.58665654520917676</v>
      </c>
      <c r="BG294">
        <v>0.59</v>
      </c>
      <c r="BH294" t="s">
        <v>71</v>
      </c>
      <c r="BI294">
        <v>0.59</v>
      </c>
      <c r="BJ294" t="s">
        <v>71</v>
      </c>
      <c r="BK294" s="2">
        <f t="shared" si="9"/>
        <v>0</v>
      </c>
      <c r="BL294" t="b">
        <f t="shared" si="10"/>
        <v>1</v>
      </c>
    </row>
    <row r="295" spans="1:64" x14ac:dyDescent="0.35">
      <c r="A295" t="s">
        <v>832</v>
      </c>
      <c r="B295" t="s">
        <v>828</v>
      </c>
      <c r="C295">
        <v>2021</v>
      </c>
      <c r="D295" t="s">
        <v>829</v>
      </c>
      <c r="E295" t="s">
        <v>830</v>
      </c>
      <c r="F295" t="s">
        <v>66</v>
      </c>
      <c r="G295" t="s">
        <v>101</v>
      </c>
      <c r="H295" t="s">
        <v>102</v>
      </c>
      <c r="I295" t="s">
        <v>116</v>
      </c>
      <c r="J295" t="s">
        <v>70</v>
      </c>
      <c r="L295">
        <v>2</v>
      </c>
      <c r="M295" t="b">
        <v>0</v>
      </c>
      <c r="N295">
        <v>1</v>
      </c>
      <c r="O295">
        <v>1</v>
      </c>
      <c r="P295">
        <v>8</v>
      </c>
      <c r="Q295">
        <v>2</v>
      </c>
      <c r="R295">
        <v>6</v>
      </c>
      <c r="S295">
        <v>5</v>
      </c>
      <c r="T295">
        <v>25</v>
      </c>
      <c r="U295">
        <v>203</v>
      </c>
      <c r="V295">
        <v>138</v>
      </c>
      <c r="W295">
        <v>23</v>
      </c>
      <c r="X295">
        <v>6</v>
      </c>
      <c r="Y295">
        <v>7</v>
      </c>
      <c r="Z295">
        <v>65</v>
      </c>
      <c r="AA295">
        <v>1</v>
      </c>
      <c r="AB295">
        <v>9</v>
      </c>
      <c r="AC295">
        <v>2</v>
      </c>
      <c r="AD295">
        <v>2</v>
      </c>
      <c r="AE295">
        <v>9</v>
      </c>
      <c r="AF295">
        <v>1</v>
      </c>
      <c r="AG295">
        <v>8</v>
      </c>
      <c r="AH295">
        <v>1</v>
      </c>
      <c r="AI295">
        <v>1</v>
      </c>
      <c r="AJ295">
        <v>1</v>
      </c>
      <c r="AK295">
        <v>4</v>
      </c>
      <c r="AL295">
        <v>2</v>
      </c>
      <c r="AM295">
        <v>5</v>
      </c>
      <c r="AN295">
        <v>9</v>
      </c>
      <c r="AO295">
        <v>82</v>
      </c>
      <c r="AP295">
        <v>10</v>
      </c>
      <c r="AQ295">
        <v>83</v>
      </c>
      <c r="AR295">
        <v>0.32019704433497542</v>
      </c>
      <c r="AS295">
        <v>4.4334975369458129E-2</v>
      </c>
      <c r="AT295">
        <v>4.4334975369458129E-2</v>
      </c>
      <c r="AU295">
        <v>3.9408866995073892E-2</v>
      </c>
      <c r="AV295">
        <v>4.9261083743842374E-3</v>
      </c>
      <c r="AW295">
        <v>2.463054187192118E-2</v>
      </c>
      <c r="AX295">
        <v>0.4039408866995074</v>
      </c>
      <c r="AY295">
        <v>0.40886699507389163</v>
      </c>
      <c r="AZ295">
        <v>0.37931034482758619</v>
      </c>
      <c r="BA295">
        <v>0.66666666666666663</v>
      </c>
      <c r="BB295">
        <v>0.83333333333333337</v>
      </c>
      <c r="BC295">
        <v>0.66666666666666663</v>
      </c>
      <c r="BD295">
        <v>0.86206896551724144</v>
      </c>
      <c r="BE295">
        <v>4</v>
      </c>
      <c r="BF295">
        <v>0.75718390804597702</v>
      </c>
      <c r="BG295">
        <v>0.75</v>
      </c>
      <c r="BH295" t="s">
        <v>86</v>
      </c>
      <c r="BI295">
        <v>0.76</v>
      </c>
      <c r="BJ295" t="s">
        <v>86</v>
      </c>
      <c r="BK295" s="2">
        <f t="shared" si="9"/>
        <v>-1.0000000000000009E-2</v>
      </c>
      <c r="BL295" t="b">
        <f t="shared" si="10"/>
        <v>1</v>
      </c>
    </row>
    <row r="296" spans="1:64" x14ac:dyDescent="0.35">
      <c r="A296" t="s">
        <v>833</v>
      </c>
      <c r="B296" t="s">
        <v>834</v>
      </c>
      <c r="C296">
        <v>2015</v>
      </c>
      <c r="D296" t="s">
        <v>835</v>
      </c>
      <c r="E296" t="s">
        <v>836</v>
      </c>
      <c r="F296" t="s">
        <v>66</v>
      </c>
      <c r="G296" t="s">
        <v>101</v>
      </c>
      <c r="H296" t="s">
        <v>365</v>
      </c>
      <c r="I296" t="s">
        <v>837</v>
      </c>
      <c r="J296" t="s">
        <v>70</v>
      </c>
      <c r="L296">
        <v>1</v>
      </c>
      <c r="M296" t="b">
        <v>0</v>
      </c>
      <c r="N296">
        <v>3</v>
      </c>
      <c r="O296">
        <v>1</v>
      </c>
      <c r="P296">
        <v>4</v>
      </c>
      <c r="Q296">
        <v>6</v>
      </c>
      <c r="R296">
        <v>-2</v>
      </c>
      <c r="S296">
        <v>3</v>
      </c>
      <c r="T296">
        <v>26</v>
      </c>
      <c r="U296">
        <v>365</v>
      </c>
      <c r="V296">
        <v>93</v>
      </c>
      <c r="W296">
        <v>20</v>
      </c>
      <c r="X296">
        <v>4.6500000000000004</v>
      </c>
      <c r="Y296">
        <v>2</v>
      </c>
      <c r="Z296">
        <v>16</v>
      </c>
      <c r="AA296">
        <v>0</v>
      </c>
      <c r="AB296">
        <v>0</v>
      </c>
      <c r="AC296">
        <v>7</v>
      </c>
      <c r="AD296">
        <v>7</v>
      </c>
      <c r="AE296">
        <v>68</v>
      </c>
      <c r="AF296">
        <v>0</v>
      </c>
      <c r="AG296">
        <v>0</v>
      </c>
      <c r="AH296">
        <v>1</v>
      </c>
      <c r="AI296">
        <v>49</v>
      </c>
      <c r="AJ296">
        <v>2</v>
      </c>
      <c r="AK296">
        <v>2</v>
      </c>
      <c r="AL296">
        <v>3</v>
      </c>
      <c r="AM296">
        <v>51</v>
      </c>
      <c r="AN296">
        <v>2</v>
      </c>
      <c r="AO296">
        <v>16</v>
      </c>
      <c r="AP296">
        <v>9</v>
      </c>
      <c r="AQ296">
        <v>84</v>
      </c>
      <c r="AR296">
        <v>4.3835616438356158E-2</v>
      </c>
      <c r="AS296">
        <v>0</v>
      </c>
      <c r="AT296">
        <v>0.18630136986301371</v>
      </c>
      <c r="AU296">
        <v>0</v>
      </c>
      <c r="AV296">
        <v>0.13424657534246581</v>
      </c>
      <c r="AW296">
        <v>0.13972602739726031</v>
      </c>
      <c r="AX296">
        <v>4.3835616438356158E-2</v>
      </c>
      <c r="AY296">
        <v>0.23013698630136989</v>
      </c>
      <c r="AZ296">
        <v>-9.5890410958904118E-2</v>
      </c>
      <c r="BA296">
        <v>0.33333333333333331</v>
      </c>
      <c r="BB296">
        <v>0.60833333333333339</v>
      </c>
      <c r="BC296">
        <v>0.6</v>
      </c>
      <c r="BD296">
        <v>0.56506849315068486</v>
      </c>
      <c r="BE296">
        <v>4</v>
      </c>
      <c r="BF296">
        <v>0.52668378995433784</v>
      </c>
      <c r="BG296">
        <v>0.55000000000000004</v>
      </c>
      <c r="BH296" t="s">
        <v>71</v>
      </c>
      <c r="BI296">
        <v>0.53</v>
      </c>
      <c r="BJ296" t="s">
        <v>71</v>
      </c>
      <c r="BK296" s="2">
        <f t="shared" si="9"/>
        <v>2.0000000000000018E-2</v>
      </c>
      <c r="BL296" t="b">
        <f t="shared" si="10"/>
        <v>1</v>
      </c>
    </row>
    <row r="297" spans="1:64" x14ac:dyDescent="0.35">
      <c r="A297" t="s">
        <v>838</v>
      </c>
      <c r="B297" t="s">
        <v>834</v>
      </c>
      <c r="C297">
        <v>2021</v>
      </c>
      <c r="D297" t="s">
        <v>835</v>
      </c>
      <c r="E297" t="s">
        <v>836</v>
      </c>
      <c r="F297" t="s">
        <v>66</v>
      </c>
      <c r="G297" t="s">
        <v>101</v>
      </c>
      <c r="H297" t="s">
        <v>365</v>
      </c>
      <c r="I297" t="s">
        <v>837</v>
      </c>
      <c r="J297" t="s">
        <v>70</v>
      </c>
      <c r="L297">
        <v>1</v>
      </c>
      <c r="M297" t="b">
        <v>0</v>
      </c>
      <c r="N297">
        <v>1</v>
      </c>
      <c r="O297">
        <v>2</v>
      </c>
      <c r="P297">
        <v>13</v>
      </c>
      <c r="Q297">
        <v>1</v>
      </c>
      <c r="R297">
        <v>12</v>
      </c>
      <c r="S297">
        <v>7</v>
      </c>
      <c r="T297">
        <v>31</v>
      </c>
      <c r="U297">
        <v>380</v>
      </c>
      <c r="V297">
        <v>163</v>
      </c>
      <c r="W297">
        <v>26</v>
      </c>
      <c r="X297">
        <v>6.2692307692307692</v>
      </c>
      <c r="Y297">
        <v>4</v>
      </c>
      <c r="Z297">
        <v>133</v>
      </c>
      <c r="AA297">
        <v>3</v>
      </c>
      <c r="AB297">
        <v>64</v>
      </c>
      <c r="AC297">
        <v>6</v>
      </c>
      <c r="AD297">
        <v>6</v>
      </c>
      <c r="AE297">
        <v>71</v>
      </c>
      <c r="AF297">
        <v>2</v>
      </c>
      <c r="AG297">
        <v>7</v>
      </c>
      <c r="AH297">
        <v>0</v>
      </c>
      <c r="AI297">
        <v>0</v>
      </c>
      <c r="AJ297">
        <v>1</v>
      </c>
      <c r="AK297">
        <v>3</v>
      </c>
      <c r="AL297">
        <v>1</v>
      </c>
      <c r="AM297">
        <v>3</v>
      </c>
      <c r="AN297">
        <v>9</v>
      </c>
      <c r="AO297">
        <v>204</v>
      </c>
      <c r="AP297">
        <v>13</v>
      </c>
      <c r="AQ297">
        <v>268</v>
      </c>
      <c r="AR297">
        <v>0.35</v>
      </c>
      <c r="AS297">
        <v>0.16842105263157889</v>
      </c>
      <c r="AT297">
        <v>0.18684210526315789</v>
      </c>
      <c r="AU297">
        <v>1.8421052631578949E-2</v>
      </c>
      <c r="AV297">
        <v>0</v>
      </c>
      <c r="AW297">
        <v>7.8947368421052634E-3</v>
      </c>
      <c r="AX297">
        <v>0.5368421052631579</v>
      </c>
      <c r="AY297">
        <v>0.70526315789473681</v>
      </c>
      <c r="AZ297">
        <v>0.52894736842105261</v>
      </c>
      <c r="BA297">
        <v>1</v>
      </c>
      <c r="BB297">
        <v>0.87820512820512819</v>
      </c>
      <c r="BC297">
        <v>0.8666666666666667</v>
      </c>
      <c r="BD297">
        <v>0.95559210526315785</v>
      </c>
      <c r="BE297">
        <v>4</v>
      </c>
      <c r="BF297">
        <v>0.92511597503373821</v>
      </c>
      <c r="BG297">
        <v>0.88</v>
      </c>
      <c r="BH297" t="s">
        <v>164</v>
      </c>
      <c r="BI297">
        <v>0.93</v>
      </c>
      <c r="BJ297" t="s">
        <v>164</v>
      </c>
      <c r="BK297" s="2">
        <f t="shared" si="9"/>
        <v>-5.0000000000000044E-2</v>
      </c>
      <c r="BL297" t="b">
        <f t="shared" si="10"/>
        <v>1</v>
      </c>
    </row>
    <row r="298" spans="1:64" x14ac:dyDescent="0.35">
      <c r="A298" t="s">
        <v>839</v>
      </c>
      <c r="B298" t="s">
        <v>840</v>
      </c>
      <c r="C298">
        <v>2014</v>
      </c>
      <c r="D298" t="s">
        <v>841</v>
      </c>
      <c r="E298" t="s">
        <v>842</v>
      </c>
      <c r="F298" t="s">
        <v>66</v>
      </c>
      <c r="G298" t="s">
        <v>144</v>
      </c>
      <c r="H298" t="s">
        <v>144</v>
      </c>
      <c r="I298" t="s">
        <v>144</v>
      </c>
      <c r="J298" t="s">
        <v>70</v>
      </c>
      <c r="L298">
        <v>4</v>
      </c>
      <c r="M298" t="b">
        <v>0</v>
      </c>
      <c r="N298">
        <v>1</v>
      </c>
      <c r="O298">
        <v>1</v>
      </c>
      <c r="P298">
        <v>1</v>
      </c>
      <c r="Q298">
        <v>0</v>
      </c>
      <c r="R298">
        <v>1</v>
      </c>
      <c r="S298">
        <v>4</v>
      </c>
      <c r="T298">
        <v>8</v>
      </c>
      <c r="U298">
        <v>102</v>
      </c>
      <c r="V298">
        <v>40</v>
      </c>
      <c r="W298">
        <v>7</v>
      </c>
      <c r="X298">
        <v>5.7142857142857144</v>
      </c>
      <c r="Y298">
        <v>1</v>
      </c>
      <c r="Z298">
        <v>15</v>
      </c>
      <c r="AA298">
        <v>0</v>
      </c>
      <c r="AB298">
        <v>0</v>
      </c>
      <c r="AC298">
        <v>2</v>
      </c>
      <c r="AD298">
        <v>2</v>
      </c>
      <c r="AE298">
        <v>44</v>
      </c>
      <c r="AF298">
        <v>1</v>
      </c>
      <c r="AG298">
        <v>8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</v>
      </c>
      <c r="AO298">
        <v>23</v>
      </c>
      <c r="AP298">
        <v>3</v>
      </c>
      <c r="AQ298">
        <v>59</v>
      </c>
      <c r="AR298">
        <v>0.1470588235294118</v>
      </c>
      <c r="AS298">
        <v>0</v>
      </c>
      <c r="AT298">
        <v>0.43137254901960792</v>
      </c>
      <c r="AU298">
        <v>7.8431372549019607E-2</v>
      </c>
      <c r="AV298">
        <v>0</v>
      </c>
      <c r="AW298">
        <v>0</v>
      </c>
      <c r="AX298">
        <v>0.2254901960784314</v>
      </c>
      <c r="AY298">
        <v>0.57843137254901966</v>
      </c>
      <c r="AZ298">
        <v>0.2254901960784314</v>
      </c>
      <c r="BA298">
        <v>0.5</v>
      </c>
      <c r="BB298">
        <v>0.7857142857142857</v>
      </c>
      <c r="BC298">
        <v>0.2</v>
      </c>
      <c r="BD298">
        <v>0.76593137254901966</v>
      </c>
      <c r="BE298">
        <v>4</v>
      </c>
      <c r="BF298">
        <v>0.56291141456582638</v>
      </c>
      <c r="BG298">
        <v>0.56000000000000005</v>
      </c>
      <c r="BH298" t="s">
        <v>71</v>
      </c>
      <c r="BI298">
        <v>0.56000000000000005</v>
      </c>
      <c r="BJ298" t="s">
        <v>71</v>
      </c>
      <c r="BK298" s="2">
        <f t="shared" si="9"/>
        <v>0</v>
      </c>
      <c r="BL298" t="b">
        <f t="shared" si="10"/>
        <v>1</v>
      </c>
    </row>
    <row r="299" spans="1:64" x14ac:dyDescent="0.35">
      <c r="A299" t="s">
        <v>843</v>
      </c>
      <c r="B299" t="s">
        <v>840</v>
      </c>
      <c r="C299">
        <v>2015</v>
      </c>
      <c r="D299" t="s">
        <v>841</v>
      </c>
      <c r="E299" t="s">
        <v>842</v>
      </c>
      <c r="F299" t="s">
        <v>66</v>
      </c>
      <c r="G299" t="s">
        <v>144</v>
      </c>
      <c r="H299" t="s">
        <v>144</v>
      </c>
      <c r="I299" t="s">
        <v>144</v>
      </c>
      <c r="J299" t="s">
        <v>70</v>
      </c>
      <c r="L299">
        <v>4</v>
      </c>
      <c r="M299" t="b">
        <v>0</v>
      </c>
      <c r="N299">
        <v>3</v>
      </c>
      <c r="O299">
        <v>1</v>
      </c>
      <c r="P299">
        <v>6</v>
      </c>
      <c r="Q299">
        <v>3</v>
      </c>
      <c r="R299">
        <v>3</v>
      </c>
      <c r="S299">
        <v>4</v>
      </c>
      <c r="T299">
        <v>25</v>
      </c>
      <c r="U299">
        <v>361</v>
      </c>
      <c r="V299">
        <v>95</v>
      </c>
      <c r="W299">
        <v>17</v>
      </c>
      <c r="X299">
        <v>5.5882352941176467</v>
      </c>
      <c r="Y299">
        <v>5</v>
      </c>
      <c r="Z299">
        <v>204</v>
      </c>
      <c r="AA299">
        <v>0</v>
      </c>
      <c r="AB299">
        <v>0</v>
      </c>
      <c r="AC299">
        <v>2</v>
      </c>
      <c r="AD299">
        <v>2</v>
      </c>
      <c r="AE299">
        <v>8</v>
      </c>
      <c r="AF299">
        <v>3</v>
      </c>
      <c r="AG299">
        <v>104</v>
      </c>
      <c r="AH299">
        <v>1</v>
      </c>
      <c r="AI299">
        <v>14</v>
      </c>
      <c r="AJ299">
        <v>1</v>
      </c>
      <c r="AK299">
        <v>3</v>
      </c>
      <c r="AL299">
        <v>2</v>
      </c>
      <c r="AM299">
        <v>17</v>
      </c>
      <c r="AN299">
        <v>8</v>
      </c>
      <c r="AO299">
        <v>308</v>
      </c>
      <c r="AP299">
        <v>7</v>
      </c>
      <c r="AQ299">
        <v>212</v>
      </c>
      <c r="AR299">
        <v>0.5650969529085873</v>
      </c>
      <c r="AS299">
        <v>0</v>
      </c>
      <c r="AT299">
        <v>2.2160664819944598E-2</v>
      </c>
      <c r="AU299">
        <v>0.2880886426592798</v>
      </c>
      <c r="AV299">
        <v>3.8781163434903038E-2</v>
      </c>
      <c r="AW299">
        <v>4.7091412742382273E-2</v>
      </c>
      <c r="AX299">
        <v>0.85318559556786699</v>
      </c>
      <c r="AY299">
        <v>0.58725761772853191</v>
      </c>
      <c r="AZ299">
        <v>0.80609418282548473</v>
      </c>
      <c r="BA299">
        <v>0.5</v>
      </c>
      <c r="BB299">
        <v>0.76470588235294112</v>
      </c>
      <c r="BC299">
        <v>0.46666666666666667</v>
      </c>
      <c r="BD299">
        <v>1.128808864265928</v>
      </c>
      <c r="BE299">
        <v>4</v>
      </c>
      <c r="BF299">
        <v>0.71504535332138397</v>
      </c>
      <c r="BG299">
        <v>0.72</v>
      </c>
      <c r="BH299" t="s">
        <v>86</v>
      </c>
      <c r="BI299">
        <v>0.72</v>
      </c>
      <c r="BJ299" t="s">
        <v>86</v>
      </c>
      <c r="BK299" s="2">
        <f t="shared" si="9"/>
        <v>0</v>
      </c>
      <c r="BL299" t="b">
        <f t="shared" si="10"/>
        <v>1</v>
      </c>
    </row>
    <row r="300" spans="1:64" x14ac:dyDescent="0.35">
      <c r="A300" t="s">
        <v>844</v>
      </c>
      <c r="B300" t="s">
        <v>840</v>
      </c>
      <c r="C300">
        <v>2016</v>
      </c>
      <c r="D300" t="s">
        <v>841</v>
      </c>
      <c r="E300" t="s">
        <v>842</v>
      </c>
      <c r="F300" t="s">
        <v>66</v>
      </c>
      <c r="G300" t="s">
        <v>144</v>
      </c>
      <c r="H300" t="s">
        <v>144</v>
      </c>
      <c r="I300" t="s">
        <v>144</v>
      </c>
      <c r="J300" t="s">
        <v>70</v>
      </c>
      <c r="L300">
        <v>4</v>
      </c>
      <c r="M300" t="b">
        <v>0</v>
      </c>
      <c r="N300">
        <v>1</v>
      </c>
      <c r="O300">
        <v>1</v>
      </c>
      <c r="P300">
        <v>6</v>
      </c>
      <c r="Q300">
        <v>3</v>
      </c>
      <c r="R300">
        <v>3</v>
      </c>
      <c r="S300">
        <v>4</v>
      </c>
      <c r="T300">
        <v>27</v>
      </c>
      <c r="U300">
        <v>529</v>
      </c>
      <c r="V300">
        <v>106</v>
      </c>
      <c r="W300">
        <v>20</v>
      </c>
      <c r="X300">
        <v>5.3</v>
      </c>
      <c r="Y300">
        <v>3</v>
      </c>
      <c r="Z300">
        <v>46</v>
      </c>
      <c r="AA300">
        <v>0</v>
      </c>
      <c r="AB300">
        <v>0</v>
      </c>
      <c r="AC300">
        <v>1</v>
      </c>
      <c r="AD300">
        <v>1</v>
      </c>
      <c r="AE300">
        <v>36</v>
      </c>
      <c r="AF300">
        <v>0</v>
      </c>
      <c r="AG300">
        <v>0</v>
      </c>
      <c r="AH300">
        <v>1</v>
      </c>
      <c r="AI300">
        <v>9</v>
      </c>
      <c r="AJ300">
        <v>1</v>
      </c>
      <c r="AK300">
        <v>10</v>
      </c>
      <c r="AL300">
        <v>2</v>
      </c>
      <c r="AM300">
        <v>19</v>
      </c>
      <c r="AN300">
        <v>3</v>
      </c>
      <c r="AO300">
        <v>46</v>
      </c>
      <c r="AP300">
        <v>4</v>
      </c>
      <c r="AQ300">
        <v>82</v>
      </c>
      <c r="AR300">
        <v>8.6956521739130432E-2</v>
      </c>
      <c r="AS300">
        <v>0</v>
      </c>
      <c r="AT300">
        <v>6.8052930056710773E-2</v>
      </c>
      <c r="AU300">
        <v>0</v>
      </c>
      <c r="AV300">
        <v>1.701323251417769E-2</v>
      </c>
      <c r="AW300">
        <v>3.5916824196597363E-2</v>
      </c>
      <c r="AX300">
        <v>8.6956521739130432E-2</v>
      </c>
      <c r="AY300">
        <v>0.15500945179584119</v>
      </c>
      <c r="AZ300">
        <v>5.1039697542533083E-2</v>
      </c>
      <c r="BA300">
        <v>0.5</v>
      </c>
      <c r="BB300">
        <v>0.71666666666666667</v>
      </c>
      <c r="BC300">
        <v>0.26666666666666672</v>
      </c>
      <c r="BD300">
        <v>0.65689981096408312</v>
      </c>
      <c r="BE300">
        <v>4</v>
      </c>
      <c r="BF300">
        <v>0.53505828607435413</v>
      </c>
      <c r="BG300">
        <v>0.56999999999999995</v>
      </c>
      <c r="BH300" t="s">
        <v>71</v>
      </c>
      <c r="BI300">
        <v>0.54</v>
      </c>
      <c r="BJ300" t="s">
        <v>71</v>
      </c>
      <c r="BK300" s="2">
        <f t="shared" si="9"/>
        <v>2.9999999999999916E-2</v>
      </c>
      <c r="BL300" t="b">
        <f t="shared" si="10"/>
        <v>1</v>
      </c>
    </row>
    <row r="301" spans="1:64" x14ac:dyDescent="0.35">
      <c r="A301" t="s">
        <v>845</v>
      </c>
      <c r="B301" t="s">
        <v>840</v>
      </c>
      <c r="C301">
        <v>2017</v>
      </c>
      <c r="D301" t="s">
        <v>841</v>
      </c>
      <c r="E301" t="s">
        <v>842</v>
      </c>
      <c r="F301" t="s">
        <v>66</v>
      </c>
      <c r="G301" t="s">
        <v>144</v>
      </c>
      <c r="H301" t="s">
        <v>144</v>
      </c>
      <c r="I301" t="s">
        <v>144</v>
      </c>
      <c r="J301" t="s">
        <v>70</v>
      </c>
      <c r="L301">
        <v>4</v>
      </c>
      <c r="M301" t="b">
        <v>0</v>
      </c>
      <c r="N301">
        <v>1</v>
      </c>
      <c r="O301">
        <v>1</v>
      </c>
      <c r="P301">
        <v>3</v>
      </c>
      <c r="Q301">
        <v>3</v>
      </c>
      <c r="R301">
        <v>0</v>
      </c>
      <c r="S301">
        <v>4</v>
      </c>
      <c r="T301">
        <v>16</v>
      </c>
      <c r="U301">
        <v>167</v>
      </c>
      <c r="V301">
        <v>74</v>
      </c>
      <c r="W301">
        <v>15</v>
      </c>
      <c r="X301">
        <v>4.9333333333333336</v>
      </c>
      <c r="Y301">
        <v>1</v>
      </c>
      <c r="Z301">
        <v>19</v>
      </c>
      <c r="AA301">
        <v>0</v>
      </c>
      <c r="AB301">
        <v>0</v>
      </c>
      <c r="AC301">
        <v>1</v>
      </c>
      <c r="AD301">
        <v>1</v>
      </c>
      <c r="AE301">
        <v>10</v>
      </c>
      <c r="AF301">
        <v>1</v>
      </c>
      <c r="AG301">
        <v>4</v>
      </c>
      <c r="AH301">
        <v>0</v>
      </c>
      <c r="AI301">
        <v>0</v>
      </c>
      <c r="AJ301">
        <v>1</v>
      </c>
      <c r="AK301">
        <v>1</v>
      </c>
      <c r="AL301">
        <v>1</v>
      </c>
      <c r="AM301">
        <v>1</v>
      </c>
      <c r="AN301">
        <v>2</v>
      </c>
      <c r="AO301">
        <v>23</v>
      </c>
      <c r="AP301">
        <v>2</v>
      </c>
      <c r="AQ301">
        <v>29</v>
      </c>
      <c r="AR301">
        <v>0.1137724550898204</v>
      </c>
      <c r="AS301">
        <v>0</v>
      </c>
      <c r="AT301">
        <v>5.9880239520958077E-2</v>
      </c>
      <c r="AU301">
        <v>2.3952095808383232E-2</v>
      </c>
      <c r="AV301">
        <v>0</v>
      </c>
      <c r="AW301">
        <v>5.9880239520958087E-3</v>
      </c>
      <c r="AX301">
        <v>0.1377245508982036</v>
      </c>
      <c r="AY301">
        <v>0.17365269461077851</v>
      </c>
      <c r="AZ301">
        <v>0.1317365269461078</v>
      </c>
      <c r="BA301">
        <v>0.5</v>
      </c>
      <c r="BB301">
        <v>0.65555555555555556</v>
      </c>
      <c r="BC301">
        <v>0.1333333333333333</v>
      </c>
      <c r="BD301">
        <v>0.70733532934131726</v>
      </c>
      <c r="BE301">
        <v>4</v>
      </c>
      <c r="BF301">
        <v>0.49905605455755148</v>
      </c>
      <c r="BG301">
        <v>0.5</v>
      </c>
      <c r="BH301" t="s">
        <v>71</v>
      </c>
      <c r="BI301">
        <v>0.5</v>
      </c>
      <c r="BJ301" t="s">
        <v>71</v>
      </c>
      <c r="BK301" s="2">
        <f t="shared" si="9"/>
        <v>0</v>
      </c>
      <c r="BL301" t="b">
        <f t="shared" si="10"/>
        <v>1</v>
      </c>
    </row>
    <row r="302" spans="1:64" x14ac:dyDescent="0.35">
      <c r="A302" t="s">
        <v>846</v>
      </c>
      <c r="B302" t="s">
        <v>840</v>
      </c>
      <c r="C302">
        <v>2020</v>
      </c>
      <c r="D302" t="s">
        <v>841</v>
      </c>
      <c r="E302" t="s">
        <v>842</v>
      </c>
      <c r="F302" t="s">
        <v>66</v>
      </c>
      <c r="G302" t="s">
        <v>144</v>
      </c>
      <c r="H302" t="s">
        <v>144</v>
      </c>
      <c r="I302" t="s">
        <v>144</v>
      </c>
      <c r="J302" t="s">
        <v>70</v>
      </c>
      <c r="L302">
        <v>4</v>
      </c>
      <c r="M302" t="b">
        <v>0</v>
      </c>
      <c r="N302">
        <v>1</v>
      </c>
      <c r="O302">
        <v>1</v>
      </c>
      <c r="P302">
        <v>5</v>
      </c>
      <c r="Q302">
        <v>4</v>
      </c>
      <c r="R302">
        <v>1</v>
      </c>
      <c r="S302">
        <v>4</v>
      </c>
      <c r="T302">
        <v>22</v>
      </c>
      <c r="U302">
        <v>348</v>
      </c>
      <c r="V302">
        <v>87</v>
      </c>
      <c r="W302">
        <v>18</v>
      </c>
      <c r="X302">
        <v>4.833333333333333</v>
      </c>
      <c r="Y302">
        <v>5</v>
      </c>
      <c r="Z302">
        <v>80</v>
      </c>
      <c r="AA302">
        <v>0</v>
      </c>
      <c r="AB302">
        <v>0</v>
      </c>
      <c r="AC302">
        <v>2</v>
      </c>
      <c r="AD302">
        <v>2</v>
      </c>
      <c r="AE302">
        <v>62</v>
      </c>
      <c r="AF302">
        <v>0</v>
      </c>
      <c r="AG302">
        <v>0</v>
      </c>
      <c r="AH302">
        <v>1</v>
      </c>
      <c r="AI302">
        <v>29</v>
      </c>
      <c r="AJ302">
        <v>2</v>
      </c>
      <c r="AK302">
        <v>9</v>
      </c>
      <c r="AL302">
        <v>3</v>
      </c>
      <c r="AM302">
        <v>38</v>
      </c>
      <c r="AN302">
        <v>5</v>
      </c>
      <c r="AO302">
        <v>80</v>
      </c>
      <c r="AP302">
        <v>7</v>
      </c>
      <c r="AQ302">
        <v>142</v>
      </c>
      <c r="AR302">
        <v>0.22988505747126439</v>
      </c>
      <c r="AS302">
        <v>0</v>
      </c>
      <c r="AT302">
        <v>0.17816091954022989</v>
      </c>
      <c r="AU302">
        <v>0</v>
      </c>
      <c r="AV302">
        <v>8.3333333333333329E-2</v>
      </c>
      <c r="AW302">
        <v>0.10919540229885059</v>
      </c>
      <c r="AX302">
        <v>0.22988505747126439</v>
      </c>
      <c r="AY302">
        <v>0.40804597701149431</v>
      </c>
      <c r="AZ302">
        <v>0.1206896551724138</v>
      </c>
      <c r="BA302">
        <v>0.5</v>
      </c>
      <c r="BB302">
        <v>0.63888888888888884</v>
      </c>
      <c r="BC302">
        <v>0.46666666666666667</v>
      </c>
      <c r="BD302">
        <v>0.70043103448275856</v>
      </c>
      <c r="BE302">
        <v>4</v>
      </c>
      <c r="BF302">
        <v>0.57649664750957852</v>
      </c>
      <c r="BG302">
        <v>0.59</v>
      </c>
      <c r="BH302" t="s">
        <v>71</v>
      </c>
      <c r="BI302">
        <v>0.57999999999999996</v>
      </c>
      <c r="BJ302" t="s">
        <v>71</v>
      </c>
      <c r="BK302" s="2">
        <f t="shared" si="9"/>
        <v>1.0000000000000009E-2</v>
      </c>
      <c r="BL302" t="b">
        <f t="shared" si="10"/>
        <v>1</v>
      </c>
    </row>
    <row r="303" spans="1:64" x14ac:dyDescent="0.35">
      <c r="A303" t="s">
        <v>847</v>
      </c>
      <c r="B303" t="s">
        <v>848</v>
      </c>
      <c r="C303">
        <v>2014</v>
      </c>
      <c r="D303" t="s">
        <v>849</v>
      </c>
      <c r="E303" t="s">
        <v>850</v>
      </c>
      <c r="F303" t="s">
        <v>66</v>
      </c>
      <c r="G303" t="s">
        <v>101</v>
      </c>
      <c r="H303" t="s">
        <v>170</v>
      </c>
      <c r="I303" t="s">
        <v>851</v>
      </c>
      <c r="J303" t="s">
        <v>70</v>
      </c>
      <c r="L303">
        <v>1</v>
      </c>
      <c r="M303" t="b">
        <v>0</v>
      </c>
      <c r="N303">
        <v>1</v>
      </c>
      <c r="O303">
        <v>1</v>
      </c>
      <c r="P303">
        <v>11</v>
      </c>
      <c r="Q303">
        <v>5</v>
      </c>
      <c r="R303">
        <v>6</v>
      </c>
      <c r="S303">
        <v>5</v>
      </c>
      <c r="T303">
        <v>33</v>
      </c>
      <c r="U303">
        <v>1150</v>
      </c>
      <c r="V303">
        <v>162</v>
      </c>
      <c r="W303">
        <v>27</v>
      </c>
      <c r="X303">
        <v>6</v>
      </c>
      <c r="Y303">
        <v>5</v>
      </c>
      <c r="Z303">
        <v>60</v>
      </c>
      <c r="AA303">
        <v>0</v>
      </c>
      <c r="AB303">
        <v>0</v>
      </c>
      <c r="AC303">
        <v>5</v>
      </c>
      <c r="AD303">
        <v>5</v>
      </c>
      <c r="AE303">
        <v>22</v>
      </c>
      <c r="AF303">
        <v>1</v>
      </c>
      <c r="AG303">
        <v>5</v>
      </c>
      <c r="AH303">
        <v>2</v>
      </c>
      <c r="AI303">
        <v>1011</v>
      </c>
      <c r="AJ303">
        <v>1</v>
      </c>
      <c r="AK303">
        <v>14</v>
      </c>
      <c r="AL303">
        <v>3</v>
      </c>
      <c r="AM303">
        <v>1025</v>
      </c>
      <c r="AN303">
        <v>6</v>
      </c>
      <c r="AO303">
        <v>65</v>
      </c>
      <c r="AP303">
        <v>10</v>
      </c>
      <c r="AQ303">
        <v>82</v>
      </c>
      <c r="AR303">
        <v>5.2173913043478258E-2</v>
      </c>
      <c r="AS303">
        <v>0</v>
      </c>
      <c r="AT303">
        <v>1.9130434782608691E-2</v>
      </c>
      <c r="AU303">
        <v>4.3478260869565218E-3</v>
      </c>
      <c r="AV303">
        <v>0.87913043478260866</v>
      </c>
      <c r="AW303">
        <v>0.89130434782608692</v>
      </c>
      <c r="AX303">
        <v>5.6521739130434782E-2</v>
      </c>
      <c r="AY303">
        <v>7.1304347826086953E-2</v>
      </c>
      <c r="AZ303">
        <v>-0.83478260869565213</v>
      </c>
      <c r="BA303">
        <v>0.66666666666666663</v>
      </c>
      <c r="BB303">
        <v>0.83333333333333337</v>
      </c>
      <c r="BC303">
        <v>0.66666666666666663</v>
      </c>
      <c r="BD303">
        <v>0.10326086956521741</v>
      </c>
      <c r="BE303">
        <v>4</v>
      </c>
      <c r="BF303">
        <v>0.56748188405797106</v>
      </c>
      <c r="BG303">
        <v>0.76</v>
      </c>
      <c r="BH303" t="s">
        <v>164</v>
      </c>
      <c r="BI303">
        <v>0.56999999999999995</v>
      </c>
      <c r="BJ303" t="s">
        <v>71</v>
      </c>
      <c r="BK303" s="2">
        <f t="shared" si="9"/>
        <v>0.19000000000000006</v>
      </c>
      <c r="BL303" t="b">
        <f t="shared" si="10"/>
        <v>0</v>
      </c>
    </row>
    <row r="304" spans="1:64" x14ac:dyDescent="0.35">
      <c r="A304" t="s">
        <v>852</v>
      </c>
      <c r="B304" t="s">
        <v>848</v>
      </c>
      <c r="C304">
        <v>2018</v>
      </c>
      <c r="D304" t="s">
        <v>849</v>
      </c>
      <c r="E304" t="s">
        <v>850</v>
      </c>
      <c r="F304" t="s">
        <v>66</v>
      </c>
      <c r="G304" t="s">
        <v>101</v>
      </c>
      <c r="H304" t="s">
        <v>170</v>
      </c>
      <c r="I304" t="s">
        <v>851</v>
      </c>
      <c r="J304" t="s">
        <v>70</v>
      </c>
      <c r="L304">
        <v>1</v>
      </c>
      <c r="M304" t="b">
        <v>0</v>
      </c>
      <c r="N304">
        <v>1</v>
      </c>
      <c r="O304">
        <v>2</v>
      </c>
      <c r="P304">
        <v>6</v>
      </c>
      <c r="Q304">
        <v>2</v>
      </c>
      <c r="R304">
        <v>4</v>
      </c>
      <c r="S304">
        <v>6</v>
      </c>
      <c r="T304">
        <v>24</v>
      </c>
      <c r="U304">
        <v>466</v>
      </c>
      <c r="V304">
        <v>98</v>
      </c>
      <c r="W304">
        <v>18</v>
      </c>
      <c r="X304">
        <v>5.4444444444444446</v>
      </c>
      <c r="Y304">
        <v>2</v>
      </c>
      <c r="Z304">
        <v>29</v>
      </c>
      <c r="AA304">
        <v>0</v>
      </c>
      <c r="AB304">
        <v>0</v>
      </c>
      <c r="AC304">
        <v>3</v>
      </c>
      <c r="AD304">
        <v>3</v>
      </c>
      <c r="AE304">
        <v>77</v>
      </c>
      <c r="AF304">
        <v>1</v>
      </c>
      <c r="AG304">
        <v>7</v>
      </c>
      <c r="AH304">
        <v>2</v>
      </c>
      <c r="AI304">
        <v>173</v>
      </c>
      <c r="AJ304">
        <v>1</v>
      </c>
      <c r="AK304">
        <v>6</v>
      </c>
      <c r="AL304">
        <v>3</v>
      </c>
      <c r="AM304">
        <v>179</v>
      </c>
      <c r="AN304">
        <v>3</v>
      </c>
      <c r="AO304">
        <v>36</v>
      </c>
      <c r="AP304">
        <v>5</v>
      </c>
      <c r="AQ304">
        <v>106</v>
      </c>
      <c r="AR304">
        <v>6.2231759656652362E-2</v>
      </c>
      <c r="AS304">
        <v>0</v>
      </c>
      <c r="AT304">
        <v>0.1652360515021459</v>
      </c>
      <c r="AU304">
        <v>1.5021459227467809E-2</v>
      </c>
      <c r="AV304">
        <v>0.37124463519313311</v>
      </c>
      <c r="AW304">
        <v>0.38412017167381968</v>
      </c>
      <c r="AX304">
        <v>7.7253218884120178E-2</v>
      </c>
      <c r="AY304">
        <v>0.2274678111587983</v>
      </c>
      <c r="AZ304">
        <v>-0.30686695278969961</v>
      </c>
      <c r="BA304">
        <v>0.83333333333333337</v>
      </c>
      <c r="BB304">
        <v>0.74074074074074081</v>
      </c>
      <c r="BC304">
        <v>0.33333333333333331</v>
      </c>
      <c r="BD304">
        <v>0.43320815450643768</v>
      </c>
      <c r="BE304">
        <v>4</v>
      </c>
      <c r="BF304">
        <v>0.58515389047846134</v>
      </c>
      <c r="BG304">
        <v>0.64</v>
      </c>
      <c r="BH304" t="s">
        <v>86</v>
      </c>
      <c r="BI304">
        <v>0.59</v>
      </c>
      <c r="BJ304" t="s">
        <v>71</v>
      </c>
      <c r="BK304" s="2">
        <f t="shared" si="9"/>
        <v>5.0000000000000044E-2</v>
      </c>
      <c r="BL304" t="b">
        <f t="shared" si="10"/>
        <v>0</v>
      </c>
    </row>
    <row r="305" spans="1:64" x14ac:dyDescent="0.35">
      <c r="A305" t="s">
        <v>853</v>
      </c>
      <c r="B305" t="s">
        <v>854</v>
      </c>
      <c r="C305">
        <v>2015</v>
      </c>
      <c r="D305" t="s">
        <v>855</v>
      </c>
      <c r="E305" t="s">
        <v>856</v>
      </c>
      <c r="F305" t="s">
        <v>66</v>
      </c>
      <c r="G305" t="s">
        <v>101</v>
      </c>
      <c r="H305" t="s">
        <v>211</v>
      </c>
      <c r="I305" t="s">
        <v>225</v>
      </c>
      <c r="J305" t="s">
        <v>70</v>
      </c>
      <c r="L305">
        <v>2</v>
      </c>
      <c r="M305" t="b">
        <v>0</v>
      </c>
      <c r="N305">
        <v>1</v>
      </c>
      <c r="O305">
        <v>4</v>
      </c>
      <c r="P305">
        <v>16</v>
      </c>
      <c r="Q305">
        <v>4</v>
      </c>
      <c r="R305">
        <v>12</v>
      </c>
      <c r="S305">
        <v>7</v>
      </c>
      <c r="T305">
        <v>50</v>
      </c>
      <c r="U305">
        <v>1376</v>
      </c>
      <c r="V305">
        <v>220</v>
      </c>
      <c r="W305">
        <v>37</v>
      </c>
      <c r="X305">
        <v>5.9459459459459456</v>
      </c>
      <c r="Y305">
        <v>7</v>
      </c>
      <c r="Z305">
        <v>157</v>
      </c>
      <c r="AA305">
        <v>3</v>
      </c>
      <c r="AB305">
        <v>35</v>
      </c>
      <c r="AC305">
        <v>5</v>
      </c>
      <c r="AD305">
        <v>5</v>
      </c>
      <c r="AE305">
        <v>116</v>
      </c>
      <c r="AF305">
        <v>1</v>
      </c>
      <c r="AG305">
        <v>14</v>
      </c>
      <c r="AH305">
        <v>0</v>
      </c>
      <c r="AI305">
        <v>0</v>
      </c>
      <c r="AJ305">
        <v>3</v>
      </c>
      <c r="AK305">
        <v>18</v>
      </c>
      <c r="AL305">
        <v>4</v>
      </c>
      <c r="AM305">
        <v>40</v>
      </c>
      <c r="AN305">
        <v>11</v>
      </c>
      <c r="AO305">
        <v>206</v>
      </c>
      <c r="AP305">
        <v>15</v>
      </c>
      <c r="AQ305">
        <v>308</v>
      </c>
      <c r="AR305">
        <v>0.11409883720930231</v>
      </c>
      <c r="AS305">
        <v>2.5436046511627911E-2</v>
      </c>
      <c r="AT305">
        <v>8.4302325581395346E-2</v>
      </c>
      <c r="AU305">
        <v>1.017441860465116E-2</v>
      </c>
      <c r="AV305">
        <v>0</v>
      </c>
      <c r="AW305">
        <v>2.9069767441860461E-2</v>
      </c>
      <c r="AX305">
        <v>0.14970930232558141</v>
      </c>
      <c r="AY305">
        <v>0.22383720930232559</v>
      </c>
      <c r="AZ305">
        <v>0.12063953488372089</v>
      </c>
      <c r="BA305">
        <v>1</v>
      </c>
      <c r="BB305">
        <v>0.82432432432432423</v>
      </c>
      <c r="BC305">
        <v>1</v>
      </c>
      <c r="BD305">
        <v>0.70039970930232542</v>
      </c>
      <c r="BE305">
        <v>4</v>
      </c>
      <c r="BF305">
        <v>0.88118100840666247</v>
      </c>
      <c r="BG305">
        <v>0.92</v>
      </c>
      <c r="BH305" t="s">
        <v>164</v>
      </c>
      <c r="BI305">
        <v>0.88</v>
      </c>
      <c r="BJ305" t="s">
        <v>164</v>
      </c>
      <c r="BK305" s="2">
        <f t="shared" si="9"/>
        <v>4.0000000000000036E-2</v>
      </c>
      <c r="BL305" t="b">
        <f t="shared" si="10"/>
        <v>1</v>
      </c>
    </row>
    <row r="306" spans="1:64" x14ac:dyDescent="0.35">
      <c r="A306" t="s">
        <v>857</v>
      </c>
      <c r="B306" t="s">
        <v>854</v>
      </c>
      <c r="C306">
        <v>2019</v>
      </c>
      <c r="D306" t="s">
        <v>855</v>
      </c>
      <c r="E306" t="s">
        <v>856</v>
      </c>
      <c r="F306" t="s">
        <v>66</v>
      </c>
      <c r="G306" t="s">
        <v>101</v>
      </c>
      <c r="H306" t="s">
        <v>211</v>
      </c>
      <c r="I306" t="s">
        <v>225</v>
      </c>
      <c r="J306" t="s">
        <v>70</v>
      </c>
      <c r="L306">
        <v>2</v>
      </c>
      <c r="M306" t="b">
        <v>0</v>
      </c>
      <c r="N306">
        <v>1</v>
      </c>
      <c r="O306">
        <v>2</v>
      </c>
      <c r="P306">
        <v>8</v>
      </c>
      <c r="Q306">
        <v>3</v>
      </c>
      <c r="R306">
        <v>5</v>
      </c>
      <c r="S306">
        <v>6</v>
      </c>
      <c r="T306">
        <v>33</v>
      </c>
      <c r="U306">
        <v>1052</v>
      </c>
      <c r="V306">
        <v>153</v>
      </c>
      <c r="W306">
        <v>25</v>
      </c>
      <c r="X306">
        <v>6.12</v>
      </c>
      <c r="Y306">
        <v>3</v>
      </c>
      <c r="Z306">
        <v>69</v>
      </c>
      <c r="AA306">
        <v>0</v>
      </c>
      <c r="AB306">
        <v>0</v>
      </c>
      <c r="AC306">
        <v>5</v>
      </c>
      <c r="AD306">
        <v>4</v>
      </c>
      <c r="AE306">
        <v>39</v>
      </c>
      <c r="AF306">
        <v>2</v>
      </c>
      <c r="AG306">
        <v>11</v>
      </c>
      <c r="AH306">
        <v>0</v>
      </c>
      <c r="AI306">
        <v>0</v>
      </c>
      <c r="AJ306">
        <v>1</v>
      </c>
      <c r="AK306">
        <v>4</v>
      </c>
      <c r="AL306">
        <v>2</v>
      </c>
      <c r="AM306">
        <v>8</v>
      </c>
      <c r="AN306">
        <v>5</v>
      </c>
      <c r="AO306">
        <v>80</v>
      </c>
      <c r="AP306">
        <v>7</v>
      </c>
      <c r="AQ306">
        <v>108</v>
      </c>
      <c r="AR306">
        <v>6.5589353612167306E-2</v>
      </c>
      <c r="AS306">
        <v>0</v>
      </c>
      <c r="AT306">
        <v>3.7072243346007602E-2</v>
      </c>
      <c r="AU306">
        <v>1.0456273764258551E-2</v>
      </c>
      <c r="AV306">
        <v>0</v>
      </c>
      <c r="AW306">
        <v>7.6045627376425864E-3</v>
      </c>
      <c r="AX306">
        <v>7.6045627376425853E-2</v>
      </c>
      <c r="AY306">
        <v>0.10266159695817489</v>
      </c>
      <c r="AZ306">
        <v>6.8441064638783272E-2</v>
      </c>
      <c r="BA306">
        <v>0.83333333333333337</v>
      </c>
      <c r="BB306">
        <v>0.85333333333333339</v>
      </c>
      <c r="BC306">
        <v>0.46666666666666667</v>
      </c>
      <c r="BD306">
        <v>0.66777566539923949</v>
      </c>
      <c r="BE306">
        <v>4</v>
      </c>
      <c r="BF306">
        <v>0.7052772496831432</v>
      </c>
      <c r="BG306">
        <v>0.71</v>
      </c>
      <c r="BH306" t="s">
        <v>86</v>
      </c>
      <c r="BI306">
        <v>0.71</v>
      </c>
      <c r="BJ306" t="s">
        <v>86</v>
      </c>
      <c r="BK306" s="2">
        <f t="shared" si="9"/>
        <v>0</v>
      </c>
      <c r="BL306" t="b">
        <f t="shared" si="10"/>
        <v>1</v>
      </c>
    </row>
    <row r="307" spans="1:64" x14ac:dyDescent="0.35">
      <c r="A307" t="s">
        <v>858</v>
      </c>
      <c r="B307" t="s">
        <v>854</v>
      </c>
      <c r="C307">
        <v>2022</v>
      </c>
      <c r="D307" t="s">
        <v>855</v>
      </c>
      <c r="E307" t="s">
        <v>856</v>
      </c>
      <c r="F307" t="s">
        <v>66</v>
      </c>
      <c r="G307" t="s">
        <v>101</v>
      </c>
      <c r="H307" t="s">
        <v>211</v>
      </c>
      <c r="I307" t="s">
        <v>225</v>
      </c>
      <c r="J307" t="s">
        <v>70</v>
      </c>
      <c r="L307">
        <v>2</v>
      </c>
      <c r="M307" t="b">
        <v>0</v>
      </c>
      <c r="N307">
        <v>1</v>
      </c>
      <c r="O307">
        <v>1</v>
      </c>
      <c r="P307">
        <v>7</v>
      </c>
      <c r="Q307">
        <v>3</v>
      </c>
      <c r="R307">
        <v>4</v>
      </c>
      <c r="S307">
        <v>5</v>
      </c>
      <c r="T307">
        <v>36</v>
      </c>
      <c r="U307">
        <v>385</v>
      </c>
      <c r="V307">
        <v>162</v>
      </c>
      <c r="W307">
        <v>28</v>
      </c>
      <c r="X307">
        <v>5.7857142857142856</v>
      </c>
      <c r="Y307">
        <v>6</v>
      </c>
      <c r="Z307">
        <v>40</v>
      </c>
      <c r="AA307">
        <v>0</v>
      </c>
      <c r="AB307">
        <v>0</v>
      </c>
      <c r="AC307">
        <v>6</v>
      </c>
      <c r="AD307">
        <v>5</v>
      </c>
      <c r="AE307">
        <v>98</v>
      </c>
      <c r="AF307">
        <v>2</v>
      </c>
      <c r="AG307">
        <v>25</v>
      </c>
      <c r="AH307">
        <v>0</v>
      </c>
      <c r="AI307">
        <v>0</v>
      </c>
      <c r="AJ307">
        <v>3</v>
      </c>
      <c r="AK307">
        <v>14</v>
      </c>
      <c r="AL307">
        <v>3</v>
      </c>
      <c r="AM307">
        <v>14</v>
      </c>
      <c r="AN307">
        <v>8</v>
      </c>
      <c r="AO307">
        <v>65</v>
      </c>
      <c r="AP307">
        <v>11</v>
      </c>
      <c r="AQ307">
        <v>138</v>
      </c>
      <c r="AR307">
        <v>0.1038961038961039</v>
      </c>
      <c r="AS307">
        <v>0</v>
      </c>
      <c r="AT307">
        <v>0.25454545454545452</v>
      </c>
      <c r="AU307">
        <v>6.4935064935064929E-2</v>
      </c>
      <c r="AV307">
        <v>0</v>
      </c>
      <c r="AW307">
        <v>3.6363636363636362E-2</v>
      </c>
      <c r="AX307">
        <v>0.1688311688311688</v>
      </c>
      <c r="AY307">
        <v>0.35844155844155839</v>
      </c>
      <c r="AZ307">
        <v>0.13246753246753251</v>
      </c>
      <c r="BA307">
        <v>0.66666666666666663</v>
      </c>
      <c r="BB307">
        <v>0.79761904761904756</v>
      </c>
      <c r="BC307">
        <v>0.73333333333333328</v>
      </c>
      <c r="BD307">
        <v>0.70779220779220775</v>
      </c>
      <c r="BE307">
        <v>4</v>
      </c>
      <c r="BF307">
        <v>0.72635281385281381</v>
      </c>
      <c r="BG307">
        <v>0.72</v>
      </c>
      <c r="BH307" t="s">
        <v>86</v>
      </c>
      <c r="BI307">
        <v>0.73</v>
      </c>
      <c r="BJ307" t="s">
        <v>86</v>
      </c>
      <c r="BK307" s="2">
        <f t="shared" si="9"/>
        <v>-1.0000000000000009E-2</v>
      </c>
      <c r="BL307" t="b">
        <f t="shared" si="10"/>
        <v>1</v>
      </c>
    </row>
    <row r="308" spans="1:64" x14ac:dyDescent="0.35">
      <c r="A308" t="s">
        <v>859</v>
      </c>
      <c r="B308" t="s">
        <v>860</v>
      </c>
      <c r="C308">
        <v>2014</v>
      </c>
      <c r="D308" t="s">
        <v>861</v>
      </c>
      <c r="E308" t="s">
        <v>862</v>
      </c>
      <c r="F308" t="s">
        <v>66</v>
      </c>
      <c r="G308" t="s">
        <v>101</v>
      </c>
      <c r="H308" t="s">
        <v>170</v>
      </c>
      <c r="I308" t="s">
        <v>863</v>
      </c>
      <c r="J308" t="s">
        <v>70</v>
      </c>
      <c r="L308">
        <v>1</v>
      </c>
      <c r="M308" t="b">
        <v>0</v>
      </c>
      <c r="N308">
        <v>2</v>
      </c>
      <c r="O308">
        <v>1</v>
      </c>
      <c r="P308">
        <v>5</v>
      </c>
      <c r="Q308">
        <v>4</v>
      </c>
      <c r="R308">
        <v>1</v>
      </c>
      <c r="S308">
        <v>4</v>
      </c>
      <c r="T308">
        <v>20</v>
      </c>
      <c r="U308">
        <v>265</v>
      </c>
      <c r="V308">
        <v>74</v>
      </c>
      <c r="W308">
        <v>16</v>
      </c>
      <c r="X308">
        <v>4.625</v>
      </c>
      <c r="Y308">
        <v>1</v>
      </c>
      <c r="Z308">
        <v>37</v>
      </c>
      <c r="AA308">
        <v>0</v>
      </c>
      <c r="AB308">
        <v>0</v>
      </c>
      <c r="AC308">
        <v>2</v>
      </c>
      <c r="AD308">
        <v>2</v>
      </c>
      <c r="AE308">
        <v>24</v>
      </c>
      <c r="AF308">
        <v>1</v>
      </c>
      <c r="AG308">
        <v>9</v>
      </c>
      <c r="AH308">
        <v>1</v>
      </c>
      <c r="AI308">
        <v>19</v>
      </c>
      <c r="AJ308">
        <v>1</v>
      </c>
      <c r="AK308">
        <v>6</v>
      </c>
      <c r="AL308">
        <v>2</v>
      </c>
      <c r="AM308">
        <v>25</v>
      </c>
      <c r="AN308">
        <v>2</v>
      </c>
      <c r="AO308">
        <v>46</v>
      </c>
      <c r="AP308">
        <v>3</v>
      </c>
      <c r="AQ308">
        <v>61</v>
      </c>
      <c r="AR308">
        <v>0.13962264150943399</v>
      </c>
      <c r="AS308">
        <v>0</v>
      </c>
      <c r="AT308">
        <v>9.056603773584905E-2</v>
      </c>
      <c r="AU308">
        <v>3.3962264150943403E-2</v>
      </c>
      <c r="AV308">
        <v>7.1698113207547168E-2</v>
      </c>
      <c r="AW308">
        <v>9.4339622641509441E-2</v>
      </c>
      <c r="AX308">
        <v>0.17358490566037729</v>
      </c>
      <c r="AY308">
        <v>0.230188679245283</v>
      </c>
      <c r="AZ308">
        <v>7.9245283018867907E-2</v>
      </c>
      <c r="BA308">
        <v>0.5</v>
      </c>
      <c r="BB308">
        <v>0.60416666666666663</v>
      </c>
      <c r="BC308">
        <v>0.2</v>
      </c>
      <c r="BD308">
        <v>0.67452830188679236</v>
      </c>
      <c r="BE308">
        <v>4</v>
      </c>
      <c r="BF308">
        <v>0.49467374213836468</v>
      </c>
      <c r="BG308">
        <v>0.51</v>
      </c>
      <c r="BH308" t="s">
        <v>71</v>
      </c>
      <c r="BI308">
        <v>0.49</v>
      </c>
      <c r="BJ308" t="s">
        <v>71</v>
      </c>
      <c r="BK308" s="2">
        <f t="shared" si="9"/>
        <v>2.0000000000000018E-2</v>
      </c>
      <c r="BL308" t="b">
        <f t="shared" si="10"/>
        <v>1</v>
      </c>
    </row>
    <row r="309" spans="1:64" x14ac:dyDescent="0.35">
      <c r="A309" t="s">
        <v>864</v>
      </c>
      <c r="B309" t="s">
        <v>860</v>
      </c>
      <c r="C309">
        <v>2018</v>
      </c>
      <c r="D309" t="s">
        <v>861</v>
      </c>
      <c r="E309" t="s">
        <v>862</v>
      </c>
      <c r="F309" t="s">
        <v>66</v>
      </c>
      <c r="G309" t="s">
        <v>101</v>
      </c>
      <c r="H309" t="s">
        <v>170</v>
      </c>
      <c r="I309" t="s">
        <v>863</v>
      </c>
      <c r="J309" t="s">
        <v>70</v>
      </c>
      <c r="L309">
        <v>1</v>
      </c>
      <c r="M309" t="b">
        <v>0</v>
      </c>
      <c r="N309">
        <v>4</v>
      </c>
      <c r="O309">
        <v>1</v>
      </c>
      <c r="P309">
        <v>4</v>
      </c>
      <c r="Q309">
        <v>2</v>
      </c>
      <c r="R309">
        <v>2</v>
      </c>
      <c r="S309">
        <v>3</v>
      </c>
      <c r="T309">
        <v>16</v>
      </c>
      <c r="U309">
        <v>100</v>
      </c>
      <c r="V309">
        <v>74</v>
      </c>
      <c r="W309">
        <v>14</v>
      </c>
      <c r="X309">
        <v>5.2857142857142856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</v>
      </c>
      <c r="AE309">
        <v>30</v>
      </c>
      <c r="AF309">
        <v>2</v>
      </c>
      <c r="AG309">
        <v>4</v>
      </c>
      <c r="AH309">
        <v>2</v>
      </c>
      <c r="AI309">
        <v>5</v>
      </c>
      <c r="AJ309">
        <v>1</v>
      </c>
      <c r="AK309">
        <v>2</v>
      </c>
      <c r="AL309">
        <v>3</v>
      </c>
      <c r="AM309">
        <v>7</v>
      </c>
      <c r="AN309">
        <v>2</v>
      </c>
      <c r="AO309">
        <v>4</v>
      </c>
      <c r="AP309">
        <v>1</v>
      </c>
      <c r="AQ309">
        <v>30</v>
      </c>
      <c r="AR309">
        <v>0</v>
      </c>
      <c r="AS309">
        <v>0</v>
      </c>
      <c r="AT309">
        <v>0.3</v>
      </c>
      <c r="AU309">
        <v>0.04</v>
      </c>
      <c r="AV309">
        <v>0.05</v>
      </c>
      <c r="AW309">
        <v>7.0000000000000007E-2</v>
      </c>
      <c r="AX309">
        <v>0.04</v>
      </c>
      <c r="AY309">
        <v>0.3</v>
      </c>
      <c r="AZ309">
        <v>-3.0000000000000009E-2</v>
      </c>
      <c r="BA309">
        <v>0.33333333333333331</v>
      </c>
      <c r="BB309">
        <v>0.7142857142857143</v>
      </c>
      <c r="BC309">
        <v>6.6666666666666666E-2</v>
      </c>
      <c r="BD309">
        <v>0.60624999999999996</v>
      </c>
      <c r="BE309">
        <v>4</v>
      </c>
      <c r="BF309">
        <v>0.43013392857142863</v>
      </c>
      <c r="BG309">
        <v>0.44</v>
      </c>
      <c r="BH309" t="s">
        <v>71</v>
      </c>
      <c r="BI309">
        <v>0.43</v>
      </c>
      <c r="BJ309" t="s">
        <v>71</v>
      </c>
      <c r="BK309" s="2">
        <f t="shared" si="9"/>
        <v>1.0000000000000009E-2</v>
      </c>
      <c r="BL309" t="b">
        <f t="shared" si="10"/>
        <v>1</v>
      </c>
    </row>
    <row r="310" spans="1:64" x14ac:dyDescent="0.35">
      <c r="A310" t="s">
        <v>865</v>
      </c>
      <c r="B310" t="s">
        <v>860</v>
      </c>
      <c r="C310">
        <v>2021</v>
      </c>
      <c r="D310" t="s">
        <v>861</v>
      </c>
      <c r="E310" t="s">
        <v>862</v>
      </c>
      <c r="F310" t="s">
        <v>66</v>
      </c>
      <c r="G310" t="s">
        <v>101</v>
      </c>
      <c r="H310" t="s">
        <v>170</v>
      </c>
      <c r="I310" t="s">
        <v>863</v>
      </c>
      <c r="J310" t="s">
        <v>70</v>
      </c>
      <c r="L310">
        <v>1</v>
      </c>
      <c r="M310" t="b">
        <v>0</v>
      </c>
      <c r="N310">
        <v>4</v>
      </c>
      <c r="O310">
        <v>2</v>
      </c>
      <c r="P310">
        <v>4</v>
      </c>
      <c r="Q310">
        <v>2</v>
      </c>
      <c r="R310">
        <v>2</v>
      </c>
      <c r="S310">
        <v>3</v>
      </c>
      <c r="T310">
        <v>18</v>
      </c>
      <c r="U310">
        <v>90</v>
      </c>
      <c r="V310">
        <v>78</v>
      </c>
      <c r="W310">
        <v>16</v>
      </c>
      <c r="X310">
        <v>4.875</v>
      </c>
      <c r="Y310">
        <v>2</v>
      </c>
      <c r="Z310">
        <v>14</v>
      </c>
      <c r="AA310">
        <v>0</v>
      </c>
      <c r="AB310">
        <v>0</v>
      </c>
      <c r="AC310">
        <v>1</v>
      </c>
      <c r="AD310">
        <v>1</v>
      </c>
      <c r="AE310">
        <v>8</v>
      </c>
      <c r="AF310">
        <v>2</v>
      </c>
      <c r="AG310">
        <v>2</v>
      </c>
      <c r="AH310">
        <v>2</v>
      </c>
      <c r="AI310">
        <v>11</v>
      </c>
      <c r="AJ310">
        <v>1</v>
      </c>
      <c r="AK310">
        <v>17</v>
      </c>
      <c r="AL310">
        <v>3</v>
      </c>
      <c r="AM310">
        <v>28</v>
      </c>
      <c r="AN310">
        <v>4</v>
      </c>
      <c r="AO310">
        <v>16</v>
      </c>
      <c r="AP310">
        <v>3</v>
      </c>
      <c r="AQ310">
        <v>22</v>
      </c>
      <c r="AR310">
        <v>0.15555555555555561</v>
      </c>
      <c r="AS310">
        <v>0</v>
      </c>
      <c r="AT310">
        <v>8.8888888888888892E-2</v>
      </c>
      <c r="AU310">
        <v>2.222222222222222E-2</v>
      </c>
      <c r="AV310">
        <v>0.1222222222222222</v>
      </c>
      <c r="AW310">
        <v>0.31111111111111112</v>
      </c>
      <c r="AX310">
        <v>0.17777777777777781</v>
      </c>
      <c r="AY310">
        <v>0.24444444444444441</v>
      </c>
      <c r="AZ310">
        <v>-0.1333333333333333</v>
      </c>
      <c r="BA310">
        <v>0.33333333333333331</v>
      </c>
      <c r="BB310">
        <v>0.64583333333333337</v>
      </c>
      <c r="BC310">
        <v>0.2</v>
      </c>
      <c r="BD310">
        <v>0.54166666666666663</v>
      </c>
      <c r="BE310">
        <v>4</v>
      </c>
      <c r="BF310">
        <v>0.4302083333333333</v>
      </c>
      <c r="BG310">
        <v>0.45</v>
      </c>
      <c r="BH310" t="s">
        <v>71</v>
      </c>
      <c r="BI310">
        <v>0.43</v>
      </c>
      <c r="BJ310" t="s">
        <v>71</v>
      </c>
      <c r="BK310" s="2">
        <f t="shared" si="9"/>
        <v>2.0000000000000018E-2</v>
      </c>
      <c r="BL310" t="b">
        <f t="shared" si="10"/>
        <v>1</v>
      </c>
    </row>
    <row r="311" spans="1:64" x14ac:dyDescent="0.35">
      <c r="A311" t="s">
        <v>866</v>
      </c>
      <c r="B311" t="s">
        <v>867</v>
      </c>
      <c r="C311">
        <v>2016</v>
      </c>
      <c r="D311" t="s">
        <v>868</v>
      </c>
      <c r="E311" t="s">
        <v>869</v>
      </c>
      <c r="F311" t="s">
        <v>66</v>
      </c>
      <c r="G311" t="s">
        <v>101</v>
      </c>
      <c r="H311" t="s">
        <v>170</v>
      </c>
      <c r="I311" t="s">
        <v>870</v>
      </c>
      <c r="J311" t="s">
        <v>70</v>
      </c>
      <c r="L311">
        <v>1</v>
      </c>
      <c r="M311" t="b">
        <v>0</v>
      </c>
      <c r="N311">
        <v>1</v>
      </c>
      <c r="O311">
        <v>1</v>
      </c>
      <c r="P311">
        <v>8</v>
      </c>
      <c r="Q311">
        <v>3</v>
      </c>
      <c r="R311">
        <v>5</v>
      </c>
      <c r="S311">
        <v>5</v>
      </c>
      <c r="T311">
        <v>20</v>
      </c>
      <c r="U311">
        <v>593</v>
      </c>
      <c r="V311">
        <v>82</v>
      </c>
      <c r="W311">
        <v>15</v>
      </c>
      <c r="X311">
        <v>5.4666666666666668</v>
      </c>
      <c r="Y311">
        <v>3</v>
      </c>
      <c r="Z311">
        <v>78</v>
      </c>
      <c r="AA311">
        <v>0</v>
      </c>
      <c r="AB311">
        <v>0</v>
      </c>
      <c r="AC311">
        <v>2</v>
      </c>
      <c r="AD311">
        <v>2</v>
      </c>
      <c r="AE311">
        <v>32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5</v>
      </c>
      <c r="AL311">
        <v>1</v>
      </c>
      <c r="AM311">
        <v>5</v>
      </c>
      <c r="AN311">
        <v>3</v>
      </c>
      <c r="AO311">
        <v>78</v>
      </c>
      <c r="AP311">
        <v>5</v>
      </c>
      <c r="AQ311">
        <v>110</v>
      </c>
      <c r="AR311">
        <v>0.13153456998313659</v>
      </c>
      <c r="AS311">
        <v>0</v>
      </c>
      <c r="AT311">
        <v>5.3962900505902189E-2</v>
      </c>
      <c r="AU311">
        <v>0</v>
      </c>
      <c r="AV311">
        <v>0</v>
      </c>
      <c r="AW311">
        <v>8.4317032040472171E-3</v>
      </c>
      <c r="AX311">
        <v>0.13153456998313659</v>
      </c>
      <c r="AY311">
        <v>0.18549747048903881</v>
      </c>
      <c r="AZ311">
        <v>0.1231028667790894</v>
      </c>
      <c r="BA311">
        <v>0.66666666666666663</v>
      </c>
      <c r="BB311">
        <v>0.74444444444444446</v>
      </c>
      <c r="BC311">
        <v>0.33333333333333331</v>
      </c>
      <c r="BD311">
        <v>0.70193929173693081</v>
      </c>
      <c r="BE311">
        <v>4</v>
      </c>
      <c r="BF311">
        <v>0.61159593404534385</v>
      </c>
      <c r="BG311">
        <v>0.6</v>
      </c>
      <c r="BH311" t="s">
        <v>86</v>
      </c>
      <c r="BI311">
        <v>0.61</v>
      </c>
      <c r="BJ311" t="s">
        <v>86</v>
      </c>
      <c r="BK311" s="2">
        <f t="shared" si="9"/>
        <v>-1.0000000000000009E-2</v>
      </c>
      <c r="BL311" t="b">
        <f t="shared" si="10"/>
        <v>1</v>
      </c>
    </row>
    <row r="312" spans="1:64" x14ac:dyDescent="0.35">
      <c r="A312" t="s">
        <v>871</v>
      </c>
      <c r="B312" t="s">
        <v>867</v>
      </c>
      <c r="C312">
        <v>2019</v>
      </c>
      <c r="D312" t="s">
        <v>868</v>
      </c>
      <c r="E312" t="s">
        <v>869</v>
      </c>
      <c r="F312" t="s">
        <v>66</v>
      </c>
      <c r="G312" t="s">
        <v>101</v>
      </c>
      <c r="H312" t="s">
        <v>170</v>
      </c>
      <c r="I312" t="s">
        <v>870</v>
      </c>
      <c r="J312" t="s">
        <v>70</v>
      </c>
      <c r="L312">
        <v>1</v>
      </c>
      <c r="M312" t="b">
        <v>0</v>
      </c>
      <c r="N312">
        <v>1</v>
      </c>
      <c r="O312">
        <v>1</v>
      </c>
      <c r="P312">
        <v>3</v>
      </c>
      <c r="Q312">
        <v>2</v>
      </c>
      <c r="R312">
        <v>1</v>
      </c>
      <c r="S312">
        <v>4</v>
      </c>
      <c r="T312">
        <v>16</v>
      </c>
      <c r="U312">
        <v>278</v>
      </c>
      <c r="V312">
        <v>67</v>
      </c>
      <c r="W312">
        <v>12</v>
      </c>
      <c r="X312">
        <v>5.583333333333333</v>
      </c>
      <c r="Y312">
        <v>3</v>
      </c>
      <c r="Z312">
        <v>11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>
        <v>6</v>
      </c>
      <c r="AH312">
        <v>1</v>
      </c>
      <c r="AI312">
        <v>2</v>
      </c>
      <c r="AJ312">
        <v>1</v>
      </c>
      <c r="AK312">
        <v>1</v>
      </c>
      <c r="AL312">
        <v>2</v>
      </c>
      <c r="AM312">
        <v>3</v>
      </c>
      <c r="AN312">
        <v>5</v>
      </c>
      <c r="AO312">
        <v>17</v>
      </c>
      <c r="AP312">
        <v>3</v>
      </c>
      <c r="AQ312">
        <v>11</v>
      </c>
      <c r="AR312">
        <v>3.9568345323740997E-2</v>
      </c>
      <c r="AS312">
        <v>0</v>
      </c>
      <c r="AT312">
        <v>0</v>
      </c>
      <c r="AU312">
        <v>2.1582733812949641E-2</v>
      </c>
      <c r="AV312">
        <v>7.1942446043165471E-3</v>
      </c>
      <c r="AW312">
        <v>1.0791366906474821E-2</v>
      </c>
      <c r="AX312">
        <v>6.1151079136690649E-2</v>
      </c>
      <c r="AY312">
        <v>3.9568345323740997E-2</v>
      </c>
      <c r="AZ312">
        <v>5.0359712230215833E-2</v>
      </c>
      <c r="BA312">
        <v>0.5</v>
      </c>
      <c r="BB312">
        <v>0.76388888888888884</v>
      </c>
      <c r="BC312">
        <v>0.2</v>
      </c>
      <c r="BD312">
        <v>0.65647482014388481</v>
      </c>
      <c r="BE312">
        <v>4</v>
      </c>
      <c r="BF312">
        <v>0.5300909272581934</v>
      </c>
      <c r="BG312">
        <v>0.52</v>
      </c>
      <c r="BH312" t="s">
        <v>71</v>
      </c>
      <c r="BI312">
        <v>0.53</v>
      </c>
      <c r="BJ312" t="s">
        <v>71</v>
      </c>
      <c r="BK312" s="2">
        <f t="shared" si="9"/>
        <v>-1.0000000000000009E-2</v>
      </c>
      <c r="BL312" t="b">
        <f t="shared" si="10"/>
        <v>1</v>
      </c>
    </row>
    <row r="313" spans="1:64" x14ac:dyDescent="0.35">
      <c r="A313" t="s">
        <v>872</v>
      </c>
      <c r="B313" t="s">
        <v>873</v>
      </c>
      <c r="C313">
        <v>2014</v>
      </c>
      <c r="D313" t="s">
        <v>874</v>
      </c>
      <c r="E313" t="s">
        <v>875</v>
      </c>
      <c r="F313" t="s">
        <v>66</v>
      </c>
      <c r="G313" t="s">
        <v>101</v>
      </c>
      <c r="H313" t="s">
        <v>102</v>
      </c>
      <c r="I313" t="s">
        <v>876</v>
      </c>
      <c r="J313" t="s">
        <v>70</v>
      </c>
      <c r="L313">
        <v>1</v>
      </c>
      <c r="M313" t="b">
        <v>0</v>
      </c>
      <c r="N313">
        <v>1</v>
      </c>
      <c r="O313">
        <v>1</v>
      </c>
      <c r="P313">
        <v>13</v>
      </c>
      <c r="Q313">
        <v>5</v>
      </c>
      <c r="R313">
        <v>8</v>
      </c>
      <c r="S313">
        <v>5</v>
      </c>
      <c r="T313">
        <v>34</v>
      </c>
      <c r="U313">
        <v>675</v>
      </c>
      <c r="V313">
        <v>156</v>
      </c>
      <c r="W313">
        <v>26</v>
      </c>
      <c r="X313">
        <v>6</v>
      </c>
      <c r="Y313">
        <v>7</v>
      </c>
      <c r="Z313">
        <v>154</v>
      </c>
      <c r="AA313">
        <v>3</v>
      </c>
      <c r="AB313">
        <v>14</v>
      </c>
      <c r="AC313">
        <v>2</v>
      </c>
      <c r="AD313">
        <v>2</v>
      </c>
      <c r="AE313">
        <v>31</v>
      </c>
      <c r="AF313">
        <v>1</v>
      </c>
      <c r="AG313">
        <v>4</v>
      </c>
      <c r="AH313">
        <v>2</v>
      </c>
      <c r="AI313">
        <v>52</v>
      </c>
      <c r="AJ313">
        <v>2</v>
      </c>
      <c r="AK313">
        <v>9</v>
      </c>
      <c r="AL313">
        <v>4</v>
      </c>
      <c r="AM313">
        <v>61</v>
      </c>
      <c r="AN313">
        <v>11</v>
      </c>
      <c r="AO313">
        <v>172</v>
      </c>
      <c r="AP313">
        <v>12</v>
      </c>
      <c r="AQ313">
        <v>199</v>
      </c>
      <c r="AR313">
        <v>0.22814814814814821</v>
      </c>
      <c r="AS313">
        <v>2.074074074074074E-2</v>
      </c>
      <c r="AT313">
        <v>4.5925925925925933E-2</v>
      </c>
      <c r="AU313">
        <v>5.9259259259259256E-3</v>
      </c>
      <c r="AV313">
        <v>7.7037037037037043E-2</v>
      </c>
      <c r="AW313">
        <v>9.0370370370370365E-2</v>
      </c>
      <c r="AX313">
        <v>0.25481481481481483</v>
      </c>
      <c r="AY313">
        <v>0.29481481481481481</v>
      </c>
      <c r="AZ313">
        <v>0.16444444444444439</v>
      </c>
      <c r="BA313">
        <v>0.66666666666666663</v>
      </c>
      <c r="BB313">
        <v>0.83333333333333337</v>
      </c>
      <c r="BC313">
        <v>0.8</v>
      </c>
      <c r="BD313">
        <v>0.72777777777777775</v>
      </c>
      <c r="BE313">
        <v>4</v>
      </c>
      <c r="BF313">
        <v>0.75694444444444442</v>
      </c>
      <c r="BG313">
        <v>0.76</v>
      </c>
      <c r="BH313" t="s">
        <v>86</v>
      </c>
      <c r="BI313">
        <v>0.76</v>
      </c>
      <c r="BJ313" t="s">
        <v>86</v>
      </c>
      <c r="BK313" s="2">
        <f t="shared" si="9"/>
        <v>0</v>
      </c>
      <c r="BL313" t="b">
        <f t="shared" si="10"/>
        <v>1</v>
      </c>
    </row>
    <row r="314" spans="1:64" x14ac:dyDescent="0.35">
      <c r="A314" t="s">
        <v>877</v>
      </c>
      <c r="B314" t="s">
        <v>873</v>
      </c>
      <c r="C314">
        <v>2022</v>
      </c>
      <c r="D314" t="s">
        <v>874</v>
      </c>
      <c r="E314" t="s">
        <v>875</v>
      </c>
      <c r="F314" t="s">
        <v>66</v>
      </c>
      <c r="G314" t="s">
        <v>101</v>
      </c>
      <c r="H314" t="s">
        <v>102</v>
      </c>
      <c r="I314" t="s">
        <v>876</v>
      </c>
      <c r="J314" t="s">
        <v>70</v>
      </c>
      <c r="L314">
        <v>1</v>
      </c>
      <c r="M314" t="b">
        <v>0</v>
      </c>
      <c r="N314">
        <v>3</v>
      </c>
      <c r="O314">
        <v>2</v>
      </c>
      <c r="P314">
        <v>2</v>
      </c>
      <c r="Q314">
        <v>2</v>
      </c>
      <c r="R314">
        <v>0</v>
      </c>
      <c r="S314">
        <v>4</v>
      </c>
      <c r="T314">
        <v>20</v>
      </c>
      <c r="U314">
        <v>524</v>
      </c>
      <c r="V314">
        <v>71</v>
      </c>
      <c r="W314">
        <v>17</v>
      </c>
      <c r="X314">
        <v>4.1764705882352944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</v>
      </c>
      <c r="AE314">
        <v>30</v>
      </c>
      <c r="AF314">
        <v>1</v>
      </c>
      <c r="AG314">
        <v>11</v>
      </c>
      <c r="AH314">
        <v>3</v>
      </c>
      <c r="AI314">
        <v>291</v>
      </c>
      <c r="AJ314">
        <v>2</v>
      </c>
      <c r="AK314">
        <v>97</v>
      </c>
      <c r="AL314">
        <v>5</v>
      </c>
      <c r="AM314">
        <v>388</v>
      </c>
      <c r="AN314">
        <v>1</v>
      </c>
      <c r="AO314">
        <v>11</v>
      </c>
      <c r="AP314">
        <v>2</v>
      </c>
      <c r="AQ314">
        <v>30</v>
      </c>
      <c r="AR314">
        <v>0</v>
      </c>
      <c r="AS314">
        <v>0</v>
      </c>
      <c r="AT314">
        <v>5.7251908396946563E-2</v>
      </c>
      <c r="AU314">
        <v>2.0992366412213741E-2</v>
      </c>
      <c r="AV314">
        <v>0.55534351145038163</v>
      </c>
      <c r="AW314">
        <v>0.74045801526717558</v>
      </c>
      <c r="AX314">
        <v>2.0992366412213741E-2</v>
      </c>
      <c r="AY314">
        <v>5.7251908396946563E-2</v>
      </c>
      <c r="AZ314">
        <v>-0.71946564885496189</v>
      </c>
      <c r="BA314">
        <v>0.5</v>
      </c>
      <c r="BB314">
        <v>0.52941176470588236</v>
      </c>
      <c r="BC314">
        <v>0.1333333333333333</v>
      </c>
      <c r="BD314">
        <v>0.1753339694656488</v>
      </c>
      <c r="BE314">
        <v>4</v>
      </c>
      <c r="BF314">
        <v>0.3345197668762161</v>
      </c>
      <c r="BG314">
        <v>0.42</v>
      </c>
      <c r="BH314" t="s">
        <v>71</v>
      </c>
      <c r="BI314">
        <v>0.33</v>
      </c>
      <c r="BJ314" t="s">
        <v>104</v>
      </c>
      <c r="BK314" s="2">
        <f t="shared" si="9"/>
        <v>8.9999999999999969E-2</v>
      </c>
      <c r="BL314" t="b">
        <f t="shared" si="10"/>
        <v>0</v>
      </c>
    </row>
    <row r="315" spans="1:64" x14ac:dyDescent="0.35">
      <c r="A315" t="s">
        <v>878</v>
      </c>
      <c r="B315" t="s">
        <v>879</v>
      </c>
      <c r="C315">
        <v>2014</v>
      </c>
      <c r="D315" t="s">
        <v>880</v>
      </c>
      <c r="E315" t="s">
        <v>881</v>
      </c>
      <c r="F315" t="s">
        <v>66</v>
      </c>
      <c r="G315" t="s">
        <v>101</v>
      </c>
      <c r="H315" t="s">
        <v>102</v>
      </c>
      <c r="I315" t="s">
        <v>882</v>
      </c>
      <c r="J315" t="s">
        <v>70</v>
      </c>
      <c r="L315">
        <v>2</v>
      </c>
      <c r="M315" t="b">
        <v>0</v>
      </c>
      <c r="N315">
        <v>2</v>
      </c>
      <c r="O315">
        <v>1</v>
      </c>
      <c r="P315">
        <v>4</v>
      </c>
      <c r="Q315">
        <v>2</v>
      </c>
      <c r="R315">
        <v>2</v>
      </c>
      <c r="S315">
        <v>4</v>
      </c>
      <c r="T315">
        <v>17</v>
      </c>
      <c r="U315">
        <v>314</v>
      </c>
      <c r="V315">
        <v>71</v>
      </c>
      <c r="W315">
        <v>14</v>
      </c>
      <c r="X315">
        <v>5.0714285714285712</v>
      </c>
      <c r="Y315">
        <v>4</v>
      </c>
      <c r="Z315">
        <v>228</v>
      </c>
      <c r="AA315">
        <v>0</v>
      </c>
      <c r="AB315">
        <v>0</v>
      </c>
      <c r="AC315">
        <v>1</v>
      </c>
      <c r="AD315">
        <v>1</v>
      </c>
      <c r="AE315">
        <v>8</v>
      </c>
      <c r="AF315">
        <v>1</v>
      </c>
      <c r="AG315">
        <v>4</v>
      </c>
      <c r="AH315">
        <v>1</v>
      </c>
      <c r="AI315">
        <v>4</v>
      </c>
      <c r="AJ315">
        <v>1</v>
      </c>
      <c r="AK315">
        <v>3</v>
      </c>
      <c r="AL315">
        <v>2</v>
      </c>
      <c r="AM315">
        <v>7</v>
      </c>
      <c r="AN315">
        <v>5</v>
      </c>
      <c r="AO315">
        <v>232</v>
      </c>
      <c r="AP315">
        <v>5</v>
      </c>
      <c r="AQ315">
        <v>236</v>
      </c>
      <c r="AR315">
        <v>0.72611464968152861</v>
      </c>
      <c r="AS315">
        <v>0</v>
      </c>
      <c r="AT315">
        <v>2.5477707006369432E-2</v>
      </c>
      <c r="AU315">
        <v>1.2738853503184711E-2</v>
      </c>
      <c r="AV315">
        <v>1.2738853503184711E-2</v>
      </c>
      <c r="AW315">
        <v>2.229299363057325E-2</v>
      </c>
      <c r="AX315">
        <v>0.73885350318471332</v>
      </c>
      <c r="AY315">
        <v>0.75159235668789814</v>
      </c>
      <c r="AZ315">
        <v>0.71656050955414008</v>
      </c>
      <c r="BA315">
        <v>0.5</v>
      </c>
      <c r="BB315">
        <v>0.67857142857142849</v>
      </c>
      <c r="BC315">
        <v>0.33333333333333331</v>
      </c>
      <c r="BD315">
        <v>1.0728503184713369</v>
      </c>
      <c r="BE315">
        <v>4</v>
      </c>
      <c r="BF315">
        <v>0.64618877009402476</v>
      </c>
      <c r="BG315">
        <v>0.65</v>
      </c>
      <c r="BH315" t="s">
        <v>86</v>
      </c>
      <c r="BI315">
        <v>0.65</v>
      </c>
      <c r="BJ315" t="s">
        <v>86</v>
      </c>
      <c r="BK315" s="2">
        <f t="shared" si="9"/>
        <v>0</v>
      </c>
      <c r="BL315" t="b">
        <f t="shared" si="10"/>
        <v>1</v>
      </c>
    </row>
    <row r="316" spans="1:64" x14ac:dyDescent="0.35">
      <c r="A316" t="s">
        <v>883</v>
      </c>
      <c r="B316" t="s">
        <v>884</v>
      </c>
      <c r="C316">
        <v>2014</v>
      </c>
      <c r="D316" t="s">
        <v>885</v>
      </c>
      <c r="E316" t="s">
        <v>886</v>
      </c>
      <c r="F316" t="s">
        <v>66</v>
      </c>
      <c r="G316" t="s">
        <v>101</v>
      </c>
      <c r="H316" t="s">
        <v>102</v>
      </c>
      <c r="I316" t="s">
        <v>887</v>
      </c>
      <c r="J316" t="s">
        <v>70</v>
      </c>
      <c r="L316">
        <v>1</v>
      </c>
      <c r="M316" t="b">
        <v>0</v>
      </c>
      <c r="N316">
        <v>2</v>
      </c>
      <c r="O316">
        <v>3</v>
      </c>
      <c r="P316">
        <v>6</v>
      </c>
      <c r="Q316">
        <v>2</v>
      </c>
      <c r="R316">
        <v>4</v>
      </c>
      <c r="S316">
        <v>5</v>
      </c>
      <c r="T316">
        <v>25</v>
      </c>
      <c r="U316">
        <v>437</v>
      </c>
      <c r="V316">
        <v>97</v>
      </c>
      <c r="W316">
        <v>18</v>
      </c>
      <c r="X316">
        <v>5.3888888888888893</v>
      </c>
      <c r="Y316">
        <v>6</v>
      </c>
      <c r="Z316">
        <v>108</v>
      </c>
      <c r="AA316">
        <v>0</v>
      </c>
      <c r="AB316">
        <v>0</v>
      </c>
      <c r="AC316">
        <v>4</v>
      </c>
      <c r="AD316">
        <v>4</v>
      </c>
      <c r="AE316">
        <v>76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6</v>
      </c>
      <c r="AO316">
        <v>108</v>
      </c>
      <c r="AP316">
        <v>10</v>
      </c>
      <c r="AQ316">
        <v>184</v>
      </c>
      <c r="AR316">
        <v>0.24713958810068651</v>
      </c>
      <c r="AS316">
        <v>0</v>
      </c>
      <c r="AT316">
        <v>0.17391304347826089</v>
      </c>
      <c r="AU316">
        <v>0</v>
      </c>
      <c r="AV316">
        <v>0</v>
      </c>
      <c r="AW316">
        <v>0</v>
      </c>
      <c r="AX316">
        <v>0.24713958810068651</v>
      </c>
      <c r="AY316">
        <v>0.42105263157894729</v>
      </c>
      <c r="AZ316">
        <v>0.24713958810068651</v>
      </c>
      <c r="BA316">
        <v>0.66666666666666663</v>
      </c>
      <c r="BB316">
        <v>0.73148148148148151</v>
      </c>
      <c r="BC316">
        <v>0.66666666666666663</v>
      </c>
      <c r="BD316">
        <v>0.77946224256292906</v>
      </c>
      <c r="BE316">
        <v>4</v>
      </c>
      <c r="BF316">
        <v>0.71106926434443596</v>
      </c>
      <c r="BG316">
        <v>0.7</v>
      </c>
      <c r="BH316" t="s">
        <v>86</v>
      </c>
      <c r="BI316">
        <v>0.71</v>
      </c>
      <c r="BJ316" t="s">
        <v>86</v>
      </c>
      <c r="BK316" s="2">
        <f t="shared" si="9"/>
        <v>-1.0000000000000009E-2</v>
      </c>
      <c r="BL316" t="b">
        <f t="shared" si="10"/>
        <v>1</v>
      </c>
    </row>
    <row r="317" spans="1:64" x14ac:dyDescent="0.35">
      <c r="A317" t="s">
        <v>888</v>
      </c>
      <c r="B317" t="s">
        <v>889</v>
      </c>
      <c r="C317">
        <v>2014</v>
      </c>
      <c r="D317" t="s">
        <v>890</v>
      </c>
      <c r="E317" t="s">
        <v>891</v>
      </c>
      <c r="F317" t="s">
        <v>66</v>
      </c>
      <c r="G317" t="s">
        <v>101</v>
      </c>
      <c r="H317" t="s">
        <v>195</v>
      </c>
      <c r="I317" t="s">
        <v>892</v>
      </c>
      <c r="J317" t="s">
        <v>70</v>
      </c>
      <c r="L317">
        <v>1</v>
      </c>
      <c r="M317" t="b">
        <v>0</v>
      </c>
      <c r="N317">
        <v>1</v>
      </c>
      <c r="O317">
        <v>1</v>
      </c>
      <c r="P317">
        <v>6</v>
      </c>
      <c r="Q317">
        <v>3</v>
      </c>
      <c r="R317">
        <v>3</v>
      </c>
      <c r="S317">
        <v>4</v>
      </c>
      <c r="T317">
        <v>31</v>
      </c>
      <c r="U317">
        <v>662</v>
      </c>
      <c r="V317">
        <v>101</v>
      </c>
      <c r="W317">
        <v>20</v>
      </c>
      <c r="X317">
        <v>5.05</v>
      </c>
      <c r="Y317">
        <v>3</v>
      </c>
      <c r="Z317">
        <v>74</v>
      </c>
      <c r="AA317">
        <v>0</v>
      </c>
      <c r="AB317">
        <v>0</v>
      </c>
      <c r="AC317">
        <v>3</v>
      </c>
      <c r="AD317">
        <v>3</v>
      </c>
      <c r="AE317">
        <v>116</v>
      </c>
      <c r="AF317">
        <v>1</v>
      </c>
      <c r="AG317">
        <v>16</v>
      </c>
      <c r="AH317">
        <v>0</v>
      </c>
      <c r="AI317">
        <v>0</v>
      </c>
      <c r="AJ317">
        <v>1</v>
      </c>
      <c r="AK317">
        <v>9</v>
      </c>
      <c r="AL317">
        <v>1</v>
      </c>
      <c r="AM317">
        <v>9</v>
      </c>
      <c r="AN317">
        <v>4</v>
      </c>
      <c r="AO317">
        <v>90</v>
      </c>
      <c r="AP317">
        <v>6</v>
      </c>
      <c r="AQ317">
        <v>190</v>
      </c>
      <c r="AR317">
        <v>0.1117824773413897</v>
      </c>
      <c r="AS317">
        <v>0</v>
      </c>
      <c r="AT317">
        <v>0.17522658610271899</v>
      </c>
      <c r="AU317">
        <v>2.4169184290030211E-2</v>
      </c>
      <c r="AV317">
        <v>0</v>
      </c>
      <c r="AW317">
        <v>1.359516616314199E-2</v>
      </c>
      <c r="AX317">
        <v>0.13595166163141989</v>
      </c>
      <c r="AY317">
        <v>0.28700906344410881</v>
      </c>
      <c r="AZ317">
        <v>0.122356495468278</v>
      </c>
      <c r="BA317">
        <v>0.5</v>
      </c>
      <c r="BB317">
        <v>0.67499999999999993</v>
      </c>
      <c r="BC317">
        <v>0.4</v>
      </c>
      <c r="BD317">
        <v>0.70147280966767378</v>
      </c>
      <c r="BE317">
        <v>4</v>
      </c>
      <c r="BF317">
        <v>0.56911820241691846</v>
      </c>
      <c r="BG317">
        <v>0.56999999999999995</v>
      </c>
      <c r="BH317" t="s">
        <v>71</v>
      </c>
      <c r="BI317">
        <v>0.56999999999999995</v>
      </c>
      <c r="BJ317" t="s">
        <v>71</v>
      </c>
      <c r="BK317" s="2">
        <f t="shared" si="9"/>
        <v>0</v>
      </c>
      <c r="BL317" t="b">
        <f t="shared" si="10"/>
        <v>1</v>
      </c>
    </row>
    <row r="318" spans="1:64" x14ac:dyDescent="0.35">
      <c r="A318" t="s">
        <v>893</v>
      </c>
      <c r="B318" t="s">
        <v>889</v>
      </c>
      <c r="C318">
        <v>2018</v>
      </c>
      <c r="D318" t="s">
        <v>890</v>
      </c>
      <c r="E318" t="s">
        <v>891</v>
      </c>
      <c r="F318" t="s">
        <v>66</v>
      </c>
      <c r="G318" t="s">
        <v>101</v>
      </c>
      <c r="H318" t="s">
        <v>195</v>
      </c>
      <c r="I318" t="s">
        <v>892</v>
      </c>
      <c r="J318" t="s">
        <v>70</v>
      </c>
      <c r="L318">
        <v>1</v>
      </c>
      <c r="M318" t="b">
        <v>0</v>
      </c>
      <c r="N318">
        <v>1</v>
      </c>
      <c r="O318">
        <v>1</v>
      </c>
      <c r="P318">
        <v>4</v>
      </c>
      <c r="Q318">
        <v>4</v>
      </c>
      <c r="R318">
        <v>0</v>
      </c>
      <c r="S318">
        <v>4</v>
      </c>
      <c r="T318">
        <v>19</v>
      </c>
      <c r="U318">
        <v>251</v>
      </c>
      <c r="V318">
        <v>79</v>
      </c>
      <c r="W318">
        <v>15</v>
      </c>
      <c r="X318">
        <v>5.2666666666666666</v>
      </c>
      <c r="Y318">
        <v>4</v>
      </c>
      <c r="Z318">
        <v>80</v>
      </c>
      <c r="AA318">
        <v>0</v>
      </c>
      <c r="AB318">
        <v>0</v>
      </c>
      <c r="AC318">
        <v>2</v>
      </c>
      <c r="AD318">
        <v>2</v>
      </c>
      <c r="AE318">
        <v>40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3</v>
      </c>
      <c r="AL318">
        <v>1</v>
      </c>
      <c r="AM318">
        <v>3</v>
      </c>
      <c r="AN318">
        <v>4</v>
      </c>
      <c r="AO318">
        <v>80</v>
      </c>
      <c r="AP318">
        <v>6</v>
      </c>
      <c r="AQ318">
        <v>120</v>
      </c>
      <c r="AR318">
        <v>0.31872509960159362</v>
      </c>
      <c r="AS318">
        <v>0</v>
      </c>
      <c r="AT318">
        <v>0.15936254980079681</v>
      </c>
      <c r="AU318">
        <v>0</v>
      </c>
      <c r="AV318">
        <v>0</v>
      </c>
      <c r="AW318">
        <v>1.1952191235059761E-2</v>
      </c>
      <c r="AX318">
        <v>0.31872509960159362</v>
      </c>
      <c r="AY318">
        <v>0.47808764940239051</v>
      </c>
      <c r="AZ318">
        <v>0.30677290836653393</v>
      </c>
      <c r="BA318">
        <v>0.5</v>
      </c>
      <c r="BB318">
        <v>0.71111111111111114</v>
      </c>
      <c r="BC318">
        <v>0.4</v>
      </c>
      <c r="BD318">
        <v>0.81673306772908372</v>
      </c>
      <c r="BE318">
        <v>4</v>
      </c>
      <c r="BF318">
        <v>0.60696104471004875</v>
      </c>
      <c r="BG318">
        <v>0.61</v>
      </c>
      <c r="BH318" t="s">
        <v>86</v>
      </c>
      <c r="BI318">
        <v>0.61</v>
      </c>
      <c r="BJ318" t="s">
        <v>86</v>
      </c>
      <c r="BK318" s="2">
        <f t="shared" si="9"/>
        <v>0</v>
      </c>
      <c r="BL318" t="b">
        <f t="shared" si="10"/>
        <v>1</v>
      </c>
    </row>
    <row r="319" spans="1:64" x14ac:dyDescent="0.35">
      <c r="A319" t="s">
        <v>894</v>
      </c>
      <c r="B319" t="s">
        <v>895</v>
      </c>
      <c r="C319">
        <v>2016</v>
      </c>
      <c r="D319" t="s">
        <v>896</v>
      </c>
      <c r="E319" t="s">
        <v>897</v>
      </c>
      <c r="F319" t="s">
        <v>66</v>
      </c>
      <c r="G319" t="s">
        <v>144</v>
      </c>
      <c r="H319" t="s">
        <v>898</v>
      </c>
      <c r="I319" t="s">
        <v>899</v>
      </c>
      <c r="J319" t="s">
        <v>70</v>
      </c>
      <c r="L319">
        <v>1</v>
      </c>
      <c r="M319" t="b">
        <v>0</v>
      </c>
      <c r="N319">
        <v>1</v>
      </c>
      <c r="O319">
        <v>3</v>
      </c>
      <c r="P319">
        <v>10</v>
      </c>
      <c r="Q319">
        <v>3</v>
      </c>
      <c r="R319">
        <v>7</v>
      </c>
      <c r="S319">
        <v>6</v>
      </c>
      <c r="T319">
        <v>25</v>
      </c>
      <c r="U319">
        <v>978</v>
      </c>
      <c r="V319">
        <v>128</v>
      </c>
      <c r="W319">
        <v>21</v>
      </c>
      <c r="X319">
        <v>6.0952380952380949</v>
      </c>
      <c r="Y319">
        <v>5</v>
      </c>
      <c r="Z319">
        <v>85</v>
      </c>
      <c r="AA319">
        <v>2</v>
      </c>
      <c r="AB319">
        <v>65</v>
      </c>
      <c r="AC319">
        <v>2</v>
      </c>
      <c r="AD319">
        <v>2</v>
      </c>
      <c r="AE319">
        <v>454</v>
      </c>
      <c r="AF319">
        <v>1</v>
      </c>
      <c r="AG319">
        <v>8</v>
      </c>
      <c r="AH319">
        <v>0</v>
      </c>
      <c r="AI319">
        <v>0</v>
      </c>
      <c r="AJ319">
        <v>3</v>
      </c>
      <c r="AK319">
        <v>21</v>
      </c>
      <c r="AL319">
        <v>3</v>
      </c>
      <c r="AM319">
        <v>21</v>
      </c>
      <c r="AN319">
        <v>8</v>
      </c>
      <c r="AO319">
        <v>158</v>
      </c>
      <c r="AP319">
        <v>9</v>
      </c>
      <c r="AQ319">
        <v>604</v>
      </c>
      <c r="AR319">
        <v>8.6912065439672795E-2</v>
      </c>
      <c r="AS319">
        <v>6.646216768916155E-2</v>
      </c>
      <c r="AT319">
        <v>0.46421267893660528</v>
      </c>
      <c r="AU319">
        <v>8.1799591002044997E-3</v>
      </c>
      <c r="AV319">
        <v>0</v>
      </c>
      <c r="AW319">
        <v>2.1472392638036811E-2</v>
      </c>
      <c r="AX319">
        <v>0.16155419222903891</v>
      </c>
      <c r="AY319">
        <v>0.6175869120654397</v>
      </c>
      <c r="AZ319">
        <v>0.140081799591002</v>
      </c>
      <c r="BA319">
        <v>0.83333333333333337</v>
      </c>
      <c r="BB319">
        <v>0.84920634920634919</v>
      </c>
      <c r="BC319">
        <v>0.6</v>
      </c>
      <c r="BD319">
        <v>0.71255112474437621</v>
      </c>
      <c r="BE319">
        <v>4</v>
      </c>
      <c r="BF319">
        <v>0.74877270182101463</v>
      </c>
      <c r="BG319">
        <v>0.75</v>
      </c>
      <c r="BH319" t="s">
        <v>86</v>
      </c>
      <c r="BI319">
        <v>0.75</v>
      </c>
      <c r="BJ319" t="s">
        <v>86</v>
      </c>
      <c r="BK319" s="2">
        <f t="shared" si="9"/>
        <v>0</v>
      </c>
      <c r="BL319" t="b">
        <f t="shared" si="10"/>
        <v>1</v>
      </c>
    </row>
    <row r="320" spans="1:64" x14ac:dyDescent="0.35">
      <c r="A320" t="s">
        <v>900</v>
      </c>
      <c r="B320" t="s">
        <v>895</v>
      </c>
      <c r="C320">
        <v>2019</v>
      </c>
      <c r="D320" t="s">
        <v>896</v>
      </c>
      <c r="E320" t="s">
        <v>897</v>
      </c>
      <c r="F320" t="s">
        <v>66</v>
      </c>
      <c r="G320" t="s">
        <v>144</v>
      </c>
      <c r="H320" t="s">
        <v>898</v>
      </c>
      <c r="I320" t="s">
        <v>899</v>
      </c>
      <c r="J320" t="s">
        <v>70</v>
      </c>
      <c r="L320">
        <v>1</v>
      </c>
      <c r="M320" t="b">
        <v>0</v>
      </c>
      <c r="N320">
        <v>1</v>
      </c>
      <c r="O320">
        <v>2</v>
      </c>
      <c r="P320">
        <v>12</v>
      </c>
      <c r="Q320">
        <v>4</v>
      </c>
      <c r="R320">
        <v>8</v>
      </c>
      <c r="S320">
        <v>6</v>
      </c>
      <c r="T320">
        <v>30</v>
      </c>
      <c r="U320">
        <v>2071</v>
      </c>
      <c r="V320">
        <v>129</v>
      </c>
      <c r="W320">
        <v>22</v>
      </c>
      <c r="X320">
        <v>5.8636363636363633</v>
      </c>
      <c r="Y320">
        <v>3</v>
      </c>
      <c r="Z320">
        <v>238</v>
      </c>
      <c r="AA320">
        <v>2</v>
      </c>
      <c r="AB320">
        <v>38</v>
      </c>
      <c r="AC320">
        <v>6</v>
      </c>
      <c r="AD320">
        <v>6</v>
      </c>
      <c r="AE320">
        <v>755</v>
      </c>
      <c r="AF320">
        <v>0</v>
      </c>
      <c r="AG320">
        <v>0</v>
      </c>
      <c r="AH320">
        <v>1</v>
      </c>
      <c r="AI320">
        <v>13</v>
      </c>
      <c r="AJ320">
        <v>1</v>
      </c>
      <c r="AK320">
        <v>7</v>
      </c>
      <c r="AL320">
        <v>2</v>
      </c>
      <c r="AM320">
        <v>20</v>
      </c>
      <c r="AN320">
        <v>5</v>
      </c>
      <c r="AO320">
        <v>276</v>
      </c>
      <c r="AP320">
        <v>11</v>
      </c>
      <c r="AQ320">
        <v>1031</v>
      </c>
      <c r="AR320">
        <v>0.1149203283437953</v>
      </c>
      <c r="AS320">
        <v>1.834862385321101E-2</v>
      </c>
      <c r="AT320">
        <v>0.36455818445195559</v>
      </c>
      <c r="AU320">
        <v>0</v>
      </c>
      <c r="AV320">
        <v>6.2771607918879766E-3</v>
      </c>
      <c r="AW320">
        <v>9.6571704490584255E-3</v>
      </c>
      <c r="AX320">
        <v>0.1332689521970063</v>
      </c>
      <c r="AY320">
        <v>0.49782713664896178</v>
      </c>
      <c r="AZ320">
        <v>0.1236117817479478</v>
      </c>
      <c r="BA320">
        <v>0.83333333333333337</v>
      </c>
      <c r="BB320">
        <v>0.81060606060606055</v>
      </c>
      <c r="BC320">
        <v>0.73333333333333328</v>
      </c>
      <c r="BD320">
        <v>0.70225736359246738</v>
      </c>
      <c r="BE320">
        <v>4</v>
      </c>
      <c r="BF320">
        <v>0.76988252271629865</v>
      </c>
      <c r="BG320">
        <v>0.77</v>
      </c>
      <c r="BH320" t="s">
        <v>86</v>
      </c>
      <c r="BI320">
        <v>0.77</v>
      </c>
      <c r="BJ320" t="s">
        <v>86</v>
      </c>
      <c r="BK320" s="2">
        <f t="shared" si="9"/>
        <v>0</v>
      </c>
      <c r="BL320" t="b">
        <f t="shared" si="10"/>
        <v>1</v>
      </c>
    </row>
    <row r="321" spans="1:64" x14ac:dyDescent="0.35">
      <c r="A321" t="s">
        <v>901</v>
      </c>
      <c r="B321" t="s">
        <v>902</v>
      </c>
      <c r="C321">
        <v>2014</v>
      </c>
      <c r="D321" t="s">
        <v>903</v>
      </c>
      <c r="E321" t="s">
        <v>904</v>
      </c>
      <c r="F321" t="s">
        <v>66</v>
      </c>
      <c r="G321" t="s">
        <v>144</v>
      </c>
      <c r="H321" t="s">
        <v>144</v>
      </c>
      <c r="I321" t="s">
        <v>905</v>
      </c>
      <c r="J321" t="s">
        <v>70</v>
      </c>
      <c r="L321">
        <v>3</v>
      </c>
      <c r="M321" t="b">
        <v>0</v>
      </c>
      <c r="N321">
        <v>1</v>
      </c>
      <c r="O321">
        <v>3</v>
      </c>
      <c r="P321">
        <v>11</v>
      </c>
      <c r="Q321">
        <v>4</v>
      </c>
      <c r="R321">
        <v>7</v>
      </c>
      <c r="S321">
        <v>6</v>
      </c>
      <c r="T321">
        <v>35</v>
      </c>
      <c r="U321">
        <v>710</v>
      </c>
      <c r="V321">
        <v>182</v>
      </c>
      <c r="W321">
        <v>30</v>
      </c>
      <c r="X321">
        <v>6.0666666666666664</v>
      </c>
      <c r="Y321">
        <v>3</v>
      </c>
      <c r="Z321">
        <v>29</v>
      </c>
      <c r="AA321">
        <v>2</v>
      </c>
      <c r="AB321">
        <v>8</v>
      </c>
      <c r="AC321">
        <v>4</v>
      </c>
      <c r="AD321">
        <v>4</v>
      </c>
      <c r="AE321">
        <v>38</v>
      </c>
      <c r="AF321">
        <v>2</v>
      </c>
      <c r="AG321">
        <v>90</v>
      </c>
      <c r="AH321">
        <v>1</v>
      </c>
      <c r="AI321">
        <v>1</v>
      </c>
      <c r="AJ321">
        <v>2</v>
      </c>
      <c r="AK321">
        <v>8</v>
      </c>
      <c r="AL321">
        <v>3</v>
      </c>
      <c r="AM321">
        <v>9</v>
      </c>
      <c r="AN321">
        <v>7</v>
      </c>
      <c r="AO321">
        <v>127</v>
      </c>
      <c r="AP321">
        <v>9</v>
      </c>
      <c r="AQ321">
        <v>75</v>
      </c>
      <c r="AR321">
        <v>4.0845070422535212E-2</v>
      </c>
      <c r="AS321">
        <v>1.1267605633802819E-2</v>
      </c>
      <c r="AT321">
        <v>5.3521126760563378E-2</v>
      </c>
      <c r="AU321">
        <v>0.12676056338028169</v>
      </c>
      <c r="AV321">
        <v>1.408450704225352E-3</v>
      </c>
      <c r="AW321">
        <v>1.2676056338028169E-2</v>
      </c>
      <c r="AX321">
        <v>0.1788732394366197</v>
      </c>
      <c r="AY321">
        <v>0.10563380281690141</v>
      </c>
      <c r="AZ321">
        <v>0.16619718309859149</v>
      </c>
      <c r="BA321">
        <v>0.83333333333333337</v>
      </c>
      <c r="BB321">
        <v>0.84444444444444444</v>
      </c>
      <c r="BC321">
        <v>0.6</v>
      </c>
      <c r="BD321">
        <v>0.72887323943661964</v>
      </c>
      <c r="BE321">
        <v>4</v>
      </c>
      <c r="BF321">
        <v>0.75166275430359941</v>
      </c>
      <c r="BG321">
        <v>0.76</v>
      </c>
      <c r="BH321" t="s">
        <v>86</v>
      </c>
      <c r="BI321">
        <v>0.75</v>
      </c>
      <c r="BJ321" t="s">
        <v>86</v>
      </c>
      <c r="BK321" s="2">
        <f t="shared" si="9"/>
        <v>1.0000000000000009E-2</v>
      </c>
      <c r="BL321" t="b">
        <f t="shared" si="10"/>
        <v>1</v>
      </c>
    </row>
    <row r="322" spans="1:64" x14ac:dyDescent="0.35">
      <c r="A322" t="s">
        <v>906</v>
      </c>
      <c r="B322" t="s">
        <v>902</v>
      </c>
      <c r="C322">
        <v>2020</v>
      </c>
      <c r="D322" t="s">
        <v>903</v>
      </c>
      <c r="E322" t="s">
        <v>904</v>
      </c>
      <c r="F322" t="s">
        <v>66</v>
      </c>
      <c r="G322" t="s">
        <v>144</v>
      </c>
      <c r="H322" t="s">
        <v>144</v>
      </c>
      <c r="I322" t="s">
        <v>905</v>
      </c>
      <c r="J322" t="s">
        <v>70</v>
      </c>
      <c r="L322">
        <v>3</v>
      </c>
      <c r="M322" t="b">
        <v>0</v>
      </c>
      <c r="N322">
        <v>1</v>
      </c>
      <c r="O322">
        <v>1</v>
      </c>
      <c r="P322">
        <v>10</v>
      </c>
      <c r="Q322">
        <v>6</v>
      </c>
      <c r="R322">
        <v>4</v>
      </c>
      <c r="S322">
        <v>5</v>
      </c>
      <c r="T322">
        <v>45</v>
      </c>
      <c r="U322">
        <v>1691</v>
      </c>
      <c r="V322">
        <v>176</v>
      </c>
      <c r="W322">
        <v>32</v>
      </c>
      <c r="X322">
        <v>5.5</v>
      </c>
      <c r="Y322">
        <v>3</v>
      </c>
      <c r="Z322">
        <v>100</v>
      </c>
      <c r="AA322">
        <v>1</v>
      </c>
      <c r="AB322">
        <v>41</v>
      </c>
      <c r="AC322">
        <v>5</v>
      </c>
      <c r="AD322">
        <v>5</v>
      </c>
      <c r="AE322">
        <v>242</v>
      </c>
      <c r="AF322">
        <v>1</v>
      </c>
      <c r="AG322">
        <v>114</v>
      </c>
      <c r="AH322">
        <v>1</v>
      </c>
      <c r="AI322">
        <v>27</v>
      </c>
      <c r="AJ322">
        <v>3</v>
      </c>
      <c r="AK322">
        <v>25</v>
      </c>
      <c r="AL322">
        <v>5</v>
      </c>
      <c r="AM322">
        <v>90</v>
      </c>
      <c r="AN322">
        <v>5</v>
      </c>
      <c r="AO322">
        <v>255</v>
      </c>
      <c r="AP322">
        <v>9</v>
      </c>
      <c r="AQ322">
        <v>383</v>
      </c>
      <c r="AR322">
        <v>5.913660555884092E-2</v>
      </c>
      <c r="AS322">
        <v>2.4246008279124778E-2</v>
      </c>
      <c r="AT322">
        <v>0.14311058545239499</v>
      </c>
      <c r="AU322">
        <v>6.741573033707865E-2</v>
      </c>
      <c r="AV322">
        <v>1.5966883500887048E-2</v>
      </c>
      <c r="AW322">
        <v>5.322294500295683E-2</v>
      </c>
      <c r="AX322">
        <v>0.15079834417504431</v>
      </c>
      <c r="AY322">
        <v>0.22649319929036071</v>
      </c>
      <c r="AZ322">
        <v>9.7575399172087518E-2</v>
      </c>
      <c r="BA322">
        <v>0.66666666666666663</v>
      </c>
      <c r="BB322">
        <v>0.75</v>
      </c>
      <c r="BC322">
        <v>0.6</v>
      </c>
      <c r="BD322">
        <v>0.68598462448255471</v>
      </c>
      <c r="BE322">
        <v>4</v>
      </c>
      <c r="BF322">
        <v>0.67566282278730538</v>
      </c>
      <c r="BG322">
        <v>0.68</v>
      </c>
      <c r="BH322" t="s">
        <v>86</v>
      </c>
      <c r="BI322">
        <v>0.68</v>
      </c>
      <c r="BJ322" t="s">
        <v>86</v>
      </c>
      <c r="BK322" s="2">
        <f t="shared" si="9"/>
        <v>0</v>
      </c>
      <c r="BL322" t="b">
        <f t="shared" si="10"/>
        <v>1</v>
      </c>
    </row>
    <row r="323" spans="1:64" x14ac:dyDescent="0.35">
      <c r="A323" t="s">
        <v>907</v>
      </c>
      <c r="B323" t="s">
        <v>908</v>
      </c>
      <c r="C323">
        <v>2014</v>
      </c>
      <c r="D323" t="s">
        <v>909</v>
      </c>
      <c r="E323" t="s">
        <v>910</v>
      </c>
      <c r="F323" t="s">
        <v>66</v>
      </c>
      <c r="G323" t="s">
        <v>67</v>
      </c>
      <c r="H323" t="s">
        <v>84</v>
      </c>
      <c r="I323" t="s">
        <v>911</v>
      </c>
      <c r="J323" t="s">
        <v>70</v>
      </c>
      <c r="L323">
        <v>1</v>
      </c>
      <c r="M323" t="b">
        <v>0</v>
      </c>
      <c r="N323">
        <v>1</v>
      </c>
      <c r="O323">
        <v>3</v>
      </c>
      <c r="P323">
        <v>13</v>
      </c>
      <c r="Q323">
        <v>2</v>
      </c>
      <c r="R323">
        <v>11</v>
      </c>
      <c r="S323">
        <v>7</v>
      </c>
      <c r="T323">
        <v>30</v>
      </c>
      <c r="U323">
        <v>251</v>
      </c>
      <c r="V323">
        <v>177</v>
      </c>
      <c r="W323">
        <v>26</v>
      </c>
      <c r="X323">
        <v>6.8076923076923066</v>
      </c>
      <c r="Y323">
        <v>3</v>
      </c>
      <c r="Z323">
        <v>24</v>
      </c>
      <c r="AA323">
        <v>0</v>
      </c>
      <c r="AB323">
        <v>0</v>
      </c>
      <c r="AC323">
        <v>3</v>
      </c>
      <c r="AD323">
        <v>3</v>
      </c>
      <c r="AE323">
        <v>10</v>
      </c>
      <c r="AF323">
        <v>2</v>
      </c>
      <c r="AG323">
        <v>41</v>
      </c>
      <c r="AH323">
        <v>1</v>
      </c>
      <c r="AI323">
        <v>40</v>
      </c>
      <c r="AJ323">
        <v>1</v>
      </c>
      <c r="AK323">
        <v>4</v>
      </c>
      <c r="AL323">
        <v>2</v>
      </c>
      <c r="AM323">
        <v>44</v>
      </c>
      <c r="AN323">
        <v>5</v>
      </c>
      <c r="AO323">
        <v>65</v>
      </c>
      <c r="AP323">
        <v>6</v>
      </c>
      <c r="AQ323">
        <v>34</v>
      </c>
      <c r="AR323">
        <v>9.5617529880478086E-2</v>
      </c>
      <c r="AS323">
        <v>0</v>
      </c>
      <c r="AT323">
        <v>3.9840637450199202E-2</v>
      </c>
      <c r="AU323">
        <v>0.1633466135458167</v>
      </c>
      <c r="AV323">
        <v>0.15936254980079681</v>
      </c>
      <c r="AW323">
        <v>0.1752988047808765</v>
      </c>
      <c r="AX323">
        <v>0.25896414342629481</v>
      </c>
      <c r="AY323">
        <v>0.13545816733067731</v>
      </c>
      <c r="AZ323">
        <v>8.3665338645418308E-2</v>
      </c>
      <c r="BA323">
        <v>1</v>
      </c>
      <c r="BB323">
        <v>0.96794871794871773</v>
      </c>
      <c r="BC323">
        <v>0.4</v>
      </c>
      <c r="BD323">
        <v>0.67729083665338641</v>
      </c>
      <c r="BE323">
        <v>4</v>
      </c>
      <c r="BF323">
        <v>0.76130988865052607</v>
      </c>
      <c r="BG323">
        <v>0.79</v>
      </c>
      <c r="BH323" t="s">
        <v>86</v>
      </c>
      <c r="BI323">
        <v>0.76</v>
      </c>
      <c r="BJ323" t="s">
        <v>86</v>
      </c>
      <c r="BK323" s="2">
        <f t="shared" ref="BK323:BK386" si="11">BG323-BI323</f>
        <v>3.0000000000000027E-2</v>
      </c>
      <c r="BL323" t="b">
        <f t="shared" ref="BL323:BL386" si="12">EXACT(BH323,BJ323)</f>
        <v>1</v>
      </c>
    </row>
    <row r="324" spans="1:64" x14ac:dyDescent="0.35">
      <c r="A324" t="s">
        <v>912</v>
      </c>
      <c r="B324" t="s">
        <v>908</v>
      </c>
      <c r="C324">
        <v>2020</v>
      </c>
      <c r="D324" t="s">
        <v>909</v>
      </c>
      <c r="E324" t="s">
        <v>910</v>
      </c>
      <c r="F324" t="s">
        <v>66</v>
      </c>
      <c r="G324" t="s">
        <v>67</v>
      </c>
      <c r="H324" t="s">
        <v>84</v>
      </c>
      <c r="I324" t="s">
        <v>911</v>
      </c>
      <c r="J324" t="s">
        <v>70</v>
      </c>
      <c r="L324">
        <v>1</v>
      </c>
      <c r="M324" t="b">
        <v>0</v>
      </c>
      <c r="N324">
        <v>3</v>
      </c>
      <c r="O324">
        <v>1</v>
      </c>
      <c r="P324">
        <v>2</v>
      </c>
      <c r="Q324">
        <v>3</v>
      </c>
      <c r="R324">
        <v>-1</v>
      </c>
      <c r="S324">
        <v>4</v>
      </c>
      <c r="T324">
        <v>22</v>
      </c>
      <c r="U324">
        <v>159</v>
      </c>
      <c r="V324">
        <v>73</v>
      </c>
      <c r="W324">
        <v>18</v>
      </c>
      <c r="X324">
        <v>4.0555555555555554</v>
      </c>
      <c r="Y324">
        <v>1</v>
      </c>
      <c r="Z324">
        <v>26</v>
      </c>
      <c r="AA324">
        <v>0</v>
      </c>
      <c r="AB324">
        <v>0</v>
      </c>
      <c r="AC324">
        <v>2</v>
      </c>
      <c r="AD324">
        <v>2</v>
      </c>
      <c r="AE324">
        <v>40</v>
      </c>
      <c r="AF324">
        <v>3</v>
      </c>
      <c r="AG324">
        <v>4</v>
      </c>
      <c r="AH324">
        <v>2</v>
      </c>
      <c r="AI324">
        <v>10</v>
      </c>
      <c r="AJ324">
        <v>2</v>
      </c>
      <c r="AK324">
        <v>9</v>
      </c>
      <c r="AL324">
        <v>4</v>
      </c>
      <c r="AM324">
        <v>19</v>
      </c>
      <c r="AN324">
        <v>4</v>
      </c>
      <c r="AO324">
        <v>30</v>
      </c>
      <c r="AP324">
        <v>3</v>
      </c>
      <c r="AQ324">
        <v>66</v>
      </c>
      <c r="AR324">
        <v>0.16352201257861629</v>
      </c>
      <c r="AS324">
        <v>0</v>
      </c>
      <c r="AT324">
        <v>0.25157232704402521</v>
      </c>
      <c r="AU324">
        <v>2.5157232704402521E-2</v>
      </c>
      <c r="AV324">
        <v>6.2893081761006289E-2</v>
      </c>
      <c r="AW324">
        <v>0.11949685534591201</v>
      </c>
      <c r="AX324">
        <v>0.18867924528301891</v>
      </c>
      <c r="AY324">
        <v>0.41509433962264147</v>
      </c>
      <c r="AZ324">
        <v>6.9182389937106931E-2</v>
      </c>
      <c r="BA324">
        <v>0.5</v>
      </c>
      <c r="BB324">
        <v>0.50925925925925919</v>
      </c>
      <c r="BC324">
        <v>0.2</v>
      </c>
      <c r="BD324">
        <v>0.66823899371069173</v>
      </c>
      <c r="BE324">
        <v>4</v>
      </c>
      <c r="BF324">
        <v>0.46937456324248772</v>
      </c>
      <c r="BG324">
        <v>0.44</v>
      </c>
      <c r="BH324" t="s">
        <v>71</v>
      </c>
      <c r="BI324">
        <v>0.47</v>
      </c>
      <c r="BJ324" t="s">
        <v>71</v>
      </c>
      <c r="BK324" s="2">
        <f t="shared" si="11"/>
        <v>-2.9999999999999971E-2</v>
      </c>
      <c r="BL324" t="b">
        <f t="shared" si="12"/>
        <v>1</v>
      </c>
    </row>
    <row r="325" spans="1:64" x14ac:dyDescent="0.35">
      <c r="A325" t="s">
        <v>913</v>
      </c>
      <c r="B325" t="s">
        <v>914</v>
      </c>
      <c r="C325">
        <v>2014</v>
      </c>
      <c r="D325" t="s">
        <v>915</v>
      </c>
      <c r="E325" t="s">
        <v>916</v>
      </c>
      <c r="F325" t="s">
        <v>66</v>
      </c>
      <c r="G325" t="s">
        <v>67</v>
      </c>
      <c r="H325" t="s">
        <v>84</v>
      </c>
      <c r="I325" t="s">
        <v>911</v>
      </c>
      <c r="J325" t="s">
        <v>70</v>
      </c>
      <c r="L325">
        <v>1</v>
      </c>
      <c r="M325" t="b">
        <v>0</v>
      </c>
      <c r="N325">
        <v>3</v>
      </c>
      <c r="O325">
        <v>3</v>
      </c>
      <c r="P325">
        <v>6</v>
      </c>
      <c r="Q325">
        <v>4</v>
      </c>
      <c r="R325">
        <v>2</v>
      </c>
      <c r="S325">
        <v>4</v>
      </c>
      <c r="T325">
        <v>23</v>
      </c>
      <c r="U325">
        <v>449</v>
      </c>
      <c r="V325">
        <v>90</v>
      </c>
      <c r="W325">
        <v>19</v>
      </c>
      <c r="X325">
        <v>4.7368421052631584</v>
      </c>
      <c r="Y325">
        <v>3</v>
      </c>
      <c r="Z325">
        <v>89</v>
      </c>
      <c r="AA325">
        <v>0</v>
      </c>
      <c r="AB325">
        <v>0</v>
      </c>
      <c r="AC325">
        <v>3</v>
      </c>
      <c r="AD325">
        <v>3</v>
      </c>
      <c r="AE325">
        <v>25</v>
      </c>
      <c r="AF325">
        <v>3</v>
      </c>
      <c r="AG325">
        <v>7</v>
      </c>
      <c r="AH325">
        <v>2</v>
      </c>
      <c r="AI325">
        <v>149</v>
      </c>
      <c r="AJ325">
        <v>3</v>
      </c>
      <c r="AK325">
        <v>45</v>
      </c>
      <c r="AL325">
        <v>5</v>
      </c>
      <c r="AM325">
        <v>194</v>
      </c>
      <c r="AN325">
        <v>6</v>
      </c>
      <c r="AO325">
        <v>96</v>
      </c>
      <c r="AP325">
        <v>6</v>
      </c>
      <c r="AQ325">
        <v>114</v>
      </c>
      <c r="AR325">
        <v>0.19821826280623611</v>
      </c>
      <c r="AS325">
        <v>0</v>
      </c>
      <c r="AT325">
        <v>5.5679287305122498E-2</v>
      </c>
      <c r="AU325">
        <v>1.5590200445434301E-2</v>
      </c>
      <c r="AV325">
        <v>0.33184855233853011</v>
      </c>
      <c r="AW325">
        <v>0.43207126948775049</v>
      </c>
      <c r="AX325">
        <v>0.21380846325167041</v>
      </c>
      <c r="AY325">
        <v>0.25389755011135862</v>
      </c>
      <c r="AZ325">
        <v>-0.21826280623608019</v>
      </c>
      <c r="BA325">
        <v>0.5</v>
      </c>
      <c r="BB325">
        <v>0.6228070175438597</v>
      </c>
      <c r="BC325">
        <v>0.4</v>
      </c>
      <c r="BD325">
        <v>0.48858574610244992</v>
      </c>
      <c r="BE325">
        <v>4</v>
      </c>
      <c r="BF325">
        <v>0.5028481909115774</v>
      </c>
      <c r="BG325">
        <v>0.55000000000000004</v>
      </c>
      <c r="BH325" t="s">
        <v>71</v>
      </c>
      <c r="BI325">
        <v>0.5</v>
      </c>
      <c r="BJ325" t="s">
        <v>71</v>
      </c>
      <c r="BK325" s="2">
        <f t="shared" si="11"/>
        <v>5.0000000000000044E-2</v>
      </c>
      <c r="BL325" t="b">
        <f t="shared" si="12"/>
        <v>1</v>
      </c>
    </row>
    <row r="326" spans="1:64" x14ac:dyDescent="0.35">
      <c r="A326" t="s">
        <v>917</v>
      </c>
      <c r="B326" t="s">
        <v>914</v>
      </c>
      <c r="C326">
        <v>2018</v>
      </c>
      <c r="D326" t="s">
        <v>915</v>
      </c>
      <c r="E326" t="s">
        <v>916</v>
      </c>
      <c r="F326" t="s">
        <v>66</v>
      </c>
      <c r="G326" t="s">
        <v>67</v>
      </c>
      <c r="H326" t="s">
        <v>84</v>
      </c>
      <c r="I326" t="s">
        <v>911</v>
      </c>
      <c r="J326" t="s">
        <v>70</v>
      </c>
      <c r="L326">
        <v>1</v>
      </c>
      <c r="M326" t="b">
        <v>0</v>
      </c>
      <c r="N326">
        <v>1</v>
      </c>
      <c r="O326">
        <v>1</v>
      </c>
      <c r="P326">
        <v>7</v>
      </c>
      <c r="Q326">
        <v>3</v>
      </c>
      <c r="R326">
        <v>4</v>
      </c>
      <c r="S326">
        <v>5</v>
      </c>
      <c r="T326">
        <v>26</v>
      </c>
      <c r="U326">
        <v>242</v>
      </c>
      <c r="V326">
        <v>113</v>
      </c>
      <c r="W326">
        <v>20</v>
      </c>
      <c r="X326">
        <v>5.65</v>
      </c>
      <c r="Y326">
        <v>3</v>
      </c>
      <c r="Z326">
        <v>27</v>
      </c>
      <c r="AA326">
        <v>0</v>
      </c>
      <c r="AB326">
        <v>0</v>
      </c>
      <c r="AC326">
        <v>1</v>
      </c>
      <c r="AD326">
        <v>1</v>
      </c>
      <c r="AE326">
        <v>31</v>
      </c>
      <c r="AF326">
        <v>0</v>
      </c>
      <c r="AG326">
        <v>0</v>
      </c>
      <c r="AH326">
        <v>3</v>
      </c>
      <c r="AI326">
        <v>20</v>
      </c>
      <c r="AJ326">
        <v>1</v>
      </c>
      <c r="AK326">
        <v>3</v>
      </c>
      <c r="AL326">
        <v>4</v>
      </c>
      <c r="AM326">
        <v>23</v>
      </c>
      <c r="AN326">
        <v>3</v>
      </c>
      <c r="AO326">
        <v>27</v>
      </c>
      <c r="AP326">
        <v>4</v>
      </c>
      <c r="AQ326">
        <v>58</v>
      </c>
      <c r="AR326">
        <v>0.1115702479338843</v>
      </c>
      <c r="AS326">
        <v>0</v>
      </c>
      <c r="AT326">
        <v>0.128099173553719</v>
      </c>
      <c r="AU326">
        <v>0</v>
      </c>
      <c r="AV326">
        <v>8.2644628099173556E-2</v>
      </c>
      <c r="AW326">
        <v>9.5041322314049589E-2</v>
      </c>
      <c r="AX326">
        <v>0.1115702479338843</v>
      </c>
      <c r="AY326">
        <v>0.23966942148760331</v>
      </c>
      <c r="AZ326">
        <v>1.6528925619834711E-2</v>
      </c>
      <c r="BA326">
        <v>0.66666666666666663</v>
      </c>
      <c r="BB326">
        <v>0.77500000000000002</v>
      </c>
      <c r="BC326">
        <v>0.26666666666666672</v>
      </c>
      <c r="BD326">
        <v>0.6353305785123966</v>
      </c>
      <c r="BE326">
        <v>4</v>
      </c>
      <c r="BF326">
        <v>0.58591597796143247</v>
      </c>
      <c r="BG326">
        <v>0.6</v>
      </c>
      <c r="BH326" t="s">
        <v>86</v>
      </c>
      <c r="BI326">
        <v>0.59</v>
      </c>
      <c r="BJ326" t="s">
        <v>71</v>
      </c>
      <c r="BK326" s="2">
        <f t="shared" si="11"/>
        <v>1.0000000000000009E-2</v>
      </c>
      <c r="BL326" t="b">
        <f t="shared" si="12"/>
        <v>0</v>
      </c>
    </row>
    <row r="327" spans="1:64" x14ac:dyDescent="0.35">
      <c r="A327" t="s">
        <v>918</v>
      </c>
      <c r="B327" t="s">
        <v>914</v>
      </c>
      <c r="C327">
        <v>2021</v>
      </c>
      <c r="D327" t="s">
        <v>915</v>
      </c>
      <c r="E327" t="s">
        <v>916</v>
      </c>
      <c r="F327" t="s">
        <v>66</v>
      </c>
      <c r="G327" t="s">
        <v>67</v>
      </c>
      <c r="H327" t="s">
        <v>84</v>
      </c>
      <c r="I327" t="s">
        <v>911</v>
      </c>
      <c r="J327" t="s">
        <v>70</v>
      </c>
      <c r="L327">
        <v>1</v>
      </c>
      <c r="M327" t="b">
        <v>0</v>
      </c>
      <c r="N327">
        <v>3</v>
      </c>
      <c r="O327">
        <v>1</v>
      </c>
      <c r="P327">
        <v>3</v>
      </c>
      <c r="Q327">
        <v>3</v>
      </c>
      <c r="R327">
        <v>0</v>
      </c>
      <c r="S327">
        <v>4</v>
      </c>
      <c r="T327">
        <v>19</v>
      </c>
      <c r="U327">
        <v>194</v>
      </c>
      <c r="V327">
        <v>58</v>
      </c>
      <c r="W327">
        <v>15</v>
      </c>
      <c r="X327">
        <v>3.8666666666666671</v>
      </c>
      <c r="Y327">
        <v>1</v>
      </c>
      <c r="Z327">
        <v>9</v>
      </c>
      <c r="AA327">
        <v>0</v>
      </c>
      <c r="AB327">
        <v>0</v>
      </c>
      <c r="AC327">
        <v>2</v>
      </c>
      <c r="AD327">
        <v>2</v>
      </c>
      <c r="AE327">
        <v>9</v>
      </c>
      <c r="AF327">
        <v>1</v>
      </c>
      <c r="AG327">
        <v>2</v>
      </c>
      <c r="AH327">
        <v>2</v>
      </c>
      <c r="AI327">
        <v>23</v>
      </c>
      <c r="AJ327">
        <v>2</v>
      </c>
      <c r="AK327">
        <v>3</v>
      </c>
      <c r="AL327">
        <v>4</v>
      </c>
      <c r="AM327">
        <v>26</v>
      </c>
      <c r="AN327">
        <v>2</v>
      </c>
      <c r="AO327">
        <v>11</v>
      </c>
      <c r="AP327">
        <v>3</v>
      </c>
      <c r="AQ327">
        <v>18</v>
      </c>
      <c r="AR327">
        <v>4.6391752577319589E-2</v>
      </c>
      <c r="AS327">
        <v>0</v>
      </c>
      <c r="AT327">
        <v>4.6391752577319589E-2</v>
      </c>
      <c r="AU327">
        <v>1.030927835051546E-2</v>
      </c>
      <c r="AV327">
        <v>0.1185567010309278</v>
      </c>
      <c r="AW327">
        <v>0.134020618556701</v>
      </c>
      <c r="AX327">
        <v>5.6701030927835051E-2</v>
      </c>
      <c r="AY327">
        <v>9.2783505154639179E-2</v>
      </c>
      <c r="AZ327">
        <v>-7.7319587628865982E-2</v>
      </c>
      <c r="BA327">
        <v>0.5</v>
      </c>
      <c r="BB327">
        <v>0.47777777777777791</v>
      </c>
      <c r="BC327">
        <v>0.2</v>
      </c>
      <c r="BD327">
        <v>0.57667525773195871</v>
      </c>
      <c r="BE327">
        <v>4</v>
      </c>
      <c r="BF327">
        <v>0.43861325887743408</v>
      </c>
      <c r="BG327">
        <v>0.46</v>
      </c>
      <c r="BH327" t="s">
        <v>71</v>
      </c>
      <c r="BI327">
        <v>0.44</v>
      </c>
      <c r="BJ327" t="s">
        <v>71</v>
      </c>
      <c r="BK327" s="2">
        <f t="shared" si="11"/>
        <v>2.0000000000000018E-2</v>
      </c>
      <c r="BL327" t="b">
        <f t="shared" si="12"/>
        <v>1</v>
      </c>
    </row>
    <row r="328" spans="1:64" x14ac:dyDescent="0.35">
      <c r="A328" t="s">
        <v>919</v>
      </c>
      <c r="B328" t="s">
        <v>920</v>
      </c>
      <c r="C328">
        <v>2014</v>
      </c>
      <c r="D328" t="s">
        <v>921</v>
      </c>
      <c r="E328" t="s">
        <v>922</v>
      </c>
      <c r="F328" t="s">
        <v>66</v>
      </c>
      <c r="G328" t="s">
        <v>67</v>
      </c>
      <c r="H328" t="s">
        <v>184</v>
      </c>
      <c r="I328" t="s">
        <v>311</v>
      </c>
      <c r="J328" t="s">
        <v>70</v>
      </c>
      <c r="L328">
        <v>1</v>
      </c>
      <c r="M328" t="b">
        <v>0</v>
      </c>
      <c r="N328">
        <v>1</v>
      </c>
      <c r="O328">
        <v>2</v>
      </c>
      <c r="P328">
        <v>9</v>
      </c>
      <c r="Q328">
        <v>6</v>
      </c>
      <c r="R328">
        <v>3</v>
      </c>
      <c r="S328">
        <v>5</v>
      </c>
      <c r="T328">
        <v>31</v>
      </c>
      <c r="U328">
        <v>467</v>
      </c>
      <c r="V328">
        <v>130</v>
      </c>
      <c r="W328">
        <v>24</v>
      </c>
      <c r="X328">
        <v>5.416666666666667</v>
      </c>
      <c r="Y328">
        <v>6</v>
      </c>
      <c r="Z328">
        <v>104</v>
      </c>
      <c r="AA328">
        <v>0</v>
      </c>
      <c r="AB328">
        <v>0</v>
      </c>
      <c r="AC328">
        <v>1</v>
      </c>
      <c r="AD328">
        <v>1</v>
      </c>
      <c r="AE328">
        <v>57</v>
      </c>
      <c r="AF328">
        <v>1</v>
      </c>
      <c r="AG328">
        <v>15</v>
      </c>
      <c r="AH328">
        <v>2</v>
      </c>
      <c r="AI328">
        <v>22</v>
      </c>
      <c r="AJ328">
        <v>2</v>
      </c>
      <c r="AK328">
        <v>9</v>
      </c>
      <c r="AL328">
        <v>4</v>
      </c>
      <c r="AM328">
        <v>31</v>
      </c>
      <c r="AN328">
        <v>7</v>
      </c>
      <c r="AO328">
        <v>119</v>
      </c>
      <c r="AP328">
        <v>7</v>
      </c>
      <c r="AQ328">
        <v>161</v>
      </c>
      <c r="AR328">
        <v>0.2226980728051392</v>
      </c>
      <c r="AS328">
        <v>0</v>
      </c>
      <c r="AT328">
        <v>0.1220556745182013</v>
      </c>
      <c r="AU328">
        <v>3.2119914346895068E-2</v>
      </c>
      <c r="AV328">
        <v>4.7109207708779452E-2</v>
      </c>
      <c r="AW328">
        <v>6.638115631691649E-2</v>
      </c>
      <c r="AX328">
        <v>0.25481798715203419</v>
      </c>
      <c r="AY328">
        <v>0.34475374732334052</v>
      </c>
      <c r="AZ328">
        <v>0.18843683083511781</v>
      </c>
      <c r="BA328">
        <v>0.66666666666666663</v>
      </c>
      <c r="BB328">
        <v>0.73611111111111116</v>
      </c>
      <c r="BC328">
        <v>0.46666666666666667</v>
      </c>
      <c r="BD328">
        <v>0.74277301927194861</v>
      </c>
      <c r="BE328">
        <v>4</v>
      </c>
      <c r="BF328">
        <v>0.65305436592909827</v>
      </c>
      <c r="BG328">
        <v>0.66</v>
      </c>
      <c r="BH328" t="s">
        <v>86</v>
      </c>
      <c r="BI328">
        <v>0.65</v>
      </c>
      <c r="BJ328" t="s">
        <v>86</v>
      </c>
      <c r="BK328" s="2">
        <f t="shared" si="11"/>
        <v>1.0000000000000009E-2</v>
      </c>
      <c r="BL328" t="b">
        <f t="shared" si="12"/>
        <v>1</v>
      </c>
    </row>
    <row r="329" spans="1:64" x14ac:dyDescent="0.35">
      <c r="A329" t="s">
        <v>923</v>
      </c>
      <c r="B329" t="s">
        <v>920</v>
      </c>
      <c r="C329">
        <v>2021</v>
      </c>
      <c r="D329" t="s">
        <v>921</v>
      </c>
      <c r="E329" t="s">
        <v>922</v>
      </c>
      <c r="F329" t="s">
        <v>66</v>
      </c>
      <c r="G329" t="s">
        <v>67</v>
      </c>
      <c r="H329" t="s">
        <v>184</v>
      </c>
      <c r="I329" t="s">
        <v>311</v>
      </c>
      <c r="J329" t="s">
        <v>70</v>
      </c>
      <c r="L329">
        <v>1</v>
      </c>
      <c r="M329" t="b">
        <v>0</v>
      </c>
      <c r="N329">
        <v>2</v>
      </c>
      <c r="O329">
        <v>1</v>
      </c>
      <c r="P329">
        <v>4</v>
      </c>
      <c r="Q329">
        <v>3</v>
      </c>
      <c r="R329">
        <v>1</v>
      </c>
      <c r="S329">
        <v>4</v>
      </c>
      <c r="T329">
        <v>28</v>
      </c>
      <c r="U329">
        <v>218</v>
      </c>
      <c r="V329">
        <v>104</v>
      </c>
      <c r="W329">
        <v>21</v>
      </c>
      <c r="X329">
        <v>4.9523809523809534</v>
      </c>
      <c r="Y329">
        <v>3</v>
      </c>
      <c r="Z329">
        <v>8</v>
      </c>
      <c r="AA329">
        <v>0</v>
      </c>
      <c r="AB329">
        <v>0</v>
      </c>
      <c r="AC329">
        <v>2</v>
      </c>
      <c r="AD329">
        <v>2</v>
      </c>
      <c r="AE329">
        <v>83</v>
      </c>
      <c r="AF329">
        <v>1</v>
      </c>
      <c r="AG329">
        <v>1</v>
      </c>
      <c r="AH329">
        <v>2</v>
      </c>
      <c r="AI329">
        <v>4</v>
      </c>
      <c r="AJ329">
        <v>2</v>
      </c>
      <c r="AK329">
        <v>10</v>
      </c>
      <c r="AL329">
        <v>5</v>
      </c>
      <c r="AM329">
        <v>18</v>
      </c>
      <c r="AN329">
        <v>4</v>
      </c>
      <c r="AO329">
        <v>9</v>
      </c>
      <c r="AP329">
        <v>5</v>
      </c>
      <c r="AQ329">
        <v>91</v>
      </c>
      <c r="AR329">
        <v>3.669724770642202E-2</v>
      </c>
      <c r="AS329">
        <v>0</v>
      </c>
      <c r="AT329">
        <v>0.38073394495412838</v>
      </c>
      <c r="AU329">
        <v>4.5871559633027534E-3</v>
      </c>
      <c r="AV329">
        <v>1.834862385321101E-2</v>
      </c>
      <c r="AW329">
        <v>8.2568807339449546E-2</v>
      </c>
      <c r="AX329">
        <v>4.1284403669724773E-2</v>
      </c>
      <c r="AY329">
        <v>0.41743119266055051</v>
      </c>
      <c r="AZ329">
        <v>-4.1284403669724773E-2</v>
      </c>
      <c r="BA329">
        <v>0.5</v>
      </c>
      <c r="BB329">
        <v>0.65873015873015894</v>
      </c>
      <c r="BC329">
        <v>0.33333333333333331</v>
      </c>
      <c r="BD329">
        <v>0.59919724770642202</v>
      </c>
      <c r="BE329">
        <v>4</v>
      </c>
      <c r="BF329">
        <v>0.52281518494247858</v>
      </c>
      <c r="BG329">
        <v>0.55000000000000004</v>
      </c>
      <c r="BH329" t="s">
        <v>71</v>
      </c>
      <c r="BI329">
        <v>0.52</v>
      </c>
      <c r="BJ329" t="s">
        <v>71</v>
      </c>
      <c r="BK329" s="2">
        <f t="shared" si="11"/>
        <v>3.0000000000000027E-2</v>
      </c>
      <c r="BL329" t="b">
        <f t="shared" si="12"/>
        <v>1</v>
      </c>
    </row>
    <row r="330" spans="1:64" x14ac:dyDescent="0.35">
      <c r="A330" t="s">
        <v>924</v>
      </c>
      <c r="B330" t="s">
        <v>925</v>
      </c>
      <c r="C330">
        <v>2014</v>
      </c>
      <c r="D330" t="s">
        <v>926</v>
      </c>
      <c r="E330" t="s">
        <v>927</v>
      </c>
      <c r="F330" t="s">
        <v>66</v>
      </c>
      <c r="G330" t="s">
        <v>67</v>
      </c>
      <c r="H330" t="s">
        <v>84</v>
      </c>
      <c r="I330" t="s">
        <v>928</v>
      </c>
      <c r="J330" t="s">
        <v>70</v>
      </c>
      <c r="L330">
        <v>3</v>
      </c>
      <c r="M330" t="b">
        <v>0</v>
      </c>
      <c r="N330">
        <v>1</v>
      </c>
      <c r="O330">
        <v>1</v>
      </c>
      <c r="P330">
        <v>10</v>
      </c>
      <c r="Q330">
        <v>4</v>
      </c>
      <c r="R330">
        <v>6</v>
      </c>
      <c r="S330">
        <v>5</v>
      </c>
      <c r="T330">
        <v>30</v>
      </c>
      <c r="U330">
        <v>276</v>
      </c>
      <c r="V330">
        <v>135</v>
      </c>
      <c r="W330">
        <v>22</v>
      </c>
      <c r="X330">
        <v>6.1363636363636367</v>
      </c>
      <c r="Y330">
        <v>2</v>
      </c>
      <c r="Z330">
        <v>8</v>
      </c>
      <c r="AA330">
        <v>1</v>
      </c>
      <c r="AB330">
        <v>3</v>
      </c>
      <c r="AC330">
        <v>6</v>
      </c>
      <c r="AD330">
        <v>6</v>
      </c>
      <c r="AE330">
        <v>26</v>
      </c>
      <c r="AF330">
        <v>2</v>
      </c>
      <c r="AG330">
        <v>30</v>
      </c>
      <c r="AH330">
        <v>0</v>
      </c>
      <c r="AI330">
        <v>0</v>
      </c>
      <c r="AJ330">
        <v>2</v>
      </c>
      <c r="AK330">
        <v>3</v>
      </c>
      <c r="AL330">
        <v>2</v>
      </c>
      <c r="AM330">
        <v>3</v>
      </c>
      <c r="AN330">
        <v>5</v>
      </c>
      <c r="AO330">
        <v>41</v>
      </c>
      <c r="AP330">
        <v>9</v>
      </c>
      <c r="AQ330">
        <v>37</v>
      </c>
      <c r="AR330">
        <v>2.8985507246376808E-2</v>
      </c>
      <c r="AS330">
        <v>1.0869565217391301E-2</v>
      </c>
      <c r="AT330">
        <v>9.420289855072464E-2</v>
      </c>
      <c r="AU330">
        <v>0.108695652173913</v>
      </c>
      <c r="AV330">
        <v>0</v>
      </c>
      <c r="AW330">
        <v>1.0869565217391301E-2</v>
      </c>
      <c r="AX330">
        <v>0.14855072463768121</v>
      </c>
      <c r="AY330">
        <v>0.13405797101449279</v>
      </c>
      <c r="AZ330">
        <v>0.13768115942028991</v>
      </c>
      <c r="BA330">
        <v>0.66666666666666663</v>
      </c>
      <c r="BB330">
        <v>0.85606060606060608</v>
      </c>
      <c r="BC330">
        <v>0.6</v>
      </c>
      <c r="BD330">
        <v>0.71105072463768126</v>
      </c>
      <c r="BE330">
        <v>4</v>
      </c>
      <c r="BF330">
        <v>0.70844449934123843</v>
      </c>
      <c r="BG330">
        <v>0.7</v>
      </c>
      <c r="BH330" t="s">
        <v>86</v>
      </c>
      <c r="BI330">
        <v>0.71</v>
      </c>
      <c r="BJ330" t="s">
        <v>86</v>
      </c>
      <c r="BK330" s="2">
        <f t="shared" si="11"/>
        <v>-1.0000000000000009E-2</v>
      </c>
      <c r="BL330" t="b">
        <f t="shared" si="12"/>
        <v>1</v>
      </c>
    </row>
    <row r="331" spans="1:64" x14ac:dyDescent="0.35">
      <c r="A331" t="s">
        <v>929</v>
      </c>
      <c r="B331" t="s">
        <v>925</v>
      </c>
      <c r="C331">
        <v>2017</v>
      </c>
      <c r="D331" t="s">
        <v>926</v>
      </c>
      <c r="E331" t="s">
        <v>927</v>
      </c>
      <c r="F331" t="s">
        <v>66</v>
      </c>
      <c r="G331" t="s">
        <v>67</v>
      </c>
      <c r="H331" t="s">
        <v>84</v>
      </c>
      <c r="I331" t="s">
        <v>928</v>
      </c>
      <c r="J331" t="s">
        <v>70</v>
      </c>
      <c r="L331">
        <v>3</v>
      </c>
      <c r="M331" t="b">
        <v>0</v>
      </c>
      <c r="N331">
        <v>2</v>
      </c>
      <c r="O331">
        <v>2</v>
      </c>
      <c r="P331">
        <v>5</v>
      </c>
      <c r="Q331">
        <v>1</v>
      </c>
      <c r="R331">
        <v>4</v>
      </c>
      <c r="S331">
        <v>5</v>
      </c>
      <c r="T331">
        <v>18</v>
      </c>
      <c r="U331">
        <v>149</v>
      </c>
      <c r="V331">
        <v>77</v>
      </c>
      <c r="W331">
        <v>15</v>
      </c>
      <c r="X331">
        <v>5.1333333333333337</v>
      </c>
      <c r="Y331">
        <v>0</v>
      </c>
      <c r="Z331">
        <v>0</v>
      </c>
      <c r="AA331">
        <v>1</v>
      </c>
      <c r="AB331">
        <v>12</v>
      </c>
      <c r="AC331">
        <v>1</v>
      </c>
      <c r="AD331">
        <v>1</v>
      </c>
      <c r="AE331">
        <v>15</v>
      </c>
      <c r="AF331">
        <v>1</v>
      </c>
      <c r="AG331">
        <v>1</v>
      </c>
      <c r="AH331">
        <v>1</v>
      </c>
      <c r="AI331">
        <v>9</v>
      </c>
      <c r="AJ331">
        <v>0</v>
      </c>
      <c r="AK331">
        <v>0</v>
      </c>
      <c r="AL331">
        <v>2</v>
      </c>
      <c r="AM331">
        <v>14</v>
      </c>
      <c r="AN331">
        <v>2</v>
      </c>
      <c r="AO331">
        <v>13</v>
      </c>
      <c r="AP331">
        <v>2</v>
      </c>
      <c r="AQ331">
        <v>27</v>
      </c>
      <c r="AR331">
        <v>0</v>
      </c>
      <c r="AS331">
        <v>8.0536912751677847E-2</v>
      </c>
      <c r="AT331">
        <v>0.1006711409395973</v>
      </c>
      <c r="AU331">
        <v>6.7114093959731542E-3</v>
      </c>
      <c r="AV331">
        <v>6.0402684563758392E-2</v>
      </c>
      <c r="AW331">
        <v>9.3959731543624164E-2</v>
      </c>
      <c r="AX331">
        <v>8.7248322147651006E-2</v>
      </c>
      <c r="AY331">
        <v>0.18120805369127521</v>
      </c>
      <c r="AZ331">
        <v>-6.7114093959731594E-3</v>
      </c>
      <c r="BA331">
        <v>0.66666666666666663</v>
      </c>
      <c r="BB331">
        <v>0.68888888888888899</v>
      </c>
      <c r="BC331">
        <v>0.1333333333333333</v>
      </c>
      <c r="BD331">
        <v>0.62080536912751672</v>
      </c>
      <c r="BE331">
        <v>4</v>
      </c>
      <c r="BF331">
        <v>0.52742356450410144</v>
      </c>
      <c r="BG331">
        <v>0.46</v>
      </c>
      <c r="BH331" t="s">
        <v>71</v>
      </c>
      <c r="BI331">
        <v>0.53</v>
      </c>
      <c r="BJ331" t="s">
        <v>71</v>
      </c>
      <c r="BK331" s="2">
        <f t="shared" si="11"/>
        <v>-7.0000000000000007E-2</v>
      </c>
      <c r="BL331" t="b">
        <f t="shared" si="12"/>
        <v>1</v>
      </c>
    </row>
    <row r="332" spans="1:64" x14ac:dyDescent="0.35">
      <c r="A332" t="s">
        <v>930</v>
      </c>
      <c r="B332" t="s">
        <v>925</v>
      </c>
      <c r="C332">
        <v>2020</v>
      </c>
      <c r="D332" t="s">
        <v>926</v>
      </c>
      <c r="E332" t="s">
        <v>927</v>
      </c>
      <c r="F332" t="s">
        <v>66</v>
      </c>
      <c r="G332" t="s">
        <v>67</v>
      </c>
      <c r="H332" t="s">
        <v>84</v>
      </c>
      <c r="I332" t="s">
        <v>928</v>
      </c>
      <c r="J332" t="s">
        <v>70</v>
      </c>
      <c r="L332">
        <v>3</v>
      </c>
      <c r="M332" t="b">
        <v>0</v>
      </c>
      <c r="N332">
        <v>1</v>
      </c>
      <c r="O332">
        <v>1</v>
      </c>
      <c r="P332">
        <v>9</v>
      </c>
      <c r="Q332">
        <v>1</v>
      </c>
      <c r="R332">
        <v>8</v>
      </c>
      <c r="S332">
        <v>5</v>
      </c>
      <c r="T332">
        <v>28</v>
      </c>
      <c r="U332">
        <v>314</v>
      </c>
      <c r="V332">
        <v>137</v>
      </c>
      <c r="W332">
        <v>25</v>
      </c>
      <c r="X332">
        <v>5.48</v>
      </c>
      <c r="Y332">
        <v>4</v>
      </c>
      <c r="Z332">
        <v>73</v>
      </c>
      <c r="AA332">
        <v>1</v>
      </c>
      <c r="AB332">
        <v>7</v>
      </c>
      <c r="AC332">
        <v>3</v>
      </c>
      <c r="AD332">
        <v>3</v>
      </c>
      <c r="AE332">
        <v>17</v>
      </c>
      <c r="AF332">
        <v>2</v>
      </c>
      <c r="AG332">
        <v>26</v>
      </c>
      <c r="AH332">
        <v>1</v>
      </c>
      <c r="AI332">
        <v>1</v>
      </c>
      <c r="AJ332">
        <v>1</v>
      </c>
      <c r="AK332">
        <v>1</v>
      </c>
      <c r="AL332">
        <v>2</v>
      </c>
      <c r="AM332">
        <v>2</v>
      </c>
      <c r="AN332">
        <v>7</v>
      </c>
      <c r="AO332">
        <v>106</v>
      </c>
      <c r="AP332">
        <v>8</v>
      </c>
      <c r="AQ332">
        <v>97</v>
      </c>
      <c r="AR332">
        <v>0.232484076433121</v>
      </c>
      <c r="AS332">
        <v>2.229299363057325E-2</v>
      </c>
      <c r="AT332">
        <v>5.4140127388535027E-2</v>
      </c>
      <c r="AU332">
        <v>8.2802547770700632E-2</v>
      </c>
      <c r="AV332">
        <v>3.1847133757961789E-3</v>
      </c>
      <c r="AW332">
        <v>6.369426751592357E-3</v>
      </c>
      <c r="AX332">
        <v>0.33757961783439489</v>
      </c>
      <c r="AY332">
        <v>0.30891719745222929</v>
      </c>
      <c r="AZ332">
        <v>0.33121019108280247</v>
      </c>
      <c r="BA332">
        <v>0.66666666666666663</v>
      </c>
      <c r="BB332">
        <v>0.7466666666666667</v>
      </c>
      <c r="BC332">
        <v>0.53333333333333333</v>
      </c>
      <c r="BD332">
        <v>0.83200636942675155</v>
      </c>
      <c r="BE332">
        <v>4</v>
      </c>
      <c r="BF332">
        <v>0.69466825902335461</v>
      </c>
      <c r="BG332">
        <v>0.69</v>
      </c>
      <c r="BH332" t="s">
        <v>86</v>
      </c>
      <c r="BI332">
        <v>0.69</v>
      </c>
      <c r="BJ332" t="s">
        <v>86</v>
      </c>
      <c r="BK332" s="2">
        <f t="shared" si="11"/>
        <v>0</v>
      </c>
      <c r="BL332" t="b">
        <f t="shared" si="12"/>
        <v>1</v>
      </c>
    </row>
    <row r="333" spans="1:64" x14ac:dyDescent="0.35">
      <c r="A333" t="s">
        <v>931</v>
      </c>
      <c r="B333" t="s">
        <v>932</v>
      </c>
      <c r="C333">
        <v>2014</v>
      </c>
      <c r="D333" t="s">
        <v>933</v>
      </c>
      <c r="E333" t="s">
        <v>934</v>
      </c>
      <c r="F333" t="s">
        <v>66</v>
      </c>
      <c r="G333" t="s">
        <v>67</v>
      </c>
      <c r="H333" t="s">
        <v>84</v>
      </c>
      <c r="I333" t="s">
        <v>85</v>
      </c>
      <c r="J333" t="s">
        <v>70</v>
      </c>
      <c r="L333">
        <v>1</v>
      </c>
      <c r="M333" t="b">
        <v>0</v>
      </c>
      <c r="N333">
        <v>1</v>
      </c>
      <c r="O333">
        <v>3</v>
      </c>
      <c r="P333">
        <v>13</v>
      </c>
      <c r="Q333">
        <v>3</v>
      </c>
      <c r="R333">
        <v>10</v>
      </c>
      <c r="S333">
        <v>7</v>
      </c>
      <c r="T333">
        <v>37</v>
      </c>
      <c r="U333">
        <v>269</v>
      </c>
      <c r="V333">
        <v>175</v>
      </c>
      <c r="W333">
        <v>28</v>
      </c>
      <c r="X333">
        <v>6.25</v>
      </c>
      <c r="Y333">
        <v>5</v>
      </c>
      <c r="Z333">
        <v>86</v>
      </c>
      <c r="AA333">
        <v>0</v>
      </c>
      <c r="AB333">
        <v>0</v>
      </c>
      <c r="AC333">
        <v>3</v>
      </c>
      <c r="AD333">
        <v>3</v>
      </c>
      <c r="AE333">
        <v>24</v>
      </c>
      <c r="AF333">
        <v>4</v>
      </c>
      <c r="AG333">
        <v>11</v>
      </c>
      <c r="AH333">
        <v>2</v>
      </c>
      <c r="AI333">
        <v>10</v>
      </c>
      <c r="AJ333">
        <v>3</v>
      </c>
      <c r="AK333">
        <v>4</v>
      </c>
      <c r="AL333">
        <v>5</v>
      </c>
      <c r="AM333">
        <v>14</v>
      </c>
      <c r="AN333">
        <v>9</v>
      </c>
      <c r="AO333">
        <v>97</v>
      </c>
      <c r="AP333">
        <v>8</v>
      </c>
      <c r="AQ333">
        <v>110</v>
      </c>
      <c r="AR333">
        <v>0.31970260223048319</v>
      </c>
      <c r="AS333">
        <v>0</v>
      </c>
      <c r="AT333">
        <v>8.9219330855018583E-2</v>
      </c>
      <c r="AU333">
        <v>4.0892193308550193E-2</v>
      </c>
      <c r="AV333">
        <v>3.717472118959108E-2</v>
      </c>
      <c r="AW333">
        <v>5.204460966542751E-2</v>
      </c>
      <c r="AX333">
        <v>0.36059479553903351</v>
      </c>
      <c r="AY333">
        <v>0.40892193308550179</v>
      </c>
      <c r="AZ333">
        <v>0.30855018587360589</v>
      </c>
      <c r="BA333">
        <v>1</v>
      </c>
      <c r="BB333">
        <v>0.875</v>
      </c>
      <c r="BC333">
        <v>0.53333333333333333</v>
      </c>
      <c r="BD333">
        <v>0.81784386617100369</v>
      </c>
      <c r="BE333">
        <v>4</v>
      </c>
      <c r="BF333">
        <v>0.80654429987608423</v>
      </c>
      <c r="BG333">
        <v>0.81</v>
      </c>
      <c r="BH333" t="s">
        <v>164</v>
      </c>
      <c r="BI333">
        <v>0.81</v>
      </c>
      <c r="BJ333" t="s">
        <v>164</v>
      </c>
      <c r="BK333" s="2">
        <f t="shared" si="11"/>
        <v>0</v>
      </c>
      <c r="BL333" t="b">
        <f t="shared" si="12"/>
        <v>1</v>
      </c>
    </row>
    <row r="334" spans="1:64" x14ac:dyDescent="0.35">
      <c r="A334" t="s">
        <v>935</v>
      </c>
      <c r="B334" t="s">
        <v>932</v>
      </c>
      <c r="C334">
        <v>2018</v>
      </c>
      <c r="D334" t="s">
        <v>933</v>
      </c>
      <c r="E334" t="s">
        <v>934</v>
      </c>
      <c r="F334" t="s">
        <v>66</v>
      </c>
      <c r="G334" t="s">
        <v>67</v>
      </c>
      <c r="H334" t="s">
        <v>84</v>
      </c>
      <c r="I334" t="s">
        <v>85</v>
      </c>
      <c r="J334" t="s">
        <v>70</v>
      </c>
      <c r="L334">
        <v>1</v>
      </c>
      <c r="M334" t="b">
        <v>0</v>
      </c>
      <c r="N334">
        <v>1</v>
      </c>
      <c r="O334">
        <v>2</v>
      </c>
      <c r="P334">
        <v>9</v>
      </c>
      <c r="Q334">
        <v>6</v>
      </c>
      <c r="R334">
        <v>3</v>
      </c>
      <c r="S334">
        <v>5</v>
      </c>
      <c r="T334">
        <v>39</v>
      </c>
      <c r="U334">
        <v>957</v>
      </c>
      <c r="V334">
        <v>142</v>
      </c>
      <c r="W334">
        <v>25</v>
      </c>
      <c r="X334">
        <v>5.68</v>
      </c>
      <c r="Y334">
        <v>5</v>
      </c>
      <c r="Z334">
        <v>46</v>
      </c>
      <c r="AA334">
        <v>0</v>
      </c>
      <c r="AB334">
        <v>0</v>
      </c>
      <c r="AC334">
        <v>2</v>
      </c>
      <c r="AD334">
        <v>2</v>
      </c>
      <c r="AE334">
        <v>45</v>
      </c>
      <c r="AF334">
        <v>1</v>
      </c>
      <c r="AG334">
        <v>1</v>
      </c>
      <c r="AH334">
        <v>2</v>
      </c>
      <c r="AI334">
        <v>143</v>
      </c>
      <c r="AJ334">
        <v>3</v>
      </c>
      <c r="AK334">
        <v>17</v>
      </c>
      <c r="AL334">
        <v>6</v>
      </c>
      <c r="AM334">
        <v>171</v>
      </c>
      <c r="AN334">
        <v>6</v>
      </c>
      <c r="AO334">
        <v>47</v>
      </c>
      <c r="AP334">
        <v>7</v>
      </c>
      <c r="AQ334">
        <v>91</v>
      </c>
      <c r="AR334">
        <v>4.8066875653082548E-2</v>
      </c>
      <c r="AS334">
        <v>0</v>
      </c>
      <c r="AT334">
        <v>4.7021943573667707E-2</v>
      </c>
      <c r="AU334">
        <v>1.0449320794148379E-3</v>
      </c>
      <c r="AV334">
        <v>0.14942528735632191</v>
      </c>
      <c r="AW334">
        <v>0.17868338557993729</v>
      </c>
      <c r="AX334">
        <v>4.911180773249739E-2</v>
      </c>
      <c r="AY334">
        <v>9.5088819226750262E-2</v>
      </c>
      <c r="AZ334">
        <v>-0.12957157784743989</v>
      </c>
      <c r="BA334">
        <v>0.66666666666666663</v>
      </c>
      <c r="BB334">
        <v>0.77999999999999992</v>
      </c>
      <c r="BC334">
        <v>0.46666666666666667</v>
      </c>
      <c r="BD334">
        <v>0.54401776384535006</v>
      </c>
      <c r="BE334">
        <v>4</v>
      </c>
      <c r="BF334">
        <v>0.61433777429467085</v>
      </c>
      <c r="BG334">
        <v>0.64</v>
      </c>
      <c r="BH334" t="s">
        <v>86</v>
      </c>
      <c r="BI334">
        <v>0.61</v>
      </c>
      <c r="BJ334" t="s">
        <v>86</v>
      </c>
      <c r="BK334" s="2">
        <f t="shared" si="11"/>
        <v>3.0000000000000027E-2</v>
      </c>
      <c r="BL334" t="b">
        <f t="shared" si="12"/>
        <v>1</v>
      </c>
    </row>
    <row r="335" spans="1:64" x14ac:dyDescent="0.35">
      <c r="A335" t="s">
        <v>936</v>
      </c>
      <c r="B335" t="s">
        <v>932</v>
      </c>
      <c r="C335">
        <v>2021</v>
      </c>
      <c r="D335" t="s">
        <v>933</v>
      </c>
      <c r="E335" t="s">
        <v>934</v>
      </c>
      <c r="F335" t="s">
        <v>66</v>
      </c>
      <c r="G335" t="s">
        <v>67</v>
      </c>
      <c r="H335" t="s">
        <v>84</v>
      </c>
      <c r="I335" t="s">
        <v>85</v>
      </c>
      <c r="J335" t="s">
        <v>70</v>
      </c>
      <c r="L335">
        <v>1</v>
      </c>
      <c r="M335" t="b">
        <v>0</v>
      </c>
      <c r="N335">
        <v>2</v>
      </c>
      <c r="O335">
        <v>1</v>
      </c>
      <c r="P335">
        <v>4</v>
      </c>
      <c r="Q335">
        <v>2</v>
      </c>
      <c r="R335">
        <v>2</v>
      </c>
      <c r="S335">
        <v>4</v>
      </c>
      <c r="T335">
        <v>15</v>
      </c>
      <c r="U335">
        <v>110</v>
      </c>
      <c r="V335">
        <v>67</v>
      </c>
      <c r="W335">
        <v>14</v>
      </c>
      <c r="X335">
        <v>4.7857142857142856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</v>
      </c>
      <c r="AE335">
        <v>45</v>
      </c>
      <c r="AF335">
        <v>0</v>
      </c>
      <c r="AG335">
        <v>0</v>
      </c>
      <c r="AH335">
        <v>2</v>
      </c>
      <c r="AI335">
        <v>5</v>
      </c>
      <c r="AJ335">
        <v>1</v>
      </c>
      <c r="AK335">
        <v>1</v>
      </c>
      <c r="AL335">
        <v>3</v>
      </c>
      <c r="AM335">
        <v>6</v>
      </c>
      <c r="AN335">
        <v>0</v>
      </c>
      <c r="AO335">
        <v>0</v>
      </c>
      <c r="AP335">
        <v>3</v>
      </c>
      <c r="AQ335">
        <v>45</v>
      </c>
      <c r="AR335">
        <v>0</v>
      </c>
      <c r="AS335">
        <v>0</v>
      </c>
      <c r="AT335">
        <v>0.40909090909090912</v>
      </c>
      <c r="AU335">
        <v>0</v>
      </c>
      <c r="AV335">
        <v>4.5454545454545463E-2</v>
      </c>
      <c r="AW335">
        <v>5.4545454545454543E-2</v>
      </c>
      <c r="AX335">
        <v>0</v>
      </c>
      <c r="AY335">
        <v>0.40909090909090912</v>
      </c>
      <c r="AZ335">
        <v>-5.4545454545454543E-2</v>
      </c>
      <c r="BA335">
        <v>0.5</v>
      </c>
      <c r="BB335">
        <v>0.63095238095238093</v>
      </c>
      <c r="BC335">
        <v>0.2</v>
      </c>
      <c r="BD335">
        <v>0.59090909090909083</v>
      </c>
      <c r="BE335">
        <v>4</v>
      </c>
      <c r="BF335">
        <v>0.48046536796536787</v>
      </c>
      <c r="BG335">
        <v>0.49</v>
      </c>
      <c r="BH335" t="s">
        <v>71</v>
      </c>
      <c r="BI335">
        <v>0.48</v>
      </c>
      <c r="BJ335" t="s">
        <v>71</v>
      </c>
      <c r="BK335" s="2">
        <f t="shared" si="11"/>
        <v>1.0000000000000009E-2</v>
      </c>
      <c r="BL335" t="b">
        <f t="shared" si="12"/>
        <v>1</v>
      </c>
    </row>
    <row r="336" spans="1:64" x14ac:dyDescent="0.35">
      <c r="A336" t="s">
        <v>937</v>
      </c>
      <c r="B336" t="s">
        <v>938</v>
      </c>
      <c r="C336">
        <v>2014</v>
      </c>
      <c r="D336" t="s">
        <v>939</v>
      </c>
      <c r="E336" t="s">
        <v>940</v>
      </c>
      <c r="F336" t="s">
        <v>66</v>
      </c>
      <c r="G336" t="s">
        <v>67</v>
      </c>
      <c r="H336" t="s">
        <v>84</v>
      </c>
      <c r="I336" t="s">
        <v>941</v>
      </c>
      <c r="J336" t="s">
        <v>70</v>
      </c>
      <c r="L336">
        <v>1</v>
      </c>
      <c r="M336" t="b">
        <v>0</v>
      </c>
      <c r="N336">
        <v>1</v>
      </c>
      <c r="O336">
        <v>1</v>
      </c>
      <c r="P336">
        <v>7</v>
      </c>
      <c r="Q336">
        <v>0</v>
      </c>
      <c r="R336">
        <v>7</v>
      </c>
      <c r="S336">
        <v>5</v>
      </c>
      <c r="T336">
        <v>21</v>
      </c>
      <c r="U336">
        <v>228</v>
      </c>
      <c r="V336">
        <v>94</v>
      </c>
      <c r="W336">
        <v>15</v>
      </c>
      <c r="X336">
        <v>6.2666666666666666</v>
      </c>
      <c r="Y336">
        <v>2</v>
      </c>
      <c r="Z336">
        <v>42</v>
      </c>
      <c r="AA336">
        <v>1</v>
      </c>
      <c r="AB336">
        <v>1</v>
      </c>
      <c r="AC336">
        <v>5</v>
      </c>
      <c r="AD336">
        <v>5</v>
      </c>
      <c r="AE336">
        <v>54</v>
      </c>
      <c r="AF336">
        <v>0</v>
      </c>
      <c r="AG336">
        <v>0</v>
      </c>
      <c r="AH336">
        <v>1</v>
      </c>
      <c r="AI336">
        <v>54</v>
      </c>
      <c r="AJ336">
        <v>2</v>
      </c>
      <c r="AK336">
        <v>2</v>
      </c>
      <c r="AL336">
        <v>3</v>
      </c>
      <c r="AM336">
        <v>56</v>
      </c>
      <c r="AN336">
        <v>3</v>
      </c>
      <c r="AO336">
        <v>43</v>
      </c>
      <c r="AP336">
        <v>8</v>
      </c>
      <c r="AQ336">
        <v>97</v>
      </c>
      <c r="AR336">
        <v>0.18421052631578949</v>
      </c>
      <c r="AS336">
        <v>4.3859649122807024E-3</v>
      </c>
      <c r="AT336">
        <v>0.23684210526315791</v>
      </c>
      <c r="AU336">
        <v>0</v>
      </c>
      <c r="AV336">
        <v>0.23684210526315791</v>
      </c>
      <c r="AW336">
        <v>0.24561403508771931</v>
      </c>
      <c r="AX336">
        <v>0.18859649122807021</v>
      </c>
      <c r="AY336">
        <v>0.42543859649122812</v>
      </c>
      <c r="AZ336">
        <v>-5.7017543859649113E-2</v>
      </c>
      <c r="BA336">
        <v>0.66666666666666663</v>
      </c>
      <c r="BB336">
        <v>0.87777777777777777</v>
      </c>
      <c r="BC336">
        <v>0.53333333333333333</v>
      </c>
      <c r="BD336">
        <v>0.58936403508771928</v>
      </c>
      <c r="BE336">
        <v>4</v>
      </c>
      <c r="BF336">
        <v>0.66678545321637428</v>
      </c>
      <c r="BG336">
        <v>0.7</v>
      </c>
      <c r="BH336" t="s">
        <v>86</v>
      </c>
      <c r="BI336">
        <v>0.67</v>
      </c>
      <c r="BJ336" t="s">
        <v>86</v>
      </c>
      <c r="BK336" s="2">
        <f t="shared" si="11"/>
        <v>2.9999999999999916E-2</v>
      </c>
      <c r="BL336" t="b">
        <f t="shared" si="12"/>
        <v>1</v>
      </c>
    </row>
    <row r="337" spans="1:64" x14ac:dyDescent="0.35">
      <c r="A337" t="s">
        <v>942</v>
      </c>
      <c r="B337" t="s">
        <v>943</v>
      </c>
      <c r="C337">
        <v>2014</v>
      </c>
      <c r="D337" t="s">
        <v>944</v>
      </c>
      <c r="E337" t="s">
        <v>945</v>
      </c>
      <c r="F337" t="s">
        <v>66</v>
      </c>
      <c r="G337" t="s">
        <v>67</v>
      </c>
      <c r="H337" t="s">
        <v>84</v>
      </c>
      <c r="I337" t="s">
        <v>946</v>
      </c>
      <c r="J337" t="s">
        <v>70</v>
      </c>
      <c r="L337">
        <v>1</v>
      </c>
      <c r="M337" t="b">
        <v>0</v>
      </c>
      <c r="N337">
        <v>1</v>
      </c>
      <c r="O337">
        <v>3</v>
      </c>
      <c r="P337">
        <v>12</v>
      </c>
      <c r="Q337">
        <v>3</v>
      </c>
      <c r="R337">
        <v>9</v>
      </c>
      <c r="S337">
        <v>6</v>
      </c>
      <c r="T337">
        <v>40</v>
      </c>
      <c r="U337">
        <v>454</v>
      </c>
      <c r="V337">
        <v>185</v>
      </c>
      <c r="W337">
        <v>30</v>
      </c>
      <c r="X337">
        <v>6.166666666666667</v>
      </c>
      <c r="Y337">
        <v>5</v>
      </c>
      <c r="Z337">
        <v>41</v>
      </c>
      <c r="AA337">
        <v>1</v>
      </c>
      <c r="AB337">
        <v>5</v>
      </c>
      <c r="AC337">
        <v>8</v>
      </c>
      <c r="AD337">
        <v>8</v>
      </c>
      <c r="AE337">
        <v>22</v>
      </c>
      <c r="AF337">
        <v>2</v>
      </c>
      <c r="AG337">
        <v>47</v>
      </c>
      <c r="AH337">
        <v>1</v>
      </c>
      <c r="AI337">
        <v>4</v>
      </c>
      <c r="AJ337">
        <v>3</v>
      </c>
      <c r="AK337">
        <v>6</v>
      </c>
      <c r="AL337">
        <v>4</v>
      </c>
      <c r="AM337">
        <v>10</v>
      </c>
      <c r="AN337">
        <v>8</v>
      </c>
      <c r="AO337">
        <v>93</v>
      </c>
      <c r="AP337">
        <v>14</v>
      </c>
      <c r="AQ337">
        <v>68</v>
      </c>
      <c r="AR337">
        <v>9.0308370044052858E-2</v>
      </c>
      <c r="AS337">
        <v>1.1013215859030839E-2</v>
      </c>
      <c r="AT337">
        <v>4.8458149779735678E-2</v>
      </c>
      <c r="AU337">
        <v>0.1035242290748899</v>
      </c>
      <c r="AV337">
        <v>8.8105726872246704E-3</v>
      </c>
      <c r="AW337">
        <v>2.2026431718061679E-2</v>
      </c>
      <c r="AX337">
        <v>0.20484581497797361</v>
      </c>
      <c r="AY337">
        <v>0.14977973568281941</v>
      </c>
      <c r="AZ337">
        <v>0.1828193832599119</v>
      </c>
      <c r="BA337">
        <v>0.83333333333333337</v>
      </c>
      <c r="BB337">
        <v>0.86111111111111116</v>
      </c>
      <c r="BC337">
        <v>0.93333333333333335</v>
      </c>
      <c r="BD337">
        <v>0.73926211453744484</v>
      </c>
      <c r="BE337">
        <v>4</v>
      </c>
      <c r="BF337">
        <v>0.84175997307880568</v>
      </c>
      <c r="BG337">
        <v>0.84</v>
      </c>
      <c r="BH337" t="s">
        <v>164</v>
      </c>
      <c r="BI337">
        <v>0.84</v>
      </c>
      <c r="BJ337" t="s">
        <v>164</v>
      </c>
      <c r="BK337" s="2">
        <f t="shared" si="11"/>
        <v>0</v>
      </c>
      <c r="BL337" t="b">
        <f t="shared" si="12"/>
        <v>1</v>
      </c>
    </row>
    <row r="338" spans="1:64" x14ac:dyDescent="0.35">
      <c r="A338" t="s">
        <v>947</v>
      </c>
      <c r="B338" t="s">
        <v>943</v>
      </c>
      <c r="C338">
        <v>2020</v>
      </c>
      <c r="D338" t="s">
        <v>944</v>
      </c>
      <c r="E338" t="s">
        <v>945</v>
      </c>
      <c r="F338" t="s">
        <v>66</v>
      </c>
      <c r="G338" t="s">
        <v>67</v>
      </c>
      <c r="H338" t="s">
        <v>84</v>
      </c>
      <c r="I338" t="s">
        <v>946</v>
      </c>
      <c r="J338" t="s">
        <v>70</v>
      </c>
      <c r="L338">
        <v>1</v>
      </c>
      <c r="M338" t="b">
        <v>0</v>
      </c>
      <c r="N338">
        <v>1</v>
      </c>
      <c r="O338">
        <v>2</v>
      </c>
      <c r="P338">
        <v>10</v>
      </c>
      <c r="Q338">
        <v>4</v>
      </c>
      <c r="R338">
        <v>6</v>
      </c>
      <c r="S338">
        <v>6</v>
      </c>
      <c r="T338">
        <v>34</v>
      </c>
      <c r="U338">
        <v>311</v>
      </c>
      <c r="V338">
        <v>136</v>
      </c>
      <c r="W338">
        <v>23</v>
      </c>
      <c r="X338">
        <v>5.9130434782608692</v>
      </c>
      <c r="Y338">
        <v>7</v>
      </c>
      <c r="Z338">
        <v>76</v>
      </c>
      <c r="AA338">
        <v>1</v>
      </c>
      <c r="AB338">
        <v>4</v>
      </c>
      <c r="AC338">
        <v>6</v>
      </c>
      <c r="AD338">
        <v>6</v>
      </c>
      <c r="AE338">
        <v>25</v>
      </c>
      <c r="AF338">
        <v>1</v>
      </c>
      <c r="AG338">
        <v>4</v>
      </c>
      <c r="AH338">
        <v>2</v>
      </c>
      <c r="AI338">
        <v>5</v>
      </c>
      <c r="AJ338">
        <v>1</v>
      </c>
      <c r="AK338">
        <v>3</v>
      </c>
      <c r="AL338">
        <v>3</v>
      </c>
      <c r="AM338">
        <v>8</v>
      </c>
      <c r="AN338">
        <v>9</v>
      </c>
      <c r="AO338">
        <v>84</v>
      </c>
      <c r="AP338">
        <v>14</v>
      </c>
      <c r="AQ338">
        <v>105</v>
      </c>
      <c r="AR338">
        <v>0.24437299035369769</v>
      </c>
      <c r="AS338">
        <v>1.2861736334405139E-2</v>
      </c>
      <c r="AT338">
        <v>8.0385852090032156E-2</v>
      </c>
      <c r="AU338">
        <v>1.2861736334405139E-2</v>
      </c>
      <c r="AV338">
        <v>1.607717041800643E-2</v>
      </c>
      <c r="AW338">
        <v>2.5723472668810289E-2</v>
      </c>
      <c r="AX338">
        <v>0.27009646302250812</v>
      </c>
      <c r="AY338">
        <v>0.33762057877813512</v>
      </c>
      <c r="AZ338">
        <v>0.24437299035369781</v>
      </c>
      <c r="BA338">
        <v>0.83333333333333337</v>
      </c>
      <c r="BB338">
        <v>0.8188405797101449</v>
      </c>
      <c r="BC338">
        <v>0.93333333333333335</v>
      </c>
      <c r="BD338">
        <v>0.77773311897106101</v>
      </c>
      <c r="BE338">
        <v>4</v>
      </c>
      <c r="BF338">
        <v>0.84081009133696816</v>
      </c>
      <c r="BG338">
        <v>0.84</v>
      </c>
      <c r="BH338" t="s">
        <v>164</v>
      </c>
      <c r="BI338">
        <v>0.84</v>
      </c>
      <c r="BJ338" t="s">
        <v>164</v>
      </c>
      <c r="BK338" s="2">
        <f t="shared" si="11"/>
        <v>0</v>
      </c>
      <c r="BL338" t="b">
        <f t="shared" si="12"/>
        <v>1</v>
      </c>
    </row>
    <row r="339" spans="1:64" x14ac:dyDescent="0.35">
      <c r="A339" t="s">
        <v>948</v>
      </c>
      <c r="B339" t="s">
        <v>949</v>
      </c>
      <c r="C339">
        <v>2014</v>
      </c>
      <c r="D339" t="s">
        <v>950</v>
      </c>
      <c r="E339" t="s">
        <v>951</v>
      </c>
      <c r="F339" t="s">
        <v>66</v>
      </c>
      <c r="G339" t="s">
        <v>67</v>
      </c>
      <c r="H339" t="s">
        <v>84</v>
      </c>
      <c r="I339" t="s">
        <v>952</v>
      </c>
      <c r="J339" t="s">
        <v>70</v>
      </c>
      <c r="L339">
        <v>1</v>
      </c>
      <c r="M339" t="b">
        <v>0</v>
      </c>
      <c r="N339">
        <v>1</v>
      </c>
      <c r="O339">
        <v>3</v>
      </c>
      <c r="P339">
        <v>10</v>
      </c>
      <c r="Q339">
        <v>3</v>
      </c>
      <c r="R339">
        <v>7</v>
      </c>
      <c r="S339">
        <v>6</v>
      </c>
      <c r="T339">
        <v>34</v>
      </c>
      <c r="U339">
        <v>321</v>
      </c>
      <c r="V339">
        <v>163</v>
      </c>
      <c r="W339">
        <v>28</v>
      </c>
      <c r="X339">
        <v>5.8214285714285712</v>
      </c>
      <c r="Y339">
        <v>3</v>
      </c>
      <c r="Z339">
        <v>27</v>
      </c>
      <c r="AA339">
        <v>0</v>
      </c>
      <c r="AB339">
        <v>0</v>
      </c>
      <c r="AC339">
        <v>2</v>
      </c>
      <c r="AD339">
        <v>2</v>
      </c>
      <c r="AE339">
        <v>65</v>
      </c>
      <c r="AF339">
        <v>3</v>
      </c>
      <c r="AG339">
        <v>17</v>
      </c>
      <c r="AH339">
        <v>2</v>
      </c>
      <c r="AI339">
        <v>54</v>
      </c>
      <c r="AJ339">
        <v>1</v>
      </c>
      <c r="AK339">
        <v>1</v>
      </c>
      <c r="AL339">
        <v>3</v>
      </c>
      <c r="AM339">
        <v>55</v>
      </c>
      <c r="AN339">
        <v>6</v>
      </c>
      <c r="AO339">
        <v>44</v>
      </c>
      <c r="AP339">
        <v>5</v>
      </c>
      <c r="AQ339">
        <v>92</v>
      </c>
      <c r="AR339">
        <v>8.4112149532710276E-2</v>
      </c>
      <c r="AS339">
        <v>0</v>
      </c>
      <c r="AT339">
        <v>0.2024922118380062</v>
      </c>
      <c r="AU339">
        <v>5.2959501557632398E-2</v>
      </c>
      <c r="AV339">
        <v>0.16822429906542061</v>
      </c>
      <c r="AW339">
        <v>0.17133956386292831</v>
      </c>
      <c r="AX339">
        <v>0.13707165109034269</v>
      </c>
      <c r="AY339">
        <v>0.28660436137071649</v>
      </c>
      <c r="AZ339">
        <v>-3.4267912772585667E-2</v>
      </c>
      <c r="BA339">
        <v>0.83333333333333337</v>
      </c>
      <c r="BB339">
        <v>0.80357142857142849</v>
      </c>
      <c r="BC339">
        <v>0.33333333333333331</v>
      </c>
      <c r="BD339">
        <v>0.60358255451713394</v>
      </c>
      <c r="BE339">
        <v>4</v>
      </c>
      <c r="BF339">
        <v>0.64345516243880729</v>
      </c>
      <c r="BG339">
        <v>0.67</v>
      </c>
      <c r="BH339" t="s">
        <v>86</v>
      </c>
      <c r="BI339">
        <v>0.64</v>
      </c>
      <c r="BJ339" t="s">
        <v>86</v>
      </c>
      <c r="BK339" s="2">
        <f t="shared" si="11"/>
        <v>3.0000000000000027E-2</v>
      </c>
      <c r="BL339" t="b">
        <f t="shared" si="12"/>
        <v>1</v>
      </c>
    </row>
    <row r="340" spans="1:64" x14ac:dyDescent="0.35">
      <c r="A340" t="s">
        <v>953</v>
      </c>
      <c r="B340" t="s">
        <v>949</v>
      </c>
      <c r="C340">
        <v>2017</v>
      </c>
      <c r="D340" t="s">
        <v>950</v>
      </c>
      <c r="E340" t="s">
        <v>951</v>
      </c>
      <c r="F340" t="s">
        <v>66</v>
      </c>
      <c r="G340" t="s">
        <v>67</v>
      </c>
      <c r="H340" t="s">
        <v>84</v>
      </c>
      <c r="I340" t="s">
        <v>952</v>
      </c>
      <c r="J340" t="s">
        <v>70</v>
      </c>
      <c r="L340">
        <v>1</v>
      </c>
      <c r="M340" t="b">
        <v>0</v>
      </c>
      <c r="N340">
        <v>3</v>
      </c>
      <c r="O340">
        <v>2</v>
      </c>
      <c r="P340">
        <v>3</v>
      </c>
      <c r="Q340">
        <v>2</v>
      </c>
      <c r="R340">
        <v>1</v>
      </c>
      <c r="S340">
        <v>4</v>
      </c>
      <c r="T340">
        <v>15</v>
      </c>
      <c r="U340">
        <v>236</v>
      </c>
      <c r="V340">
        <v>45</v>
      </c>
      <c r="W340">
        <v>11</v>
      </c>
      <c r="X340">
        <v>4.0909090909090908</v>
      </c>
      <c r="Y340">
        <v>2</v>
      </c>
      <c r="Z340">
        <v>7</v>
      </c>
      <c r="AA340">
        <v>0</v>
      </c>
      <c r="AB340">
        <v>0</v>
      </c>
      <c r="AC340">
        <v>1</v>
      </c>
      <c r="AD340">
        <v>1</v>
      </c>
      <c r="AE340">
        <v>8</v>
      </c>
      <c r="AF340">
        <v>0</v>
      </c>
      <c r="AG340">
        <v>0</v>
      </c>
      <c r="AH340">
        <v>2</v>
      </c>
      <c r="AI340">
        <v>172</v>
      </c>
      <c r="AJ340">
        <v>1</v>
      </c>
      <c r="AK340">
        <v>5</v>
      </c>
      <c r="AL340">
        <v>3</v>
      </c>
      <c r="AM340">
        <v>177</v>
      </c>
      <c r="AN340">
        <v>2</v>
      </c>
      <c r="AO340">
        <v>7</v>
      </c>
      <c r="AP340">
        <v>3</v>
      </c>
      <c r="AQ340">
        <v>15</v>
      </c>
      <c r="AR340">
        <v>2.966101694915254E-2</v>
      </c>
      <c r="AS340">
        <v>0</v>
      </c>
      <c r="AT340">
        <v>3.3898305084745763E-2</v>
      </c>
      <c r="AU340">
        <v>0</v>
      </c>
      <c r="AV340">
        <v>0.72881355932203384</v>
      </c>
      <c r="AW340">
        <v>0.75</v>
      </c>
      <c r="AX340">
        <v>2.966101694915254E-2</v>
      </c>
      <c r="AY340">
        <v>6.3559322033898302E-2</v>
      </c>
      <c r="AZ340">
        <v>-0.72033898305084743</v>
      </c>
      <c r="BA340">
        <v>0.5</v>
      </c>
      <c r="BB340">
        <v>0.51515151515151514</v>
      </c>
      <c r="BC340">
        <v>0.2</v>
      </c>
      <c r="BD340">
        <v>0.17478813559322029</v>
      </c>
      <c r="BE340">
        <v>4</v>
      </c>
      <c r="BF340">
        <v>0.34748491268618392</v>
      </c>
      <c r="BG340">
        <v>0.42</v>
      </c>
      <c r="BH340" t="s">
        <v>71</v>
      </c>
      <c r="BI340">
        <v>0.35</v>
      </c>
      <c r="BJ340" t="s">
        <v>104</v>
      </c>
      <c r="BK340" s="2">
        <f t="shared" si="11"/>
        <v>7.0000000000000007E-2</v>
      </c>
      <c r="BL340" t="b">
        <f t="shared" si="12"/>
        <v>0</v>
      </c>
    </row>
    <row r="341" spans="1:64" x14ac:dyDescent="0.35">
      <c r="A341" t="s">
        <v>954</v>
      </c>
      <c r="B341" t="s">
        <v>949</v>
      </c>
      <c r="C341">
        <v>2020</v>
      </c>
      <c r="D341" t="s">
        <v>950</v>
      </c>
      <c r="E341" t="s">
        <v>951</v>
      </c>
      <c r="F341" t="s">
        <v>66</v>
      </c>
      <c r="G341" t="s">
        <v>67</v>
      </c>
      <c r="H341" t="s">
        <v>84</v>
      </c>
      <c r="I341" t="s">
        <v>952</v>
      </c>
      <c r="J341" t="s">
        <v>70</v>
      </c>
      <c r="L341">
        <v>1</v>
      </c>
      <c r="M341" t="b">
        <v>0</v>
      </c>
      <c r="N341">
        <v>1</v>
      </c>
      <c r="O341">
        <v>1</v>
      </c>
      <c r="P341">
        <v>4</v>
      </c>
      <c r="Q341">
        <v>4</v>
      </c>
      <c r="R341">
        <v>0</v>
      </c>
      <c r="S341">
        <v>4</v>
      </c>
      <c r="T341">
        <v>22</v>
      </c>
      <c r="U341">
        <v>303</v>
      </c>
      <c r="V341">
        <v>97</v>
      </c>
      <c r="W341">
        <v>20</v>
      </c>
      <c r="X341">
        <v>4.8499999999999996</v>
      </c>
      <c r="Y341">
        <v>2</v>
      </c>
      <c r="Z341">
        <v>29</v>
      </c>
      <c r="AA341">
        <v>0</v>
      </c>
      <c r="AB341">
        <v>0</v>
      </c>
      <c r="AC341">
        <v>1</v>
      </c>
      <c r="AD341">
        <v>1</v>
      </c>
      <c r="AE341">
        <v>57</v>
      </c>
      <c r="AF341">
        <v>2</v>
      </c>
      <c r="AG341">
        <v>4</v>
      </c>
      <c r="AH341">
        <v>2</v>
      </c>
      <c r="AI341">
        <v>47</v>
      </c>
      <c r="AJ341">
        <v>1</v>
      </c>
      <c r="AK341">
        <v>6</v>
      </c>
      <c r="AL341">
        <v>3</v>
      </c>
      <c r="AM341">
        <v>53</v>
      </c>
      <c r="AN341">
        <v>4</v>
      </c>
      <c r="AO341">
        <v>33</v>
      </c>
      <c r="AP341">
        <v>3</v>
      </c>
      <c r="AQ341">
        <v>86</v>
      </c>
      <c r="AR341">
        <v>9.5709570957095716E-2</v>
      </c>
      <c r="AS341">
        <v>0</v>
      </c>
      <c r="AT341">
        <v>0.18811881188118809</v>
      </c>
      <c r="AU341">
        <v>1.32013201320132E-2</v>
      </c>
      <c r="AV341">
        <v>0.15511551155115511</v>
      </c>
      <c r="AW341">
        <v>0.1749174917491749</v>
      </c>
      <c r="AX341">
        <v>0.1089108910891089</v>
      </c>
      <c r="AY341">
        <v>0.28382838283828382</v>
      </c>
      <c r="AZ341">
        <v>-6.6006600660066014E-2</v>
      </c>
      <c r="BA341">
        <v>0.5</v>
      </c>
      <c r="BB341">
        <v>0.64166666666666661</v>
      </c>
      <c r="BC341">
        <v>0.2</v>
      </c>
      <c r="BD341">
        <v>0.58374587458745875</v>
      </c>
      <c r="BE341">
        <v>4</v>
      </c>
      <c r="BF341">
        <v>0.48135313531353141</v>
      </c>
      <c r="BG341">
        <v>0.51</v>
      </c>
      <c r="BH341" t="s">
        <v>71</v>
      </c>
      <c r="BI341">
        <v>0.48</v>
      </c>
      <c r="BJ341" t="s">
        <v>71</v>
      </c>
      <c r="BK341" s="2">
        <f t="shared" si="11"/>
        <v>3.0000000000000027E-2</v>
      </c>
      <c r="BL341" t="b">
        <f t="shared" si="12"/>
        <v>1</v>
      </c>
    </row>
    <row r="342" spans="1:64" x14ac:dyDescent="0.35">
      <c r="A342" t="s">
        <v>955</v>
      </c>
      <c r="B342" t="s">
        <v>956</v>
      </c>
      <c r="C342">
        <v>2014</v>
      </c>
      <c r="D342" t="s">
        <v>957</v>
      </c>
      <c r="E342" t="s">
        <v>958</v>
      </c>
      <c r="F342" t="s">
        <v>66</v>
      </c>
      <c r="G342" t="s">
        <v>67</v>
      </c>
      <c r="H342" t="s">
        <v>84</v>
      </c>
      <c r="I342" t="s">
        <v>959</v>
      </c>
      <c r="J342" t="s">
        <v>70</v>
      </c>
      <c r="L342">
        <v>2</v>
      </c>
      <c r="M342" t="b">
        <v>0</v>
      </c>
      <c r="N342">
        <v>1</v>
      </c>
      <c r="O342">
        <v>3</v>
      </c>
      <c r="P342">
        <v>17</v>
      </c>
      <c r="Q342">
        <v>5</v>
      </c>
      <c r="R342">
        <v>12</v>
      </c>
      <c r="S342">
        <v>7</v>
      </c>
      <c r="T342">
        <v>52</v>
      </c>
      <c r="U342">
        <v>347</v>
      </c>
      <c r="V342">
        <v>252</v>
      </c>
      <c r="W342">
        <v>39</v>
      </c>
      <c r="X342">
        <v>6.4615384615384617</v>
      </c>
      <c r="Y342">
        <v>6</v>
      </c>
      <c r="Z342">
        <v>81</v>
      </c>
      <c r="AA342">
        <v>1</v>
      </c>
      <c r="AB342">
        <v>4</v>
      </c>
      <c r="AC342">
        <v>5</v>
      </c>
      <c r="AD342">
        <v>5</v>
      </c>
      <c r="AE342">
        <v>49</v>
      </c>
      <c r="AF342">
        <v>4</v>
      </c>
      <c r="AG342">
        <v>8</v>
      </c>
      <c r="AH342">
        <v>2</v>
      </c>
      <c r="AI342">
        <v>54</v>
      </c>
      <c r="AJ342">
        <v>2</v>
      </c>
      <c r="AK342">
        <v>2</v>
      </c>
      <c r="AL342">
        <v>4</v>
      </c>
      <c r="AM342">
        <v>56</v>
      </c>
      <c r="AN342">
        <v>11</v>
      </c>
      <c r="AO342">
        <v>93</v>
      </c>
      <c r="AP342">
        <v>12</v>
      </c>
      <c r="AQ342">
        <v>134</v>
      </c>
      <c r="AR342">
        <v>0.2334293948126801</v>
      </c>
      <c r="AS342">
        <v>1.152737752161383E-2</v>
      </c>
      <c r="AT342">
        <v>0.14121037463976949</v>
      </c>
      <c r="AU342">
        <v>2.3054755043227661E-2</v>
      </c>
      <c r="AV342">
        <v>0.15561959654178681</v>
      </c>
      <c r="AW342">
        <v>0.16138328530259369</v>
      </c>
      <c r="AX342">
        <v>0.2680115273775216</v>
      </c>
      <c r="AY342">
        <v>0.3861671469740634</v>
      </c>
      <c r="AZ342">
        <v>0.1066282420749279</v>
      </c>
      <c r="BA342">
        <v>1</v>
      </c>
      <c r="BB342">
        <v>0.91025641025641024</v>
      </c>
      <c r="BC342">
        <v>0.8</v>
      </c>
      <c r="BD342">
        <v>0.69164265129682989</v>
      </c>
      <c r="BE342">
        <v>4</v>
      </c>
      <c r="BF342">
        <v>0.85047476538831002</v>
      </c>
      <c r="BG342">
        <v>0.87</v>
      </c>
      <c r="BH342" t="s">
        <v>164</v>
      </c>
      <c r="BI342">
        <v>0.85</v>
      </c>
      <c r="BJ342" t="s">
        <v>164</v>
      </c>
      <c r="BK342" s="2">
        <f t="shared" si="11"/>
        <v>2.0000000000000018E-2</v>
      </c>
      <c r="BL342" t="b">
        <f t="shared" si="12"/>
        <v>1</v>
      </c>
    </row>
    <row r="343" spans="1:64" x14ac:dyDescent="0.35">
      <c r="A343" t="s">
        <v>960</v>
      </c>
      <c r="B343" t="s">
        <v>956</v>
      </c>
      <c r="C343">
        <v>2017</v>
      </c>
      <c r="D343" t="s">
        <v>957</v>
      </c>
      <c r="E343" t="s">
        <v>958</v>
      </c>
      <c r="F343" t="s">
        <v>66</v>
      </c>
      <c r="G343" t="s">
        <v>67</v>
      </c>
      <c r="H343" t="s">
        <v>84</v>
      </c>
      <c r="I343" t="s">
        <v>959</v>
      </c>
      <c r="J343" t="s">
        <v>70</v>
      </c>
      <c r="L343">
        <v>2</v>
      </c>
      <c r="M343" t="b">
        <v>0</v>
      </c>
      <c r="N343">
        <v>2</v>
      </c>
      <c r="O343">
        <v>1</v>
      </c>
      <c r="P343">
        <v>4</v>
      </c>
      <c r="Q343">
        <v>0</v>
      </c>
      <c r="R343">
        <v>4</v>
      </c>
      <c r="S343">
        <v>5</v>
      </c>
      <c r="T343">
        <v>20</v>
      </c>
      <c r="U343">
        <v>475</v>
      </c>
      <c r="V343">
        <v>73</v>
      </c>
      <c r="W343">
        <v>13</v>
      </c>
      <c r="X343">
        <v>5.615384615384615</v>
      </c>
      <c r="Y343">
        <v>2</v>
      </c>
      <c r="Z343">
        <v>289</v>
      </c>
      <c r="AA343">
        <v>0</v>
      </c>
      <c r="AB343">
        <v>0</v>
      </c>
      <c r="AC343">
        <v>1</v>
      </c>
      <c r="AD343">
        <v>1</v>
      </c>
      <c r="AE343">
        <v>18</v>
      </c>
      <c r="AF343">
        <v>2</v>
      </c>
      <c r="AG343">
        <v>5</v>
      </c>
      <c r="AH343">
        <v>1</v>
      </c>
      <c r="AI343">
        <v>23</v>
      </c>
      <c r="AJ343">
        <v>0</v>
      </c>
      <c r="AK343">
        <v>0</v>
      </c>
      <c r="AL343">
        <v>1</v>
      </c>
      <c r="AM343">
        <v>23</v>
      </c>
      <c r="AN343">
        <v>4</v>
      </c>
      <c r="AO343">
        <v>294</v>
      </c>
      <c r="AP343">
        <v>3</v>
      </c>
      <c r="AQ343">
        <v>307</v>
      </c>
      <c r="AR343">
        <v>0.60842105263157897</v>
      </c>
      <c r="AS343">
        <v>0</v>
      </c>
      <c r="AT343">
        <v>3.7894736842105273E-2</v>
      </c>
      <c r="AU343">
        <v>1.0526315789473681E-2</v>
      </c>
      <c r="AV343">
        <v>4.8421052631578948E-2</v>
      </c>
      <c r="AW343">
        <v>4.8421052631578948E-2</v>
      </c>
      <c r="AX343">
        <v>0.61894736842105258</v>
      </c>
      <c r="AY343">
        <v>0.64631578947368418</v>
      </c>
      <c r="AZ343">
        <v>0.57052631578947366</v>
      </c>
      <c r="BA343">
        <v>0.66666666666666663</v>
      </c>
      <c r="BB343">
        <v>0.76923076923076916</v>
      </c>
      <c r="BC343">
        <v>0.2</v>
      </c>
      <c r="BD343">
        <v>0.98157894736842111</v>
      </c>
      <c r="BE343">
        <v>4</v>
      </c>
      <c r="BF343">
        <v>0.65436909581646419</v>
      </c>
      <c r="BG343">
        <v>0.62</v>
      </c>
      <c r="BH343" t="s">
        <v>86</v>
      </c>
      <c r="BI343">
        <v>0.65</v>
      </c>
      <c r="BJ343" t="s">
        <v>86</v>
      </c>
      <c r="BK343" s="2">
        <f t="shared" si="11"/>
        <v>-3.0000000000000027E-2</v>
      </c>
      <c r="BL343" t="b">
        <f t="shared" si="12"/>
        <v>1</v>
      </c>
    </row>
    <row r="344" spans="1:64" x14ac:dyDescent="0.35">
      <c r="A344" t="s">
        <v>961</v>
      </c>
      <c r="B344" t="s">
        <v>956</v>
      </c>
      <c r="C344">
        <v>2020</v>
      </c>
      <c r="D344" t="s">
        <v>957</v>
      </c>
      <c r="E344" t="s">
        <v>958</v>
      </c>
      <c r="F344" t="s">
        <v>66</v>
      </c>
      <c r="G344" t="s">
        <v>67</v>
      </c>
      <c r="H344" t="s">
        <v>84</v>
      </c>
      <c r="I344" t="s">
        <v>959</v>
      </c>
      <c r="J344" t="s">
        <v>70</v>
      </c>
      <c r="L344">
        <v>2</v>
      </c>
      <c r="M344" t="b">
        <v>0</v>
      </c>
      <c r="N344">
        <v>1</v>
      </c>
      <c r="O344">
        <v>1</v>
      </c>
      <c r="P344">
        <v>9</v>
      </c>
      <c r="Q344">
        <v>4</v>
      </c>
      <c r="R344">
        <v>5</v>
      </c>
      <c r="S344">
        <v>5</v>
      </c>
      <c r="T344">
        <v>41</v>
      </c>
      <c r="U344">
        <v>1375</v>
      </c>
      <c r="V344">
        <v>181</v>
      </c>
      <c r="W344">
        <v>32</v>
      </c>
      <c r="X344">
        <v>5.65625</v>
      </c>
      <c r="Y344">
        <v>6</v>
      </c>
      <c r="Z344">
        <v>176</v>
      </c>
      <c r="AA344">
        <v>0</v>
      </c>
      <c r="AB344">
        <v>0</v>
      </c>
      <c r="AC344">
        <v>2</v>
      </c>
      <c r="AD344">
        <v>2</v>
      </c>
      <c r="AE344">
        <v>244</v>
      </c>
      <c r="AF344">
        <v>1</v>
      </c>
      <c r="AG344">
        <v>22</v>
      </c>
      <c r="AH344">
        <v>2</v>
      </c>
      <c r="AI344">
        <v>26</v>
      </c>
      <c r="AJ344">
        <v>1</v>
      </c>
      <c r="AK344">
        <v>3</v>
      </c>
      <c r="AL344">
        <v>4</v>
      </c>
      <c r="AM344">
        <v>195</v>
      </c>
      <c r="AN344">
        <v>7</v>
      </c>
      <c r="AO344">
        <v>198</v>
      </c>
      <c r="AP344">
        <v>8</v>
      </c>
      <c r="AQ344">
        <v>420</v>
      </c>
      <c r="AR344">
        <v>0.128</v>
      </c>
      <c r="AS344">
        <v>0</v>
      </c>
      <c r="AT344">
        <v>0.17745454545454539</v>
      </c>
      <c r="AU344">
        <v>1.6E-2</v>
      </c>
      <c r="AV344">
        <v>1.890909090909091E-2</v>
      </c>
      <c r="AW344">
        <v>0.14181818181818179</v>
      </c>
      <c r="AX344">
        <v>0.14399999999999999</v>
      </c>
      <c r="AY344">
        <v>0.30545454545454548</v>
      </c>
      <c r="AZ344">
        <v>2.1818181818181741E-3</v>
      </c>
      <c r="BA344">
        <v>0.66666666666666663</v>
      </c>
      <c r="BB344">
        <v>0.77604166666666663</v>
      </c>
      <c r="BC344">
        <v>0.53333333333333333</v>
      </c>
      <c r="BD344">
        <v>0.62636363636363634</v>
      </c>
      <c r="BE344">
        <v>4</v>
      </c>
      <c r="BF344">
        <v>0.65060132575757579</v>
      </c>
      <c r="BG344">
        <v>0.67</v>
      </c>
      <c r="BH344" t="s">
        <v>86</v>
      </c>
      <c r="BI344">
        <v>0.65</v>
      </c>
      <c r="BJ344" t="s">
        <v>86</v>
      </c>
      <c r="BK344" s="2">
        <f t="shared" si="11"/>
        <v>2.0000000000000018E-2</v>
      </c>
      <c r="BL344" t="b">
        <f t="shared" si="12"/>
        <v>1</v>
      </c>
    </row>
    <row r="345" spans="1:64" x14ac:dyDescent="0.35">
      <c r="A345" t="s">
        <v>962</v>
      </c>
      <c r="B345" t="s">
        <v>963</v>
      </c>
      <c r="C345">
        <v>2014</v>
      </c>
      <c r="D345" t="s">
        <v>964</v>
      </c>
      <c r="E345" t="s">
        <v>965</v>
      </c>
      <c r="F345" t="s">
        <v>66</v>
      </c>
      <c r="G345" t="s">
        <v>67</v>
      </c>
      <c r="H345" t="s">
        <v>84</v>
      </c>
      <c r="I345" t="s">
        <v>966</v>
      </c>
      <c r="J345" t="s">
        <v>70</v>
      </c>
      <c r="L345">
        <v>1</v>
      </c>
      <c r="M345" t="b">
        <v>0</v>
      </c>
      <c r="N345">
        <v>4</v>
      </c>
      <c r="O345">
        <v>1</v>
      </c>
      <c r="P345">
        <v>2</v>
      </c>
      <c r="Q345">
        <v>4</v>
      </c>
      <c r="R345">
        <v>-2</v>
      </c>
      <c r="S345">
        <v>2</v>
      </c>
      <c r="T345">
        <v>23</v>
      </c>
      <c r="U345">
        <v>188</v>
      </c>
      <c r="V345">
        <v>80</v>
      </c>
      <c r="W345">
        <v>18</v>
      </c>
      <c r="X345">
        <v>4.4444444444444446</v>
      </c>
      <c r="Y345">
        <v>1</v>
      </c>
      <c r="Z345">
        <v>2</v>
      </c>
      <c r="AA345">
        <v>0</v>
      </c>
      <c r="AB345">
        <v>0</v>
      </c>
      <c r="AC345">
        <v>3</v>
      </c>
      <c r="AD345">
        <v>3</v>
      </c>
      <c r="AE345">
        <v>13</v>
      </c>
      <c r="AF345">
        <v>2</v>
      </c>
      <c r="AG345">
        <v>2</v>
      </c>
      <c r="AH345">
        <v>1</v>
      </c>
      <c r="AI345">
        <v>4</v>
      </c>
      <c r="AJ345">
        <v>4</v>
      </c>
      <c r="AK345">
        <v>43</v>
      </c>
      <c r="AL345">
        <v>5</v>
      </c>
      <c r="AM345">
        <v>47</v>
      </c>
      <c r="AN345">
        <v>3</v>
      </c>
      <c r="AO345">
        <v>4</v>
      </c>
      <c r="AP345">
        <v>4</v>
      </c>
      <c r="AQ345">
        <v>15</v>
      </c>
      <c r="AR345">
        <v>1.063829787234043E-2</v>
      </c>
      <c r="AS345">
        <v>0</v>
      </c>
      <c r="AT345">
        <v>6.9148936170212769E-2</v>
      </c>
      <c r="AU345">
        <v>1.063829787234043E-2</v>
      </c>
      <c r="AV345">
        <v>2.1276595744680851E-2</v>
      </c>
      <c r="AW345">
        <v>0.25</v>
      </c>
      <c r="AX345">
        <v>2.1276595744680851E-2</v>
      </c>
      <c r="AY345">
        <v>7.9787234042553196E-2</v>
      </c>
      <c r="AZ345">
        <v>-0.22872340425531909</v>
      </c>
      <c r="BA345">
        <v>0.16666666666666671</v>
      </c>
      <c r="BB345">
        <v>0.57407407407407407</v>
      </c>
      <c r="BC345">
        <v>0.26666666666666672</v>
      </c>
      <c r="BD345">
        <v>0.48204787234042551</v>
      </c>
      <c r="BE345">
        <v>4</v>
      </c>
      <c r="BF345">
        <v>0.37236381993695822</v>
      </c>
      <c r="BG345">
        <v>0.38</v>
      </c>
      <c r="BH345" t="s">
        <v>104</v>
      </c>
      <c r="BI345">
        <v>0.37</v>
      </c>
      <c r="BJ345" t="s">
        <v>104</v>
      </c>
      <c r="BK345" s="2">
        <f t="shared" si="11"/>
        <v>1.0000000000000009E-2</v>
      </c>
      <c r="BL345" t="b">
        <f t="shared" si="12"/>
        <v>1</v>
      </c>
    </row>
    <row r="346" spans="1:64" x14ac:dyDescent="0.35">
      <c r="A346" t="s">
        <v>967</v>
      </c>
      <c r="B346" t="s">
        <v>963</v>
      </c>
      <c r="C346">
        <v>2017</v>
      </c>
      <c r="D346" t="s">
        <v>964</v>
      </c>
      <c r="E346" t="s">
        <v>965</v>
      </c>
      <c r="F346" t="s">
        <v>66</v>
      </c>
      <c r="G346" t="s">
        <v>67</v>
      </c>
      <c r="H346" t="s">
        <v>84</v>
      </c>
      <c r="I346" t="s">
        <v>966</v>
      </c>
      <c r="J346" t="s">
        <v>70</v>
      </c>
      <c r="L346">
        <v>1</v>
      </c>
      <c r="M346" t="b">
        <v>0</v>
      </c>
      <c r="N346">
        <v>3</v>
      </c>
      <c r="O346">
        <v>3</v>
      </c>
      <c r="P346">
        <v>4</v>
      </c>
      <c r="Q346">
        <v>5</v>
      </c>
      <c r="R346">
        <v>-1</v>
      </c>
      <c r="S346">
        <v>4</v>
      </c>
      <c r="T346">
        <v>31</v>
      </c>
      <c r="U346">
        <v>433</v>
      </c>
      <c r="V346">
        <v>83</v>
      </c>
      <c r="W346">
        <v>20</v>
      </c>
      <c r="X346">
        <v>4.1500000000000004</v>
      </c>
      <c r="Y346">
        <v>3</v>
      </c>
      <c r="Z346">
        <v>45</v>
      </c>
      <c r="AA346">
        <v>0</v>
      </c>
      <c r="AB346">
        <v>0</v>
      </c>
      <c r="AC346">
        <v>1</v>
      </c>
      <c r="AD346">
        <v>1</v>
      </c>
      <c r="AE346">
        <v>33</v>
      </c>
      <c r="AF346">
        <v>2</v>
      </c>
      <c r="AG346">
        <v>3</v>
      </c>
      <c r="AH346">
        <v>3</v>
      </c>
      <c r="AI346">
        <v>50</v>
      </c>
      <c r="AJ346">
        <v>3</v>
      </c>
      <c r="AK346">
        <v>32</v>
      </c>
      <c r="AL346">
        <v>6</v>
      </c>
      <c r="AM346">
        <v>82</v>
      </c>
      <c r="AN346">
        <v>5</v>
      </c>
      <c r="AO346">
        <v>48</v>
      </c>
      <c r="AP346">
        <v>4</v>
      </c>
      <c r="AQ346">
        <v>78</v>
      </c>
      <c r="AR346">
        <v>0.1039260969976905</v>
      </c>
      <c r="AS346">
        <v>0</v>
      </c>
      <c r="AT346">
        <v>7.6212471131639717E-2</v>
      </c>
      <c r="AU346">
        <v>6.9284064665127024E-3</v>
      </c>
      <c r="AV346">
        <v>0.115473441108545</v>
      </c>
      <c r="AW346">
        <v>0.18937644341801391</v>
      </c>
      <c r="AX346">
        <v>0.1108545034642032</v>
      </c>
      <c r="AY346">
        <v>0.1801385681293303</v>
      </c>
      <c r="AZ346">
        <v>-7.8521939953810613E-2</v>
      </c>
      <c r="BA346">
        <v>0.5</v>
      </c>
      <c r="BB346">
        <v>0.52500000000000002</v>
      </c>
      <c r="BC346">
        <v>0.26666666666666672</v>
      </c>
      <c r="BD346">
        <v>0.5759237875288683</v>
      </c>
      <c r="BE346">
        <v>4</v>
      </c>
      <c r="BF346">
        <v>0.46689761354888382</v>
      </c>
      <c r="BG346">
        <v>0.44</v>
      </c>
      <c r="BH346" t="s">
        <v>71</v>
      </c>
      <c r="BI346">
        <v>0.47</v>
      </c>
      <c r="BJ346" t="s">
        <v>71</v>
      </c>
      <c r="BK346" s="2">
        <f t="shared" si="11"/>
        <v>-2.9999999999999971E-2</v>
      </c>
      <c r="BL346" t="b">
        <f t="shared" si="12"/>
        <v>1</v>
      </c>
    </row>
    <row r="347" spans="1:64" x14ac:dyDescent="0.35">
      <c r="A347" t="s">
        <v>968</v>
      </c>
      <c r="B347" t="s">
        <v>963</v>
      </c>
      <c r="C347">
        <v>2020</v>
      </c>
      <c r="D347" t="s">
        <v>964</v>
      </c>
      <c r="E347" t="s">
        <v>965</v>
      </c>
      <c r="F347" t="s">
        <v>66</v>
      </c>
      <c r="G347" t="s">
        <v>67</v>
      </c>
      <c r="H347" t="s">
        <v>84</v>
      </c>
      <c r="I347" t="s">
        <v>966</v>
      </c>
      <c r="J347" t="s">
        <v>70</v>
      </c>
      <c r="L347">
        <v>1</v>
      </c>
      <c r="M347" t="b">
        <v>0</v>
      </c>
      <c r="N347">
        <v>3</v>
      </c>
      <c r="O347">
        <v>2</v>
      </c>
      <c r="P347">
        <v>2</v>
      </c>
      <c r="Q347">
        <v>5</v>
      </c>
      <c r="R347">
        <v>-3</v>
      </c>
      <c r="S347">
        <v>3</v>
      </c>
      <c r="T347">
        <v>16</v>
      </c>
      <c r="U347">
        <v>95</v>
      </c>
      <c r="V347">
        <v>52</v>
      </c>
      <c r="W347">
        <v>13</v>
      </c>
      <c r="X347">
        <v>4</v>
      </c>
      <c r="Y347">
        <v>1</v>
      </c>
      <c r="Z347">
        <v>15</v>
      </c>
      <c r="AA347">
        <v>0</v>
      </c>
      <c r="AB347">
        <v>0</v>
      </c>
      <c r="AC347">
        <v>2</v>
      </c>
      <c r="AD347">
        <v>2</v>
      </c>
      <c r="AE347">
        <v>2</v>
      </c>
      <c r="AF347">
        <v>1</v>
      </c>
      <c r="AG347">
        <v>4</v>
      </c>
      <c r="AH347">
        <v>1</v>
      </c>
      <c r="AI347">
        <v>10</v>
      </c>
      <c r="AJ347">
        <v>3</v>
      </c>
      <c r="AK347">
        <v>14</v>
      </c>
      <c r="AL347">
        <v>4</v>
      </c>
      <c r="AM347">
        <v>24</v>
      </c>
      <c r="AN347">
        <v>2</v>
      </c>
      <c r="AO347">
        <v>19</v>
      </c>
      <c r="AP347">
        <v>3</v>
      </c>
      <c r="AQ347">
        <v>17</v>
      </c>
      <c r="AR347">
        <v>0.15789473684210531</v>
      </c>
      <c r="AS347">
        <v>0</v>
      </c>
      <c r="AT347">
        <v>2.1052631578947371E-2</v>
      </c>
      <c r="AU347">
        <v>4.2105263157894743E-2</v>
      </c>
      <c r="AV347">
        <v>0.10526315789473679</v>
      </c>
      <c r="AW347">
        <v>0.25263157894736837</v>
      </c>
      <c r="AX347">
        <v>0.2</v>
      </c>
      <c r="AY347">
        <v>0.1789473684210526</v>
      </c>
      <c r="AZ347">
        <v>-5.2631578947368418E-2</v>
      </c>
      <c r="BA347">
        <v>0.33333333333333331</v>
      </c>
      <c r="BB347">
        <v>0.5</v>
      </c>
      <c r="BC347">
        <v>0.2</v>
      </c>
      <c r="BD347">
        <v>0.59210526315789469</v>
      </c>
      <c r="BE347">
        <v>4</v>
      </c>
      <c r="BF347">
        <v>0.40635964912280698</v>
      </c>
      <c r="BG347">
        <v>0.42</v>
      </c>
      <c r="BH347" t="s">
        <v>71</v>
      </c>
      <c r="BI347">
        <v>0.41</v>
      </c>
      <c r="BJ347" t="s">
        <v>71</v>
      </c>
      <c r="BK347" s="2">
        <f t="shared" si="11"/>
        <v>1.0000000000000009E-2</v>
      </c>
      <c r="BL347" t="b">
        <f t="shared" si="12"/>
        <v>1</v>
      </c>
    </row>
    <row r="348" spans="1:64" x14ac:dyDescent="0.35">
      <c r="A348" t="s">
        <v>969</v>
      </c>
      <c r="B348" t="s">
        <v>970</v>
      </c>
      <c r="C348">
        <v>2014</v>
      </c>
      <c r="D348" t="s">
        <v>971</v>
      </c>
      <c r="E348" t="s">
        <v>972</v>
      </c>
      <c r="F348" t="s">
        <v>66</v>
      </c>
      <c r="G348" t="s">
        <v>67</v>
      </c>
      <c r="H348" t="s">
        <v>84</v>
      </c>
      <c r="I348" t="s">
        <v>973</v>
      </c>
      <c r="J348" t="s">
        <v>70</v>
      </c>
      <c r="L348">
        <v>1</v>
      </c>
      <c r="M348" t="b">
        <v>0</v>
      </c>
      <c r="N348">
        <v>1</v>
      </c>
      <c r="O348">
        <v>1</v>
      </c>
      <c r="P348">
        <v>7</v>
      </c>
      <c r="Q348">
        <v>2</v>
      </c>
      <c r="R348">
        <v>5</v>
      </c>
      <c r="S348">
        <v>5</v>
      </c>
      <c r="T348">
        <v>25</v>
      </c>
      <c r="U348">
        <v>230</v>
      </c>
      <c r="V348">
        <v>112</v>
      </c>
      <c r="W348">
        <v>20</v>
      </c>
      <c r="X348">
        <v>5.6</v>
      </c>
      <c r="Y348">
        <v>4</v>
      </c>
      <c r="Z348">
        <v>109</v>
      </c>
      <c r="AA348">
        <v>0</v>
      </c>
      <c r="AB348">
        <v>0</v>
      </c>
      <c r="AC348">
        <v>4</v>
      </c>
      <c r="AD348">
        <v>4</v>
      </c>
      <c r="AE348">
        <v>53</v>
      </c>
      <c r="AF348">
        <v>0</v>
      </c>
      <c r="AG348">
        <v>0</v>
      </c>
      <c r="AH348">
        <v>2</v>
      </c>
      <c r="AI348">
        <v>4</v>
      </c>
      <c r="AJ348">
        <v>0</v>
      </c>
      <c r="AK348">
        <v>0</v>
      </c>
      <c r="AL348">
        <v>2</v>
      </c>
      <c r="AM348">
        <v>4</v>
      </c>
      <c r="AN348">
        <v>4</v>
      </c>
      <c r="AO348">
        <v>109</v>
      </c>
      <c r="AP348">
        <v>8</v>
      </c>
      <c r="AQ348">
        <v>162</v>
      </c>
      <c r="AR348">
        <v>0.47391304347826091</v>
      </c>
      <c r="AS348">
        <v>0</v>
      </c>
      <c r="AT348">
        <v>0.23043478260869571</v>
      </c>
      <c r="AU348">
        <v>0</v>
      </c>
      <c r="AV348">
        <v>1.7391304347826091E-2</v>
      </c>
      <c r="AW348">
        <v>1.7391304347826091E-2</v>
      </c>
      <c r="AX348">
        <v>0.47391304347826091</v>
      </c>
      <c r="AY348">
        <v>0.70434782608695656</v>
      </c>
      <c r="AZ348">
        <v>0.45652173913043481</v>
      </c>
      <c r="BA348">
        <v>0.66666666666666663</v>
      </c>
      <c r="BB348">
        <v>0.76666666666666661</v>
      </c>
      <c r="BC348">
        <v>0.53333333333333333</v>
      </c>
      <c r="BD348">
        <v>0.91032608695652173</v>
      </c>
      <c r="BE348">
        <v>4</v>
      </c>
      <c r="BF348">
        <v>0.71924818840579707</v>
      </c>
      <c r="BG348">
        <v>0.76</v>
      </c>
      <c r="BH348" t="s">
        <v>86</v>
      </c>
      <c r="BI348">
        <v>0.72</v>
      </c>
      <c r="BJ348" t="s">
        <v>86</v>
      </c>
      <c r="BK348" s="2">
        <f t="shared" si="11"/>
        <v>4.0000000000000036E-2</v>
      </c>
      <c r="BL348" t="b">
        <f t="shared" si="12"/>
        <v>1</v>
      </c>
    </row>
    <row r="349" spans="1:64" x14ac:dyDescent="0.35">
      <c r="A349" t="s">
        <v>974</v>
      </c>
      <c r="B349" t="s">
        <v>970</v>
      </c>
      <c r="C349">
        <v>2017</v>
      </c>
      <c r="D349" t="s">
        <v>971</v>
      </c>
      <c r="E349" t="s">
        <v>972</v>
      </c>
      <c r="F349" t="s">
        <v>66</v>
      </c>
      <c r="G349" t="s">
        <v>67</v>
      </c>
      <c r="H349" t="s">
        <v>84</v>
      </c>
      <c r="I349" t="s">
        <v>973</v>
      </c>
      <c r="J349" t="s">
        <v>70</v>
      </c>
      <c r="L349">
        <v>1</v>
      </c>
      <c r="M349" t="b">
        <v>0</v>
      </c>
      <c r="N349">
        <v>1</v>
      </c>
      <c r="O349">
        <v>1</v>
      </c>
      <c r="P349">
        <v>6</v>
      </c>
      <c r="Q349">
        <v>6</v>
      </c>
      <c r="R349">
        <v>0</v>
      </c>
      <c r="S349">
        <v>4</v>
      </c>
      <c r="T349">
        <v>37</v>
      </c>
      <c r="U349">
        <v>1101</v>
      </c>
      <c r="V349">
        <v>140</v>
      </c>
      <c r="W349">
        <v>28</v>
      </c>
      <c r="X349">
        <v>5</v>
      </c>
      <c r="Y349">
        <v>5</v>
      </c>
      <c r="Z349">
        <v>95</v>
      </c>
      <c r="AA349">
        <v>0</v>
      </c>
      <c r="AB349">
        <v>0</v>
      </c>
      <c r="AC349">
        <v>3</v>
      </c>
      <c r="AD349">
        <v>3</v>
      </c>
      <c r="AE349">
        <v>79</v>
      </c>
      <c r="AF349">
        <v>2</v>
      </c>
      <c r="AG349">
        <v>17</v>
      </c>
      <c r="AH349">
        <v>3</v>
      </c>
      <c r="AI349">
        <v>67</v>
      </c>
      <c r="AJ349">
        <v>2</v>
      </c>
      <c r="AK349">
        <v>24</v>
      </c>
      <c r="AL349">
        <v>5</v>
      </c>
      <c r="AM349">
        <v>91</v>
      </c>
      <c r="AN349">
        <v>7</v>
      </c>
      <c r="AO349">
        <v>112</v>
      </c>
      <c r="AP349">
        <v>8</v>
      </c>
      <c r="AQ349">
        <v>174</v>
      </c>
      <c r="AR349">
        <v>8.6285195277020887E-2</v>
      </c>
      <c r="AS349">
        <v>0</v>
      </c>
      <c r="AT349">
        <v>7.1752951861943692E-2</v>
      </c>
      <c r="AU349">
        <v>1.544050862851953E-2</v>
      </c>
      <c r="AV349">
        <v>6.0853769300635789E-2</v>
      </c>
      <c r="AW349">
        <v>8.2652134423251589E-2</v>
      </c>
      <c r="AX349">
        <v>0.10172570390554039</v>
      </c>
      <c r="AY349">
        <v>0.15803814713896461</v>
      </c>
      <c r="AZ349">
        <v>1.9073569482288829E-2</v>
      </c>
      <c r="BA349">
        <v>0.5</v>
      </c>
      <c r="BB349">
        <v>0.66666666666666663</v>
      </c>
      <c r="BC349">
        <v>0.53333333333333333</v>
      </c>
      <c r="BD349">
        <v>0.63692098092643046</v>
      </c>
      <c r="BE349">
        <v>4</v>
      </c>
      <c r="BF349">
        <v>0.5842302452316076</v>
      </c>
      <c r="BG349">
        <v>0.56000000000000005</v>
      </c>
      <c r="BH349" t="s">
        <v>71</v>
      </c>
      <c r="BI349">
        <v>0.57999999999999996</v>
      </c>
      <c r="BJ349" t="s">
        <v>71</v>
      </c>
      <c r="BK349" s="2">
        <f t="shared" si="11"/>
        <v>-1.9999999999999907E-2</v>
      </c>
      <c r="BL349" t="b">
        <f t="shared" si="12"/>
        <v>1</v>
      </c>
    </row>
    <row r="350" spans="1:64" x14ac:dyDescent="0.35">
      <c r="A350" t="s">
        <v>975</v>
      </c>
      <c r="B350" t="s">
        <v>970</v>
      </c>
      <c r="C350">
        <v>2020</v>
      </c>
      <c r="D350" t="s">
        <v>971</v>
      </c>
      <c r="E350" t="s">
        <v>972</v>
      </c>
      <c r="F350" t="s">
        <v>66</v>
      </c>
      <c r="G350" t="s">
        <v>67</v>
      </c>
      <c r="H350" t="s">
        <v>84</v>
      </c>
      <c r="I350" t="s">
        <v>973</v>
      </c>
      <c r="J350" t="s">
        <v>70</v>
      </c>
      <c r="L350">
        <v>1</v>
      </c>
      <c r="M350" t="b">
        <v>0</v>
      </c>
      <c r="N350">
        <v>3</v>
      </c>
      <c r="O350">
        <v>1</v>
      </c>
      <c r="P350">
        <v>4</v>
      </c>
      <c r="Q350">
        <v>4</v>
      </c>
      <c r="R350">
        <v>0</v>
      </c>
      <c r="S350">
        <v>4</v>
      </c>
      <c r="T350">
        <v>21</v>
      </c>
      <c r="U350">
        <v>2614</v>
      </c>
      <c r="V350">
        <v>86</v>
      </c>
      <c r="W350">
        <v>18</v>
      </c>
      <c r="X350">
        <v>4.7777777777777777</v>
      </c>
      <c r="Y350">
        <v>1</v>
      </c>
      <c r="Z350">
        <v>1</v>
      </c>
      <c r="AA350">
        <v>0</v>
      </c>
      <c r="AB350">
        <v>0</v>
      </c>
      <c r="AC350">
        <v>1</v>
      </c>
      <c r="AD350">
        <v>1</v>
      </c>
      <c r="AE350">
        <v>723</v>
      </c>
      <c r="AF350">
        <v>1</v>
      </c>
      <c r="AG350">
        <v>17</v>
      </c>
      <c r="AH350">
        <v>1</v>
      </c>
      <c r="AI350">
        <v>1</v>
      </c>
      <c r="AJ350">
        <v>2</v>
      </c>
      <c r="AK350">
        <v>18</v>
      </c>
      <c r="AL350">
        <v>3</v>
      </c>
      <c r="AM350">
        <v>19</v>
      </c>
      <c r="AN350">
        <v>2</v>
      </c>
      <c r="AO350">
        <v>18</v>
      </c>
      <c r="AP350">
        <v>2</v>
      </c>
      <c r="AQ350">
        <v>724</v>
      </c>
      <c r="AR350">
        <v>3.8255547054322881E-4</v>
      </c>
      <c r="AS350">
        <v>0</v>
      </c>
      <c r="AT350">
        <v>0.27658760520275438</v>
      </c>
      <c r="AU350">
        <v>6.5034429992348892E-3</v>
      </c>
      <c r="AV350">
        <v>3.8255547054322881E-4</v>
      </c>
      <c r="AW350">
        <v>7.2685539403213456E-3</v>
      </c>
      <c r="AX350">
        <v>6.8859984697781174E-3</v>
      </c>
      <c r="AY350">
        <v>0.27697016067329761</v>
      </c>
      <c r="AZ350">
        <v>-3.8255547054322908E-4</v>
      </c>
      <c r="BA350">
        <v>0.5</v>
      </c>
      <c r="BB350">
        <v>0.62962962962962965</v>
      </c>
      <c r="BC350">
        <v>0.1333333333333333</v>
      </c>
      <c r="BD350">
        <v>0.62476090283091046</v>
      </c>
      <c r="BE350">
        <v>4</v>
      </c>
      <c r="BF350">
        <v>0.47193096644846838</v>
      </c>
      <c r="BG350">
        <v>0.43</v>
      </c>
      <c r="BH350" t="s">
        <v>71</v>
      </c>
      <c r="BI350">
        <v>0.47</v>
      </c>
      <c r="BJ350" t="s">
        <v>71</v>
      </c>
      <c r="BK350" s="2">
        <f t="shared" si="11"/>
        <v>-3.999999999999998E-2</v>
      </c>
      <c r="BL350" t="b">
        <f t="shared" si="12"/>
        <v>1</v>
      </c>
    </row>
    <row r="351" spans="1:64" x14ac:dyDescent="0.35">
      <c r="A351" t="s">
        <v>976</v>
      </c>
      <c r="B351" t="s">
        <v>977</v>
      </c>
      <c r="C351">
        <v>2014</v>
      </c>
      <c r="D351" t="s">
        <v>978</v>
      </c>
      <c r="E351" t="s">
        <v>979</v>
      </c>
      <c r="F351" t="s">
        <v>66</v>
      </c>
      <c r="G351" t="s">
        <v>101</v>
      </c>
      <c r="H351" t="s">
        <v>150</v>
      </c>
      <c r="I351" t="s">
        <v>304</v>
      </c>
      <c r="J351" t="s">
        <v>70</v>
      </c>
      <c r="L351">
        <v>1</v>
      </c>
      <c r="M351" t="b">
        <v>0</v>
      </c>
      <c r="N351">
        <v>1</v>
      </c>
      <c r="O351">
        <v>3</v>
      </c>
      <c r="P351">
        <v>13</v>
      </c>
      <c r="Q351">
        <v>2</v>
      </c>
      <c r="R351">
        <v>11</v>
      </c>
      <c r="S351">
        <v>7</v>
      </c>
      <c r="T351">
        <v>32</v>
      </c>
      <c r="U351">
        <v>488</v>
      </c>
      <c r="V351">
        <v>166</v>
      </c>
      <c r="W351">
        <v>25</v>
      </c>
      <c r="X351">
        <v>6.64</v>
      </c>
      <c r="Y351">
        <v>4</v>
      </c>
      <c r="Z351">
        <v>57</v>
      </c>
      <c r="AA351">
        <v>2</v>
      </c>
      <c r="AB351">
        <v>3</v>
      </c>
      <c r="AC351">
        <v>4</v>
      </c>
      <c r="AD351">
        <v>3</v>
      </c>
      <c r="AE351">
        <v>31</v>
      </c>
      <c r="AF351">
        <v>2</v>
      </c>
      <c r="AG351">
        <v>97</v>
      </c>
      <c r="AH351">
        <v>1</v>
      </c>
      <c r="AI351">
        <v>1</v>
      </c>
      <c r="AJ351">
        <v>2</v>
      </c>
      <c r="AK351">
        <v>5</v>
      </c>
      <c r="AL351">
        <v>3</v>
      </c>
      <c r="AM351">
        <v>6</v>
      </c>
      <c r="AN351">
        <v>8</v>
      </c>
      <c r="AO351">
        <v>157</v>
      </c>
      <c r="AP351">
        <v>9</v>
      </c>
      <c r="AQ351">
        <v>91</v>
      </c>
      <c r="AR351">
        <v>0.11680327868852459</v>
      </c>
      <c r="AS351">
        <v>6.1475409836065573E-3</v>
      </c>
      <c r="AT351">
        <v>6.3524590163934427E-2</v>
      </c>
      <c r="AU351">
        <v>0.19877049180327869</v>
      </c>
      <c r="AV351">
        <v>2.049180327868853E-3</v>
      </c>
      <c r="AW351">
        <v>1.2295081967213109E-2</v>
      </c>
      <c r="AX351">
        <v>0.32172131147540978</v>
      </c>
      <c r="AY351">
        <v>0.18647540983606559</v>
      </c>
      <c r="AZ351">
        <v>0.3094262295081967</v>
      </c>
      <c r="BA351">
        <v>1</v>
      </c>
      <c r="BB351">
        <v>0.94</v>
      </c>
      <c r="BC351">
        <v>0.6</v>
      </c>
      <c r="BD351">
        <v>0.81839139344262291</v>
      </c>
      <c r="BE351">
        <v>4</v>
      </c>
      <c r="BF351">
        <v>0.83959784836065565</v>
      </c>
      <c r="BG351">
        <v>0.84</v>
      </c>
      <c r="BH351" t="s">
        <v>164</v>
      </c>
      <c r="BI351">
        <v>0.84</v>
      </c>
      <c r="BJ351" t="s">
        <v>164</v>
      </c>
      <c r="BK351" s="2">
        <f t="shared" si="11"/>
        <v>0</v>
      </c>
      <c r="BL351" t="b">
        <f t="shared" si="12"/>
        <v>1</v>
      </c>
    </row>
    <row r="352" spans="1:64" x14ac:dyDescent="0.35">
      <c r="A352" t="s">
        <v>980</v>
      </c>
      <c r="B352" t="s">
        <v>977</v>
      </c>
      <c r="C352">
        <v>2017</v>
      </c>
      <c r="D352" t="s">
        <v>978</v>
      </c>
      <c r="E352" t="s">
        <v>979</v>
      </c>
      <c r="F352" t="s">
        <v>66</v>
      </c>
      <c r="G352" t="s">
        <v>101</v>
      </c>
      <c r="H352" t="s">
        <v>150</v>
      </c>
      <c r="I352" t="s">
        <v>304</v>
      </c>
      <c r="J352" t="s">
        <v>70</v>
      </c>
      <c r="L352">
        <v>1</v>
      </c>
      <c r="M352" t="b">
        <v>0</v>
      </c>
      <c r="N352">
        <v>1</v>
      </c>
      <c r="O352">
        <v>1</v>
      </c>
      <c r="P352">
        <v>8</v>
      </c>
      <c r="Q352">
        <v>5</v>
      </c>
      <c r="R352">
        <v>3</v>
      </c>
      <c r="S352">
        <v>4</v>
      </c>
      <c r="T352">
        <v>36</v>
      </c>
      <c r="U352">
        <v>711</v>
      </c>
      <c r="V352">
        <v>155</v>
      </c>
      <c r="W352">
        <v>29</v>
      </c>
      <c r="X352">
        <v>5.3448275862068968</v>
      </c>
      <c r="Y352">
        <v>2</v>
      </c>
      <c r="Z352">
        <v>184</v>
      </c>
      <c r="AA352">
        <v>1</v>
      </c>
      <c r="AB352">
        <v>4</v>
      </c>
      <c r="AC352">
        <v>5</v>
      </c>
      <c r="AD352">
        <v>5</v>
      </c>
      <c r="AE352">
        <v>209</v>
      </c>
      <c r="AF352">
        <v>2</v>
      </c>
      <c r="AG352">
        <v>32</v>
      </c>
      <c r="AH352">
        <v>2</v>
      </c>
      <c r="AI352">
        <v>38</v>
      </c>
      <c r="AJ352">
        <v>3</v>
      </c>
      <c r="AK352">
        <v>3</v>
      </c>
      <c r="AL352">
        <v>5</v>
      </c>
      <c r="AM352">
        <v>41</v>
      </c>
      <c r="AN352">
        <v>5</v>
      </c>
      <c r="AO352">
        <v>220</v>
      </c>
      <c r="AP352">
        <v>8</v>
      </c>
      <c r="AQ352">
        <v>397</v>
      </c>
      <c r="AR352">
        <v>0.2587904360056259</v>
      </c>
      <c r="AS352">
        <v>5.6258790436005627E-3</v>
      </c>
      <c r="AT352">
        <v>0.2939521800281294</v>
      </c>
      <c r="AU352">
        <v>4.5007032348804502E-2</v>
      </c>
      <c r="AV352">
        <v>5.3445850914205353E-2</v>
      </c>
      <c r="AW352">
        <v>5.7665260196905772E-2</v>
      </c>
      <c r="AX352">
        <v>0.30942334739803101</v>
      </c>
      <c r="AY352">
        <v>0.55836849507735586</v>
      </c>
      <c r="AZ352">
        <v>0.25175808720112519</v>
      </c>
      <c r="BA352">
        <v>0.5</v>
      </c>
      <c r="BB352">
        <v>0.72413793103448276</v>
      </c>
      <c r="BC352">
        <v>0.53333333333333333</v>
      </c>
      <c r="BD352">
        <v>0.78234880450070321</v>
      </c>
      <c r="BE352">
        <v>4</v>
      </c>
      <c r="BF352">
        <v>0.63495501721712988</v>
      </c>
      <c r="BG352">
        <v>0.66</v>
      </c>
      <c r="BH352" t="s">
        <v>86</v>
      </c>
      <c r="BI352">
        <v>0.63</v>
      </c>
      <c r="BJ352" t="s">
        <v>86</v>
      </c>
      <c r="BK352" s="2">
        <f t="shared" si="11"/>
        <v>3.0000000000000027E-2</v>
      </c>
      <c r="BL352" t="b">
        <f t="shared" si="12"/>
        <v>1</v>
      </c>
    </row>
    <row r="353" spans="1:64" x14ac:dyDescent="0.35">
      <c r="A353" t="s">
        <v>981</v>
      </c>
      <c r="B353" t="s">
        <v>977</v>
      </c>
      <c r="C353">
        <v>2020</v>
      </c>
      <c r="D353" t="s">
        <v>978</v>
      </c>
      <c r="E353" t="s">
        <v>979</v>
      </c>
      <c r="F353" t="s">
        <v>66</v>
      </c>
      <c r="G353" t="s">
        <v>101</v>
      </c>
      <c r="H353" t="s">
        <v>150</v>
      </c>
      <c r="I353" t="s">
        <v>304</v>
      </c>
      <c r="J353" t="s">
        <v>70</v>
      </c>
      <c r="L353">
        <v>1</v>
      </c>
      <c r="M353" t="b">
        <v>0</v>
      </c>
      <c r="N353">
        <v>1</v>
      </c>
      <c r="O353">
        <v>1</v>
      </c>
      <c r="P353">
        <v>4</v>
      </c>
      <c r="Q353">
        <v>1</v>
      </c>
      <c r="R353">
        <v>3</v>
      </c>
      <c r="S353">
        <v>4</v>
      </c>
      <c r="T353">
        <v>20</v>
      </c>
      <c r="U353">
        <v>278</v>
      </c>
      <c r="V353">
        <v>88</v>
      </c>
      <c r="W353">
        <v>16</v>
      </c>
      <c r="X353">
        <v>5.5</v>
      </c>
      <c r="Y353">
        <v>4</v>
      </c>
      <c r="Z353">
        <v>72</v>
      </c>
      <c r="AA353">
        <v>0</v>
      </c>
      <c r="AB353">
        <v>0</v>
      </c>
      <c r="AC353">
        <v>2</v>
      </c>
      <c r="AD353">
        <v>2</v>
      </c>
      <c r="AE353">
        <v>8</v>
      </c>
      <c r="AF353">
        <v>1</v>
      </c>
      <c r="AG353">
        <v>92</v>
      </c>
      <c r="AH353">
        <v>0</v>
      </c>
      <c r="AI353">
        <v>0</v>
      </c>
      <c r="AJ353">
        <v>2</v>
      </c>
      <c r="AK353">
        <v>8</v>
      </c>
      <c r="AL353">
        <v>2</v>
      </c>
      <c r="AM353">
        <v>8</v>
      </c>
      <c r="AN353">
        <v>5</v>
      </c>
      <c r="AO353">
        <v>164</v>
      </c>
      <c r="AP353">
        <v>6</v>
      </c>
      <c r="AQ353">
        <v>80</v>
      </c>
      <c r="AR353">
        <v>0.25899280575539568</v>
      </c>
      <c r="AS353">
        <v>0</v>
      </c>
      <c r="AT353">
        <v>2.8776978417266189E-2</v>
      </c>
      <c r="AU353">
        <v>0.33093525179856109</v>
      </c>
      <c r="AV353">
        <v>0</v>
      </c>
      <c r="AW353">
        <v>2.8776978417266189E-2</v>
      </c>
      <c r="AX353">
        <v>0.58992805755395683</v>
      </c>
      <c r="AY353">
        <v>0.28776978417266191</v>
      </c>
      <c r="AZ353">
        <v>0.5611510791366906</v>
      </c>
      <c r="BA353">
        <v>0.5</v>
      </c>
      <c r="BB353">
        <v>0.75</v>
      </c>
      <c r="BC353">
        <v>0.4</v>
      </c>
      <c r="BD353">
        <v>0.97571942446043169</v>
      </c>
      <c r="BE353">
        <v>4</v>
      </c>
      <c r="BF353">
        <v>0.65642985611510796</v>
      </c>
      <c r="BG353">
        <v>0.66</v>
      </c>
      <c r="BH353" t="s">
        <v>86</v>
      </c>
      <c r="BI353">
        <v>0.66</v>
      </c>
      <c r="BJ353" t="s">
        <v>86</v>
      </c>
      <c r="BK353" s="2">
        <f t="shared" si="11"/>
        <v>0</v>
      </c>
      <c r="BL353" t="b">
        <f t="shared" si="12"/>
        <v>1</v>
      </c>
    </row>
    <row r="354" spans="1:64" x14ac:dyDescent="0.35">
      <c r="A354" t="s">
        <v>982</v>
      </c>
      <c r="B354" t="s">
        <v>983</v>
      </c>
      <c r="C354">
        <v>2015</v>
      </c>
      <c r="D354" t="s">
        <v>984</v>
      </c>
      <c r="E354" t="s">
        <v>985</v>
      </c>
      <c r="F354" t="s">
        <v>66</v>
      </c>
      <c r="G354" t="s">
        <v>101</v>
      </c>
      <c r="H354" t="s">
        <v>184</v>
      </c>
      <c r="I354" t="s">
        <v>311</v>
      </c>
      <c r="J354" t="s">
        <v>70</v>
      </c>
      <c r="L354">
        <v>2</v>
      </c>
      <c r="M354" t="b">
        <v>0</v>
      </c>
      <c r="N354">
        <v>1</v>
      </c>
      <c r="O354">
        <v>1</v>
      </c>
      <c r="P354">
        <v>9</v>
      </c>
      <c r="Q354">
        <v>7</v>
      </c>
      <c r="R354">
        <v>2</v>
      </c>
      <c r="S354">
        <v>4</v>
      </c>
      <c r="T354">
        <v>32</v>
      </c>
      <c r="U354">
        <v>713</v>
      </c>
      <c r="V354">
        <v>120</v>
      </c>
      <c r="W354">
        <v>22</v>
      </c>
      <c r="X354">
        <v>5.4545454545454541</v>
      </c>
      <c r="Y354">
        <v>1</v>
      </c>
      <c r="Z354">
        <v>9</v>
      </c>
      <c r="AA354">
        <v>0</v>
      </c>
      <c r="AB354">
        <v>0</v>
      </c>
      <c r="AC354">
        <v>4</v>
      </c>
      <c r="AD354">
        <v>4</v>
      </c>
      <c r="AE354">
        <v>106</v>
      </c>
      <c r="AF354">
        <v>1</v>
      </c>
      <c r="AG354">
        <v>17</v>
      </c>
      <c r="AH354">
        <v>1</v>
      </c>
      <c r="AI354">
        <v>25</v>
      </c>
      <c r="AJ354">
        <v>2</v>
      </c>
      <c r="AK354">
        <v>17</v>
      </c>
      <c r="AL354">
        <v>3</v>
      </c>
      <c r="AM354">
        <v>42</v>
      </c>
      <c r="AN354">
        <v>2</v>
      </c>
      <c r="AO354">
        <v>26</v>
      </c>
      <c r="AP354">
        <v>5</v>
      </c>
      <c r="AQ354">
        <v>115</v>
      </c>
      <c r="AR354">
        <v>1.262272089761571E-2</v>
      </c>
      <c r="AS354">
        <v>0</v>
      </c>
      <c r="AT354">
        <v>0.14866760168302939</v>
      </c>
      <c r="AU354">
        <v>2.3842917251051889E-2</v>
      </c>
      <c r="AV354">
        <v>3.5063113604488078E-2</v>
      </c>
      <c r="AW354">
        <v>5.890603085553997E-2</v>
      </c>
      <c r="AX354">
        <v>3.6465638148667601E-2</v>
      </c>
      <c r="AY354">
        <v>0.16129032258064521</v>
      </c>
      <c r="AZ354">
        <v>-2.244039270687237E-2</v>
      </c>
      <c r="BA354">
        <v>0.5</v>
      </c>
      <c r="BB354">
        <v>0.74242424242424232</v>
      </c>
      <c r="BC354">
        <v>0.33333333333333331</v>
      </c>
      <c r="BD354">
        <v>0.61097475455820471</v>
      </c>
      <c r="BE354">
        <v>4</v>
      </c>
      <c r="BF354">
        <v>0.54668308257894505</v>
      </c>
      <c r="BG354">
        <v>0.55000000000000004</v>
      </c>
      <c r="BH354" t="s">
        <v>71</v>
      </c>
      <c r="BI354">
        <v>0.55000000000000004</v>
      </c>
      <c r="BJ354" t="s">
        <v>71</v>
      </c>
      <c r="BK354" s="2">
        <f t="shared" si="11"/>
        <v>0</v>
      </c>
      <c r="BL354" t="b">
        <f t="shared" si="12"/>
        <v>1</v>
      </c>
    </row>
    <row r="355" spans="1:64" x14ac:dyDescent="0.35">
      <c r="A355" t="s">
        <v>986</v>
      </c>
      <c r="B355" t="s">
        <v>987</v>
      </c>
      <c r="C355">
        <v>2015</v>
      </c>
      <c r="D355" t="s">
        <v>988</v>
      </c>
      <c r="E355" t="s">
        <v>989</v>
      </c>
      <c r="F355" t="s">
        <v>66</v>
      </c>
      <c r="G355" t="s">
        <v>101</v>
      </c>
      <c r="H355" t="s">
        <v>102</v>
      </c>
      <c r="I355" t="s">
        <v>102</v>
      </c>
      <c r="J355" t="s">
        <v>70</v>
      </c>
      <c r="L355">
        <v>3</v>
      </c>
      <c r="M355" t="b">
        <v>0</v>
      </c>
      <c r="N355">
        <v>1</v>
      </c>
      <c r="O355">
        <v>4</v>
      </c>
      <c r="P355">
        <v>13</v>
      </c>
      <c r="Q355">
        <v>4</v>
      </c>
      <c r="R355">
        <v>9</v>
      </c>
      <c r="S355">
        <v>6</v>
      </c>
      <c r="T355">
        <v>48</v>
      </c>
      <c r="U355">
        <v>1445</v>
      </c>
      <c r="V355">
        <v>189</v>
      </c>
      <c r="W355">
        <v>31</v>
      </c>
      <c r="X355">
        <v>6.096774193548387</v>
      </c>
      <c r="Y355">
        <v>9</v>
      </c>
      <c r="Z355">
        <v>239</v>
      </c>
      <c r="AA355">
        <v>3</v>
      </c>
      <c r="AB355">
        <v>43</v>
      </c>
      <c r="AC355">
        <v>6</v>
      </c>
      <c r="AD355">
        <v>6</v>
      </c>
      <c r="AE355">
        <v>179</v>
      </c>
      <c r="AF355">
        <v>2</v>
      </c>
      <c r="AG355">
        <v>45</v>
      </c>
      <c r="AH355">
        <v>1</v>
      </c>
      <c r="AI355">
        <v>5</v>
      </c>
      <c r="AJ355">
        <v>1</v>
      </c>
      <c r="AK355">
        <v>15</v>
      </c>
      <c r="AL355">
        <v>3</v>
      </c>
      <c r="AM355">
        <v>36</v>
      </c>
      <c r="AN355">
        <v>14</v>
      </c>
      <c r="AO355">
        <v>327</v>
      </c>
      <c r="AP355">
        <v>18</v>
      </c>
      <c r="AQ355">
        <v>461</v>
      </c>
      <c r="AR355">
        <v>0.16539792387543251</v>
      </c>
      <c r="AS355">
        <v>2.9757785467128029E-2</v>
      </c>
      <c r="AT355">
        <v>0.1238754325259516</v>
      </c>
      <c r="AU355">
        <v>3.1141868512110722E-2</v>
      </c>
      <c r="AV355">
        <v>3.4602076124567479E-3</v>
      </c>
      <c r="AW355">
        <v>2.4913494809688581E-2</v>
      </c>
      <c r="AX355">
        <v>0.22629757785467131</v>
      </c>
      <c r="AY355">
        <v>0.31903114186851211</v>
      </c>
      <c r="AZ355">
        <v>0.2013840830449827</v>
      </c>
      <c r="BA355">
        <v>0.83333333333333337</v>
      </c>
      <c r="BB355">
        <v>0.84946236559139787</v>
      </c>
      <c r="BC355">
        <v>1.2</v>
      </c>
      <c r="BD355">
        <v>0.75086505190311414</v>
      </c>
      <c r="BE355">
        <v>4</v>
      </c>
      <c r="BF355">
        <v>0.90841518770696128</v>
      </c>
      <c r="BG355">
        <v>0.91</v>
      </c>
      <c r="BH355" t="s">
        <v>164</v>
      </c>
      <c r="BI355">
        <v>0.91</v>
      </c>
      <c r="BJ355" t="s">
        <v>164</v>
      </c>
      <c r="BK355" s="2">
        <f t="shared" si="11"/>
        <v>0</v>
      </c>
      <c r="BL355" t="b">
        <f t="shared" si="12"/>
        <v>1</v>
      </c>
    </row>
    <row r="356" spans="1:64" x14ac:dyDescent="0.35">
      <c r="A356" t="s">
        <v>990</v>
      </c>
      <c r="B356" t="s">
        <v>987</v>
      </c>
      <c r="C356">
        <v>2018</v>
      </c>
      <c r="D356" t="s">
        <v>988</v>
      </c>
      <c r="E356" t="s">
        <v>989</v>
      </c>
      <c r="F356" t="s">
        <v>66</v>
      </c>
      <c r="G356" t="s">
        <v>101</v>
      </c>
      <c r="H356" t="s">
        <v>102</v>
      </c>
      <c r="I356" t="s">
        <v>102</v>
      </c>
      <c r="J356" t="s">
        <v>70</v>
      </c>
      <c r="L356">
        <v>3</v>
      </c>
      <c r="M356" t="b">
        <v>0</v>
      </c>
      <c r="N356">
        <v>1</v>
      </c>
      <c r="O356">
        <v>3</v>
      </c>
      <c r="P356">
        <v>15</v>
      </c>
      <c r="Q356">
        <v>6</v>
      </c>
      <c r="R356">
        <v>9</v>
      </c>
      <c r="S356">
        <v>6</v>
      </c>
      <c r="T356">
        <v>46</v>
      </c>
      <c r="U356">
        <v>929</v>
      </c>
      <c r="V356">
        <v>193</v>
      </c>
      <c r="W356">
        <v>31</v>
      </c>
      <c r="X356">
        <v>6.225806451612903</v>
      </c>
      <c r="Y356">
        <v>7</v>
      </c>
      <c r="Z356">
        <v>206</v>
      </c>
      <c r="AA356">
        <v>4</v>
      </c>
      <c r="AB356">
        <v>118</v>
      </c>
      <c r="AC356">
        <v>5</v>
      </c>
      <c r="AD356">
        <v>5</v>
      </c>
      <c r="AE356">
        <v>94</v>
      </c>
      <c r="AF356">
        <v>1</v>
      </c>
      <c r="AG356">
        <v>13</v>
      </c>
      <c r="AH356">
        <v>1</v>
      </c>
      <c r="AI356">
        <v>8</v>
      </c>
      <c r="AJ356">
        <v>1</v>
      </c>
      <c r="AK356">
        <v>10</v>
      </c>
      <c r="AL356">
        <v>2</v>
      </c>
      <c r="AM356">
        <v>18</v>
      </c>
      <c r="AN356">
        <v>12</v>
      </c>
      <c r="AO356">
        <v>337</v>
      </c>
      <c r="AP356">
        <v>16</v>
      </c>
      <c r="AQ356">
        <v>418</v>
      </c>
      <c r="AR356">
        <v>0.2217438105489774</v>
      </c>
      <c r="AS356">
        <v>0.1270182992465016</v>
      </c>
      <c r="AT356">
        <v>0.101184068891281</v>
      </c>
      <c r="AU356">
        <v>1.3993541442411189E-2</v>
      </c>
      <c r="AV356">
        <v>8.6114101184068884E-3</v>
      </c>
      <c r="AW356">
        <v>1.9375672766415501E-2</v>
      </c>
      <c r="AX356">
        <v>0.36275565123789022</v>
      </c>
      <c r="AY356">
        <v>0.44994617868676001</v>
      </c>
      <c r="AZ356">
        <v>0.34337997847147472</v>
      </c>
      <c r="BA356">
        <v>0.83333333333333337</v>
      </c>
      <c r="BB356">
        <v>0.87096774193548387</v>
      </c>
      <c r="BC356">
        <v>1.0666666666666671</v>
      </c>
      <c r="BD356">
        <v>0.83961248654467158</v>
      </c>
      <c r="BE356">
        <v>4</v>
      </c>
      <c r="BF356">
        <v>0.90264505712003884</v>
      </c>
      <c r="BG356">
        <v>0.96</v>
      </c>
      <c r="BH356" t="s">
        <v>164</v>
      </c>
      <c r="BI356">
        <v>0.9</v>
      </c>
      <c r="BJ356" t="s">
        <v>164</v>
      </c>
      <c r="BK356" s="2">
        <f t="shared" si="11"/>
        <v>5.9999999999999942E-2</v>
      </c>
      <c r="BL356" t="b">
        <f t="shared" si="12"/>
        <v>1</v>
      </c>
    </row>
    <row r="357" spans="1:64" x14ac:dyDescent="0.35">
      <c r="A357" t="s">
        <v>991</v>
      </c>
      <c r="B357" t="s">
        <v>987</v>
      </c>
      <c r="C357">
        <v>2021</v>
      </c>
      <c r="D357" t="s">
        <v>988</v>
      </c>
      <c r="E357" t="s">
        <v>989</v>
      </c>
      <c r="F357" t="s">
        <v>66</v>
      </c>
      <c r="G357" t="s">
        <v>101</v>
      </c>
      <c r="H357" t="s">
        <v>102</v>
      </c>
      <c r="I357" t="s">
        <v>102</v>
      </c>
      <c r="J357" t="s">
        <v>70</v>
      </c>
      <c r="L357">
        <v>3</v>
      </c>
      <c r="M357" t="b">
        <v>0</v>
      </c>
      <c r="N357">
        <v>1</v>
      </c>
      <c r="O357">
        <v>2</v>
      </c>
      <c r="P357">
        <v>11</v>
      </c>
      <c r="Q357">
        <v>2</v>
      </c>
      <c r="R357">
        <v>9</v>
      </c>
      <c r="S357">
        <v>6</v>
      </c>
      <c r="T357">
        <v>30</v>
      </c>
      <c r="U357">
        <v>239</v>
      </c>
      <c r="V357">
        <v>146</v>
      </c>
      <c r="W357">
        <v>26</v>
      </c>
      <c r="X357">
        <v>5.615384615384615</v>
      </c>
      <c r="Y357">
        <v>6</v>
      </c>
      <c r="Z357">
        <v>74</v>
      </c>
      <c r="AA357">
        <v>1</v>
      </c>
      <c r="AB357">
        <v>8</v>
      </c>
      <c r="AC357">
        <v>3</v>
      </c>
      <c r="AD357">
        <v>3</v>
      </c>
      <c r="AE357">
        <v>32</v>
      </c>
      <c r="AF357">
        <v>1</v>
      </c>
      <c r="AG357">
        <v>8</v>
      </c>
      <c r="AH357">
        <v>0</v>
      </c>
      <c r="AI357">
        <v>0</v>
      </c>
      <c r="AJ357">
        <v>2</v>
      </c>
      <c r="AK357">
        <v>7</v>
      </c>
      <c r="AL357">
        <v>2</v>
      </c>
      <c r="AM357">
        <v>7</v>
      </c>
      <c r="AN357">
        <v>8</v>
      </c>
      <c r="AO357">
        <v>90</v>
      </c>
      <c r="AP357">
        <v>10</v>
      </c>
      <c r="AQ357">
        <v>114</v>
      </c>
      <c r="AR357">
        <v>0.30962343096234313</v>
      </c>
      <c r="AS357">
        <v>3.3472803347280332E-2</v>
      </c>
      <c r="AT357">
        <v>0.1338912133891213</v>
      </c>
      <c r="AU357">
        <v>3.3472803347280332E-2</v>
      </c>
      <c r="AV357">
        <v>0</v>
      </c>
      <c r="AW357">
        <v>2.928870292887029E-2</v>
      </c>
      <c r="AX357">
        <v>0.37656903765690369</v>
      </c>
      <c r="AY357">
        <v>0.47698744769874479</v>
      </c>
      <c r="AZ357">
        <v>0.34728033472803338</v>
      </c>
      <c r="BA357">
        <v>0.83333333333333337</v>
      </c>
      <c r="BB357">
        <v>0.76923076923076916</v>
      </c>
      <c r="BC357">
        <v>0.66666666666666663</v>
      </c>
      <c r="BD357">
        <v>0.84205020920502083</v>
      </c>
      <c r="BE357">
        <v>4</v>
      </c>
      <c r="BF357">
        <v>0.7778202446089475</v>
      </c>
      <c r="BG357">
        <v>0.77</v>
      </c>
      <c r="BH357" t="s">
        <v>86</v>
      </c>
      <c r="BI357">
        <v>0.78</v>
      </c>
      <c r="BJ357" t="s">
        <v>86</v>
      </c>
      <c r="BK357" s="2">
        <f t="shared" si="11"/>
        <v>-1.0000000000000009E-2</v>
      </c>
      <c r="BL357" t="b">
        <f t="shared" si="12"/>
        <v>1</v>
      </c>
    </row>
    <row r="358" spans="1:64" x14ac:dyDescent="0.35">
      <c r="A358" t="s">
        <v>992</v>
      </c>
      <c r="B358" t="s">
        <v>993</v>
      </c>
      <c r="C358">
        <v>2022</v>
      </c>
      <c r="D358" t="s">
        <v>994</v>
      </c>
      <c r="E358" t="s">
        <v>995</v>
      </c>
      <c r="F358" t="s">
        <v>66</v>
      </c>
      <c r="G358" t="s">
        <v>144</v>
      </c>
      <c r="H358" t="s">
        <v>144</v>
      </c>
      <c r="I358" t="s">
        <v>996</v>
      </c>
      <c r="J358" t="s">
        <v>70</v>
      </c>
      <c r="L358">
        <v>1</v>
      </c>
      <c r="M358" t="b">
        <v>0</v>
      </c>
      <c r="N358">
        <v>1</v>
      </c>
      <c r="O358">
        <v>1</v>
      </c>
      <c r="P358">
        <v>6</v>
      </c>
      <c r="Q358">
        <v>1</v>
      </c>
      <c r="R358">
        <v>5</v>
      </c>
      <c r="S358">
        <v>5</v>
      </c>
      <c r="T358">
        <v>19</v>
      </c>
      <c r="U358">
        <v>158</v>
      </c>
      <c r="V358">
        <v>86</v>
      </c>
      <c r="W358">
        <v>16</v>
      </c>
      <c r="X358">
        <v>5.375</v>
      </c>
      <c r="Y358">
        <v>3</v>
      </c>
      <c r="Z358">
        <v>17</v>
      </c>
      <c r="AA358">
        <v>1</v>
      </c>
      <c r="AB358">
        <v>1</v>
      </c>
      <c r="AC358">
        <v>2</v>
      </c>
      <c r="AD358">
        <v>2</v>
      </c>
      <c r="AE358">
        <v>52</v>
      </c>
      <c r="AF358">
        <v>0</v>
      </c>
      <c r="AG358">
        <v>0</v>
      </c>
      <c r="AH358">
        <v>1</v>
      </c>
      <c r="AI358">
        <v>16</v>
      </c>
      <c r="AJ358">
        <v>1</v>
      </c>
      <c r="AK358">
        <v>3</v>
      </c>
      <c r="AL358">
        <v>3</v>
      </c>
      <c r="AM358">
        <v>22</v>
      </c>
      <c r="AN358">
        <v>4</v>
      </c>
      <c r="AO358">
        <v>18</v>
      </c>
      <c r="AP358">
        <v>6</v>
      </c>
      <c r="AQ358">
        <v>70</v>
      </c>
      <c r="AR358">
        <v>0.10759493670886081</v>
      </c>
      <c r="AS358">
        <v>6.3291139240506328E-3</v>
      </c>
      <c r="AT358">
        <v>0.32911392405063289</v>
      </c>
      <c r="AU358">
        <v>0</v>
      </c>
      <c r="AV358">
        <v>0.1012658227848101</v>
      </c>
      <c r="AW358">
        <v>0.13924050632911389</v>
      </c>
      <c r="AX358">
        <v>0.1139240506329114</v>
      </c>
      <c r="AY358">
        <v>0.44303797468354428</v>
      </c>
      <c r="AZ358">
        <v>-2.5316455696202531E-2</v>
      </c>
      <c r="BA358">
        <v>0.66666666666666663</v>
      </c>
      <c r="BB358">
        <v>0.72916666666666663</v>
      </c>
      <c r="BC358">
        <v>0.4</v>
      </c>
      <c r="BD358">
        <v>0.60917721518987333</v>
      </c>
      <c r="BE358">
        <v>4</v>
      </c>
      <c r="BF358">
        <v>0.60125263713080168</v>
      </c>
      <c r="BG358">
        <v>0.62</v>
      </c>
      <c r="BH358" t="s">
        <v>86</v>
      </c>
      <c r="BI358">
        <v>0.6</v>
      </c>
      <c r="BJ358" t="s">
        <v>86</v>
      </c>
      <c r="BK358" s="2">
        <f t="shared" si="11"/>
        <v>2.0000000000000018E-2</v>
      </c>
      <c r="BL358" t="b">
        <f t="shared" si="12"/>
        <v>1</v>
      </c>
    </row>
    <row r="359" spans="1:64" x14ac:dyDescent="0.35">
      <c r="A359" t="s">
        <v>997</v>
      </c>
      <c r="B359" t="s">
        <v>998</v>
      </c>
      <c r="C359">
        <v>2014</v>
      </c>
      <c r="D359" t="s">
        <v>999</v>
      </c>
      <c r="E359" t="s">
        <v>1000</v>
      </c>
      <c r="F359" t="s">
        <v>66</v>
      </c>
      <c r="G359" t="s">
        <v>67</v>
      </c>
      <c r="H359" t="s">
        <v>84</v>
      </c>
      <c r="I359" t="s">
        <v>1001</v>
      </c>
      <c r="J359" t="s">
        <v>70</v>
      </c>
      <c r="L359">
        <v>3</v>
      </c>
      <c r="M359" t="b">
        <v>0</v>
      </c>
      <c r="N359">
        <v>3</v>
      </c>
      <c r="O359">
        <v>1</v>
      </c>
      <c r="P359">
        <v>5</v>
      </c>
      <c r="Q359">
        <v>3</v>
      </c>
      <c r="R359">
        <v>2</v>
      </c>
      <c r="S359">
        <v>4</v>
      </c>
      <c r="T359">
        <v>23</v>
      </c>
      <c r="U359">
        <v>273</v>
      </c>
      <c r="V359">
        <v>86</v>
      </c>
      <c r="W359">
        <v>18</v>
      </c>
      <c r="X359">
        <v>4.7777777777777777</v>
      </c>
      <c r="Y359">
        <v>2</v>
      </c>
      <c r="Z359">
        <v>127</v>
      </c>
      <c r="AA359">
        <v>0</v>
      </c>
      <c r="AB359">
        <v>0</v>
      </c>
      <c r="AC359">
        <v>2</v>
      </c>
      <c r="AD359">
        <v>2</v>
      </c>
      <c r="AE359">
        <v>4</v>
      </c>
      <c r="AF359">
        <v>3</v>
      </c>
      <c r="AG359">
        <v>6</v>
      </c>
      <c r="AH359">
        <v>2</v>
      </c>
      <c r="AI359">
        <v>43</v>
      </c>
      <c r="AJ359">
        <v>3</v>
      </c>
      <c r="AK359">
        <v>9</v>
      </c>
      <c r="AL359">
        <v>5</v>
      </c>
      <c r="AM359">
        <v>52</v>
      </c>
      <c r="AN359">
        <v>5</v>
      </c>
      <c r="AO359">
        <v>133</v>
      </c>
      <c r="AP359">
        <v>4</v>
      </c>
      <c r="AQ359">
        <v>131</v>
      </c>
      <c r="AR359">
        <v>0.46520146520146521</v>
      </c>
      <c r="AS359">
        <v>0</v>
      </c>
      <c r="AT359">
        <v>1.465201465201465E-2</v>
      </c>
      <c r="AU359">
        <v>2.197802197802198E-2</v>
      </c>
      <c r="AV359">
        <v>0.1575091575091575</v>
      </c>
      <c r="AW359">
        <v>0.19047619047619049</v>
      </c>
      <c r="AX359">
        <v>0.48717948717948723</v>
      </c>
      <c r="AY359">
        <v>0.47985347985347993</v>
      </c>
      <c r="AZ359">
        <v>0.2967032967032967</v>
      </c>
      <c r="BA359">
        <v>0.5</v>
      </c>
      <c r="BB359">
        <v>0.62962962962962965</v>
      </c>
      <c r="BC359">
        <v>0.26666666666666672</v>
      </c>
      <c r="BD359">
        <v>0.81043956043956045</v>
      </c>
      <c r="BE359">
        <v>4</v>
      </c>
      <c r="BF359">
        <v>0.55168396418396415</v>
      </c>
      <c r="BG359">
        <v>0.57999999999999996</v>
      </c>
      <c r="BH359" t="s">
        <v>71</v>
      </c>
      <c r="BI359">
        <v>0.55000000000000004</v>
      </c>
      <c r="BJ359" t="s">
        <v>71</v>
      </c>
      <c r="BK359" s="2">
        <f t="shared" si="11"/>
        <v>2.9999999999999916E-2</v>
      </c>
      <c r="BL359" t="b">
        <f t="shared" si="12"/>
        <v>1</v>
      </c>
    </row>
    <row r="360" spans="1:64" x14ac:dyDescent="0.35">
      <c r="A360" t="s">
        <v>1002</v>
      </c>
      <c r="B360" t="s">
        <v>998</v>
      </c>
      <c r="C360">
        <v>2017</v>
      </c>
      <c r="D360" t="s">
        <v>999</v>
      </c>
      <c r="E360" t="s">
        <v>1000</v>
      </c>
      <c r="F360" t="s">
        <v>66</v>
      </c>
      <c r="G360" t="s">
        <v>67</v>
      </c>
      <c r="H360" t="s">
        <v>84</v>
      </c>
      <c r="I360" t="s">
        <v>1001</v>
      </c>
      <c r="J360" t="s">
        <v>70</v>
      </c>
      <c r="L360">
        <v>3</v>
      </c>
      <c r="M360" t="b">
        <v>0</v>
      </c>
      <c r="N360">
        <v>1</v>
      </c>
      <c r="O360">
        <v>1</v>
      </c>
      <c r="P360">
        <v>5</v>
      </c>
      <c r="Q360">
        <v>2</v>
      </c>
      <c r="R360">
        <v>3</v>
      </c>
      <c r="S360">
        <v>4</v>
      </c>
      <c r="T360">
        <v>20</v>
      </c>
      <c r="U360">
        <v>219</v>
      </c>
      <c r="V360">
        <v>81</v>
      </c>
      <c r="W360">
        <v>17</v>
      </c>
      <c r="X360">
        <v>4.7647058823529411</v>
      </c>
      <c r="Y360">
        <v>2</v>
      </c>
      <c r="Z360">
        <v>9</v>
      </c>
      <c r="AA360">
        <v>0</v>
      </c>
      <c r="AB360">
        <v>0</v>
      </c>
      <c r="AC360">
        <v>1</v>
      </c>
      <c r="AD360">
        <v>1</v>
      </c>
      <c r="AE360">
        <v>13</v>
      </c>
      <c r="AF360">
        <v>2</v>
      </c>
      <c r="AG360">
        <v>10</v>
      </c>
      <c r="AH360">
        <v>2</v>
      </c>
      <c r="AI360">
        <v>84</v>
      </c>
      <c r="AJ360">
        <v>1</v>
      </c>
      <c r="AK360">
        <v>5</v>
      </c>
      <c r="AL360">
        <v>3</v>
      </c>
      <c r="AM360">
        <v>89</v>
      </c>
      <c r="AN360">
        <v>4</v>
      </c>
      <c r="AO360">
        <v>19</v>
      </c>
      <c r="AP360">
        <v>3</v>
      </c>
      <c r="AQ360">
        <v>22</v>
      </c>
      <c r="AR360">
        <v>4.1095890410958902E-2</v>
      </c>
      <c r="AS360">
        <v>0</v>
      </c>
      <c r="AT360">
        <v>5.9360730593607303E-2</v>
      </c>
      <c r="AU360">
        <v>4.5662100456621002E-2</v>
      </c>
      <c r="AV360">
        <v>0.38356164383561642</v>
      </c>
      <c r="AW360">
        <v>0.40639269406392692</v>
      </c>
      <c r="AX360">
        <v>8.6757990867579904E-2</v>
      </c>
      <c r="AY360">
        <v>0.1004566210045662</v>
      </c>
      <c r="AZ360">
        <v>-0.31963470319634701</v>
      </c>
      <c r="BA360">
        <v>0.5</v>
      </c>
      <c r="BB360">
        <v>0.62745098039215685</v>
      </c>
      <c r="BC360">
        <v>0.2</v>
      </c>
      <c r="BD360">
        <v>0.4252283105022831</v>
      </c>
      <c r="BE360">
        <v>4</v>
      </c>
      <c r="BF360">
        <v>0.43816982272360999</v>
      </c>
      <c r="BG360">
        <v>0.46</v>
      </c>
      <c r="BH360" t="s">
        <v>71</v>
      </c>
      <c r="BI360">
        <v>0.44</v>
      </c>
      <c r="BJ360" t="s">
        <v>71</v>
      </c>
      <c r="BK360" s="2">
        <f t="shared" si="11"/>
        <v>2.0000000000000018E-2</v>
      </c>
      <c r="BL360" t="b">
        <f t="shared" si="12"/>
        <v>1</v>
      </c>
    </row>
    <row r="361" spans="1:64" x14ac:dyDescent="0.35">
      <c r="A361" t="s">
        <v>1003</v>
      </c>
      <c r="B361" t="s">
        <v>998</v>
      </c>
      <c r="C361">
        <v>2020</v>
      </c>
      <c r="D361" t="s">
        <v>999</v>
      </c>
      <c r="E361" t="s">
        <v>1000</v>
      </c>
      <c r="F361" t="s">
        <v>66</v>
      </c>
      <c r="G361" t="s">
        <v>67</v>
      </c>
      <c r="H361" t="s">
        <v>84</v>
      </c>
      <c r="I361" t="s">
        <v>1001</v>
      </c>
      <c r="J361" t="s">
        <v>70</v>
      </c>
      <c r="L361">
        <v>3</v>
      </c>
      <c r="M361" t="b">
        <v>0</v>
      </c>
      <c r="N361">
        <v>3</v>
      </c>
      <c r="O361">
        <v>2</v>
      </c>
      <c r="P361">
        <v>2</v>
      </c>
      <c r="Q361">
        <v>5</v>
      </c>
      <c r="R361">
        <v>-3</v>
      </c>
      <c r="S361">
        <v>3</v>
      </c>
      <c r="T361">
        <v>20</v>
      </c>
      <c r="U361">
        <v>825</v>
      </c>
      <c r="V361">
        <v>61</v>
      </c>
      <c r="W361">
        <v>16</v>
      </c>
      <c r="X361">
        <v>3.8125</v>
      </c>
      <c r="Y361">
        <v>1</v>
      </c>
      <c r="Z361">
        <v>1</v>
      </c>
      <c r="AA361">
        <v>0</v>
      </c>
      <c r="AB361">
        <v>0</v>
      </c>
      <c r="AC361">
        <v>2</v>
      </c>
      <c r="AD361">
        <v>2</v>
      </c>
      <c r="AE361">
        <v>21</v>
      </c>
      <c r="AF361">
        <v>0</v>
      </c>
      <c r="AG361">
        <v>0</v>
      </c>
      <c r="AH361">
        <v>2</v>
      </c>
      <c r="AI361">
        <v>4</v>
      </c>
      <c r="AJ361">
        <v>0</v>
      </c>
      <c r="AK361">
        <v>0</v>
      </c>
      <c r="AL361">
        <v>2</v>
      </c>
      <c r="AM361">
        <v>4</v>
      </c>
      <c r="AN361">
        <v>1</v>
      </c>
      <c r="AO361">
        <v>1</v>
      </c>
      <c r="AP361">
        <v>3</v>
      </c>
      <c r="AQ361">
        <v>22</v>
      </c>
      <c r="AR361">
        <v>1.2121212121212119E-3</v>
      </c>
      <c r="AS361">
        <v>0</v>
      </c>
      <c r="AT361">
        <v>2.5454545454545459E-2</v>
      </c>
      <c r="AU361">
        <v>0</v>
      </c>
      <c r="AV361">
        <v>4.8484848484848476E-3</v>
      </c>
      <c r="AW361">
        <v>4.8484848484848476E-3</v>
      </c>
      <c r="AX361">
        <v>1.2121212121212119E-3</v>
      </c>
      <c r="AY361">
        <v>2.6666666666666668E-2</v>
      </c>
      <c r="AZ361">
        <v>-3.6363636363636359E-3</v>
      </c>
      <c r="BA361">
        <v>0.33333333333333331</v>
      </c>
      <c r="BB361">
        <v>0.46875</v>
      </c>
      <c r="BC361">
        <v>0.2</v>
      </c>
      <c r="BD361">
        <v>0.62272727272727268</v>
      </c>
      <c r="BE361">
        <v>4</v>
      </c>
      <c r="BF361">
        <v>0.4062026515151515</v>
      </c>
      <c r="BG361">
        <v>0.41</v>
      </c>
      <c r="BH361" t="s">
        <v>71</v>
      </c>
      <c r="BI361">
        <v>0.41</v>
      </c>
      <c r="BJ361" t="s">
        <v>71</v>
      </c>
      <c r="BK361" s="2">
        <f t="shared" si="11"/>
        <v>0</v>
      </c>
      <c r="BL361" t="b">
        <f t="shared" si="12"/>
        <v>1</v>
      </c>
    </row>
    <row r="362" spans="1:64" x14ac:dyDescent="0.35">
      <c r="A362" t="s">
        <v>1004</v>
      </c>
      <c r="B362" t="s">
        <v>1005</v>
      </c>
      <c r="C362">
        <v>2014</v>
      </c>
      <c r="D362" t="s">
        <v>1006</v>
      </c>
      <c r="E362" t="s">
        <v>1007</v>
      </c>
      <c r="F362" t="s">
        <v>66</v>
      </c>
      <c r="G362" t="s">
        <v>67</v>
      </c>
      <c r="H362" t="s">
        <v>84</v>
      </c>
      <c r="I362" t="s">
        <v>1001</v>
      </c>
      <c r="J362" t="s">
        <v>70</v>
      </c>
      <c r="L362">
        <v>3</v>
      </c>
      <c r="M362" t="b">
        <v>0</v>
      </c>
      <c r="N362">
        <v>4</v>
      </c>
      <c r="O362">
        <v>2</v>
      </c>
      <c r="P362">
        <v>4</v>
      </c>
      <c r="Q362">
        <v>4</v>
      </c>
      <c r="R362">
        <v>0</v>
      </c>
      <c r="S362">
        <v>3</v>
      </c>
      <c r="T362">
        <v>25</v>
      </c>
      <c r="U362">
        <v>50</v>
      </c>
      <c r="V362">
        <v>108</v>
      </c>
      <c r="W362">
        <v>21</v>
      </c>
      <c r="X362">
        <v>5.1428571428571432</v>
      </c>
      <c r="Y362">
        <v>2</v>
      </c>
      <c r="Z362">
        <v>10</v>
      </c>
      <c r="AA362">
        <v>0</v>
      </c>
      <c r="AB362">
        <v>0</v>
      </c>
      <c r="AC362">
        <v>1</v>
      </c>
      <c r="AD362">
        <v>1</v>
      </c>
      <c r="AE362">
        <v>5</v>
      </c>
      <c r="AF362">
        <v>1</v>
      </c>
      <c r="AG362">
        <v>1</v>
      </c>
      <c r="AH362">
        <v>1</v>
      </c>
      <c r="AI362">
        <v>4</v>
      </c>
      <c r="AJ362">
        <v>1</v>
      </c>
      <c r="AK362">
        <v>1</v>
      </c>
      <c r="AL362">
        <v>2</v>
      </c>
      <c r="AM362">
        <v>5</v>
      </c>
      <c r="AN362">
        <v>3</v>
      </c>
      <c r="AO362">
        <v>11</v>
      </c>
      <c r="AP362">
        <v>3</v>
      </c>
      <c r="AQ362">
        <v>15</v>
      </c>
      <c r="AR362">
        <v>0.2</v>
      </c>
      <c r="AS362">
        <v>0</v>
      </c>
      <c r="AT362">
        <v>0.1</v>
      </c>
      <c r="AU362">
        <v>0.02</v>
      </c>
      <c r="AV362">
        <v>0.08</v>
      </c>
      <c r="AW362">
        <v>0.1</v>
      </c>
      <c r="AX362">
        <v>0.22</v>
      </c>
      <c r="AY362">
        <v>0.3</v>
      </c>
      <c r="AZ362">
        <v>0.12</v>
      </c>
      <c r="BA362">
        <v>0.33333333333333331</v>
      </c>
      <c r="BB362">
        <v>0.69047619047619058</v>
      </c>
      <c r="BC362">
        <v>0.2</v>
      </c>
      <c r="BD362">
        <v>0.70000000000000007</v>
      </c>
      <c r="BE362">
        <v>4</v>
      </c>
      <c r="BF362">
        <v>0.48095238095238102</v>
      </c>
      <c r="BG362">
        <v>0.54</v>
      </c>
      <c r="BH362" t="s">
        <v>71</v>
      </c>
      <c r="BI362">
        <v>0.48</v>
      </c>
      <c r="BJ362" t="s">
        <v>71</v>
      </c>
      <c r="BK362" s="2">
        <f t="shared" si="11"/>
        <v>6.0000000000000053E-2</v>
      </c>
      <c r="BL362" t="b">
        <f t="shared" si="12"/>
        <v>1</v>
      </c>
    </row>
    <row r="363" spans="1:64" x14ac:dyDescent="0.35">
      <c r="A363" t="s">
        <v>1008</v>
      </c>
      <c r="B363" t="s">
        <v>1005</v>
      </c>
      <c r="C363">
        <v>2017</v>
      </c>
      <c r="D363" t="s">
        <v>1006</v>
      </c>
      <c r="E363" t="s">
        <v>1007</v>
      </c>
      <c r="F363" t="s">
        <v>66</v>
      </c>
      <c r="G363" t="s">
        <v>67</v>
      </c>
      <c r="H363" t="s">
        <v>84</v>
      </c>
      <c r="I363" t="s">
        <v>1001</v>
      </c>
      <c r="J363" t="s">
        <v>70</v>
      </c>
      <c r="L363">
        <v>3</v>
      </c>
      <c r="M363" t="b">
        <v>0</v>
      </c>
      <c r="N363">
        <v>1</v>
      </c>
      <c r="O363">
        <v>1</v>
      </c>
      <c r="P363">
        <v>5</v>
      </c>
      <c r="Q363">
        <v>5</v>
      </c>
      <c r="R363">
        <v>0</v>
      </c>
      <c r="S363">
        <v>4</v>
      </c>
      <c r="T363">
        <v>27</v>
      </c>
      <c r="U363">
        <v>313</v>
      </c>
      <c r="V363">
        <v>109</v>
      </c>
      <c r="W363">
        <v>22</v>
      </c>
      <c r="X363">
        <v>4.9545454545454541</v>
      </c>
      <c r="Y363">
        <v>1</v>
      </c>
      <c r="Z363">
        <v>1</v>
      </c>
      <c r="AA363">
        <v>0</v>
      </c>
      <c r="AB363">
        <v>0</v>
      </c>
      <c r="AC363">
        <v>3</v>
      </c>
      <c r="AD363">
        <v>2</v>
      </c>
      <c r="AE363">
        <v>35</v>
      </c>
      <c r="AF363">
        <v>2</v>
      </c>
      <c r="AG363">
        <v>8</v>
      </c>
      <c r="AH363">
        <v>3</v>
      </c>
      <c r="AI363">
        <v>13</v>
      </c>
      <c r="AJ363">
        <v>1</v>
      </c>
      <c r="AK363">
        <v>11</v>
      </c>
      <c r="AL363">
        <v>4</v>
      </c>
      <c r="AM363">
        <v>24</v>
      </c>
      <c r="AN363">
        <v>3</v>
      </c>
      <c r="AO363">
        <v>9</v>
      </c>
      <c r="AP363">
        <v>3</v>
      </c>
      <c r="AQ363">
        <v>36</v>
      </c>
      <c r="AR363">
        <v>3.1948881789137379E-3</v>
      </c>
      <c r="AS363">
        <v>0</v>
      </c>
      <c r="AT363">
        <v>0.1118210862619808</v>
      </c>
      <c r="AU363">
        <v>2.55591054313099E-2</v>
      </c>
      <c r="AV363">
        <v>4.1533546325878593E-2</v>
      </c>
      <c r="AW363">
        <v>7.6677316293929709E-2</v>
      </c>
      <c r="AX363">
        <v>2.8753993610223641E-2</v>
      </c>
      <c r="AY363">
        <v>0.11501597444089461</v>
      </c>
      <c r="AZ363">
        <v>-4.7923322683706068E-2</v>
      </c>
      <c r="BA363">
        <v>0.5</v>
      </c>
      <c r="BB363">
        <v>0.65909090909090906</v>
      </c>
      <c r="BC363">
        <v>0.2</v>
      </c>
      <c r="BD363">
        <v>0.59504792332268375</v>
      </c>
      <c r="BE363">
        <v>4</v>
      </c>
      <c r="BF363">
        <v>0.48853470810339822</v>
      </c>
      <c r="BG363">
        <v>0.45</v>
      </c>
      <c r="BH363" t="s">
        <v>71</v>
      </c>
      <c r="BI363">
        <v>0.49</v>
      </c>
      <c r="BJ363" t="s">
        <v>71</v>
      </c>
      <c r="BK363" s="2">
        <f t="shared" si="11"/>
        <v>-3.999999999999998E-2</v>
      </c>
      <c r="BL363" t="b">
        <f t="shared" si="12"/>
        <v>1</v>
      </c>
    </row>
    <row r="364" spans="1:64" x14ac:dyDescent="0.35">
      <c r="A364" t="s">
        <v>1009</v>
      </c>
      <c r="B364" t="s">
        <v>1005</v>
      </c>
      <c r="C364">
        <v>2020</v>
      </c>
      <c r="D364" t="s">
        <v>1006</v>
      </c>
      <c r="E364" t="s">
        <v>1007</v>
      </c>
      <c r="F364" t="s">
        <v>66</v>
      </c>
      <c r="G364" t="s">
        <v>67</v>
      </c>
      <c r="H364" t="s">
        <v>84</v>
      </c>
      <c r="I364" t="s">
        <v>1001</v>
      </c>
      <c r="J364" t="s">
        <v>70</v>
      </c>
      <c r="L364">
        <v>3</v>
      </c>
      <c r="M364" t="b">
        <v>0</v>
      </c>
      <c r="N364">
        <v>3</v>
      </c>
      <c r="O364">
        <v>1</v>
      </c>
      <c r="P364">
        <v>4</v>
      </c>
      <c r="Q364">
        <v>3</v>
      </c>
      <c r="R364">
        <v>1</v>
      </c>
      <c r="S364">
        <v>4</v>
      </c>
      <c r="T364">
        <v>22</v>
      </c>
      <c r="U364">
        <v>81</v>
      </c>
      <c r="V364">
        <v>76</v>
      </c>
      <c r="W364">
        <v>18</v>
      </c>
      <c r="X364">
        <v>4.2222222222222223</v>
      </c>
      <c r="Y364">
        <v>1</v>
      </c>
      <c r="Z364">
        <v>3</v>
      </c>
      <c r="AA364">
        <v>0</v>
      </c>
      <c r="AB364">
        <v>0</v>
      </c>
      <c r="AC364">
        <v>3</v>
      </c>
      <c r="AD364">
        <v>3</v>
      </c>
      <c r="AE364">
        <v>14</v>
      </c>
      <c r="AF364">
        <v>1</v>
      </c>
      <c r="AG364">
        <v>1</v>
      </c>
      <c r="AH364">
        <v>2</v>
      </c>
      <c r="AI364">
        <v>10</v>
      </c>
      <c r="AJ364">
        <v>2</v>
      </c>
      <c r="AK364">
        <v>7</v>
      </c>
      <c r="AL364">
        <v>4</v>
      </c>
      <c r="AM364">
        <v>17</v>
      </c>
      <c r="AN364">
        <v>2</v>
      </c>
      <c r="AO364">
        <v>4</v>
      </c>
      <c r="AP364">
        <v>4</v>
      </c>
      <c r="AQ364">
        <v>17</v>
      </c>
      <c r="AR364">
        <v>3.7037037037037028E-2</v>
      </c>
      <c r="AS364">
        <v>0</v>
      </c>
      <c r="AT364">
        <v>0.1728395061728395</v>
      </c>
      <c r="AU364">
        <v>1.234567901234568E-2</v>
      </c>
      <c r="AV364">
        <v>0.1234567901234568</v>
      </c>
      <c r="AW364">
        <v>0.2098765432098765</v>
      </c>
      <c r="AX364">
        <v>4.9382716049382713E-2</v>
      </c>
      <c r="AY364">
        <v>0.2098765432098765</v>
      </c>
      <c r="AZ364">
        <v>-0.16049382716049379</v>
      </c>
      <c r="BA364">
        <v>0.5</v>
      </c>
      <c r="BB364">
        <v>0.53703703703703709</v>
      </c>
      <c r="BC364">
        <v>0.26666666666666672</v>
      </c>
      <c r="BD364">
        <v>0.52469135802469136</v>
      </c>
      <c r="BE364">
        <v>4</v>
      </c>
      <c r="BF364">
        <v>0.45709876543209882</v>
      </c>
      <c r="BG364">
        <v>0.45</v>
      </c>
      <c r="BH364" t="s">
        <v>71</v>
      </c>
      <c r="BI364">
        <v>0.46</v>
      </c>
      <c r="BJ364" t="s">
        <v>71</v>
      </c>
      <c r="BK364" s="2">
        <f t="shared" si="11"/>
        <v>-1.0000000000000009E-2</v>
      </c>
      <c r="BL364" t="b">
        <f t="shared" si="12"/>
        <v>1</v>
      </c>
    </row>
    <row r="365" spans="1:64" x14ac:dyDescent="0.35">
      <c r="A365" t="s">
        <v>1010</v>
      </c>
      <c r="B365" t="s">
        <v>1011</v>
      </c>
      <c r="C365">
        <v>2014</v>
      </c>
      <c r="D365" t="s">
        <v>1012</v>
      </c>
      <c r="E365" t="s">
        <v>1013</v>
      </c>
      <c r="F365" t="s">
        <v>66</v>
      </c>
      <c r="G365" t="s">
        <v>91</v>
      </c>
      <c r="H365" t="s">
        <v>91</v>
      </c>
      <c r="I365" t="s">
        <v>1014</v>
      </c>
      <c r="J365" t="s">
        <v>70</v>
      </c>
      <c r="L365">
        <v>2</v>
      </c>
      <c r="M365" t="b">
        <v>0</v>
      </c>
      <c r="N365">
        <v>1</v>
      </c>
      <c r="O365">
        <v>1</v>
      </c>
      <c r="P365">
        <v>9</v>
      </c>
      <c r="Q365">
        <v>3</v>
      </c>
      <c r="R365">
        <v>6</v>
      </c>
      <c r="S365">
        <v>5</v>
      </c>
      <c r="T365">
        <v>30</v>
      </c>
      <c r="U365">
        <v>1400</v>
      </c>
      <c r="V365">
        <v>122</v>
      </c>
      <c r="W365">
        <v>21</v>
      </c>
      <c r="X365">
        <v>5.8095238095238093</v>
      </c>
      <c r="Y365">
        <v>6</v>
      </c>
      <c r="Z365">
        <v>49</v>
      </c>
      <c r="AA365">
        <v>0</v>
      </c>
      <c r="AB365">
        <v>0</v>
      </c>
      <c r="AC365">
        <v>4</v>
      </c>
      <c r="AD365">
        <v>4</v>
      </c>
      <c r="AE365">
        <v>44</v>
      </c>
      <c r="AF365">
        <v>1</v>
      </c>
      <c r="AG365">
        <v>1</v>
      </c>
      <c r="AH365">
        <v>2</v>
      </c>
      <c r="AI365">
        <v>33</v>
      </c>
      <c r="AJ365">
        <v>2</v>
      </c>
      <c r="AK365">
        <v>6</v>
      </c>
      <c r="AL365">
        <v>4</v>
      </c>
      <c r="AM365">
        <v>39</v>
      </c>
      <c r="AN365">
        <v>7</v>
      </c>
      <c r="AO365">
        <v>50</v>
      </c>
      <c r="AP365">
        <v>10</v>
      </c>
      <c r="AQ365">
        <v>93</v>
      </c>
      <c r="AR365">
        <v>3.5000000000000003E-2</v>
      </c>
      <c r="AS365">
        <v>0</v>
      </c>
      <c r="AT365">
        <v>3.1428571428571431E-2</v>
      </c>
      <c r="AU365">
        <v>7.1428571428571429E-4</v>
      </c>
      <c r="AV365">
        <v>2.357142857142857E-2</v>
      </c>
      <c r="AW365">
        <v>2.7857142857142862E-2</v>
      </c>
      <c r="AX365">
        <v>3.5714285714285712E-2</v>
      </c>
      <c r="AY365">
        <v>6.6428571428571434E-2</v>
      </c>
      <c r="AZ365">
        <v>7.8571428571428542E-3</v>
      </c>
      <c r="BA365">
        <v>0.66666666666666663</v>
      </c>
      <c r="BB365">
        <v>0.80158730158730152</v>
      </c>
      <c r="BC365">
        <v>0.66666666666666663</v>
      </c>
      <c r="BD365">
        <v>0.62991071428571421</v>
      </c>
      <c r="BE365">
        <v>4</v>
      </c>
      <c r="BF365">
        <v>0.6912078373015873</v>
      </c>
      <c r="BG365">
        <v>0.69</v>
      </c>
      <c r="BH365" t="s">
        <v>86</v>
      </c>
      <c r="BI365">
        <v>0.69</v>
      </c>
      <c r="BJ365" t="s">
        <v>86</v>
      </c>
      <c r="BK365" s="2">
        <f t="shared" si="11"/>
        <v>0</v>
      </c>
      <c r="BL365" t="b">
        <f t="shared" si="12"/>
        <v>1</v>
      </c>
    </row>
    <row r="366" spans="1:64" x14ac:dyDescent="0.35">
      <c r="A366" t="s">
        <v>1015</v>
      </c>
      <c r="B366" t="s">
        <v>1011</v>
      </c>
      <c r="C366">
        <v>2020</v>
      </c>
      <c r="D366" t="s">
        <v>1012</v>
      </c>
      <c r="E366" t="s">
        <v>1013</v>
      </c>
      <c r="F366" t="s">
        <v>66</v>
      </c>
      <c r="G366" t="s">
        <v>91</v>
      </c>
      <c r="H366" t="s">
        <v>91</v>
      </c>
      <c r="I366" t="s">
        <v>1014</v>
      </c>
      <c r="J366" t="s">
        <v>70</v>
      </c>
      <c r="L366">
        <v>2</v>
      </c>
      <c r="M366" t="b">
        <v>0</v>
      </c>
      <c r="N366">
        <v>3</v>
      </c>
      <c r="O366">
        <v>2</v>
      </c>
      <c r="P366">
        <v>7</v>
      </c>
      <c r="Q366">
        <v>3</v>
      </c>
      <c r="R366">
        <v>4</v>
      </c>
      <c r="S366">
        <v>4</v>
      </c>
      <c r="T366">
        <v>28</v>
      </c>
      <c r="U366">
        <v>1543</v>
      </c>
      <c r="V366">
        <v>133</v>
      </c>
      <c r="W366">
        <v>25</v>
      </c>
      <c r="X366">
        <v>5.32</v>
      </c>
      <c r="Y366">
        <v>5</v>
      </c>
      <c r="Z366">
        <v>255</v>
      </c>
      <c r="AA366">
        <v>0</v>
      </c>
      <c r="AB366">
        <v>0</v>
      </c>
      <c r="AC366">
        <v>3</v>
      </c>
      <c r="AD366">
        <v>3</v>
      </c>
      <c r="AE366">
        <v>195</v>
      </c>
      <c r="AF366">
        <v>1</v>
      </c>
      <c r="AG366">
        <v>1</v>
      </c>
      <c r="AH366">
        <v>2</v>
      </c>
      <c r="AI366">
        <v>31</v>
      </c>
      <c r="AJ366">
        <v>2</v>
      </c>
      <c r="AK366">
        <v>7</v>
      </c>
      <c r="AL366">
        <v>4</v>
      </c>
      <c r="AM366">
        <v>38</v>
      </c>
      <c r="AN366">
        <v>6</v>
      </c>
      <c r="AO366">
        <v>256</v>
      </c>
      <c r="AP366">
        <v>8</v>
      </c>
      <c r="AQ366">
        <v>450</v>
      </c>
      <c r="AR366">
        <v>0.16526247569669469</v>
      </c>
      <c r="AS366">
        <v>0</v>
      </c>
      <c r="AT366">
        <v>0.12637718729747249</v>
      </c>
      <c r="AU366">
        <v>6.4808813998703824E-4</v>
      </c>
      <c r="AV366">
        <v>2.009073233959819E-2</v>
      </c>
      <c r="AW366">
        <v>2.4627349319507452E-2</v>
      </c>
      <c r="AX366">
        <v>0.16591056383668179</v>
      </c>
      <c r="AY366">
        <v>0.29163966299416721</v>
      </c>
      <c r="AZ366">
        <v>0.14128321451717429</v>
      </c>
      <c r="BA366">
        <v>0.5</v>
      </c>
      <c r="BB366">
        <v>0.72000000000000008</v>
      </c>
      <c r="BC366">
        <v>0.53333333333333333</v>
      </c>
      <c r="BD366">
        <v>0.71330200907323393</v>
      </c>
      <c r="BE366">
        <v>4</v>
      </c>
      <c r="BF366">
        <v>0.61665883560164181</v>
      </c>
      <c r="BG366">
        <v>0.64</v>
      </c>
      <c r="BH366" t="s">
        <v>86</v>
      </c>
      <c r="BI366">
        <v>0.62</v>
      </c>
      <c r="BJ366" t="s">
        <v>86</v>
      </c>
      <c r="BK366" s="2">
        <f t="shared" si="11"/>
        <v>2.0000000000000018E-2</v>
      </c>
      <c r="BL366" t="b">
        <f t="shared" si="12"/>
        <v>1</v>
      </c>
    </row>
    <row r="367" spans="1:64" x14ac:dyDescent="0.35">
      <c r="A367" t="s">
        <v>1016</v>
      </c>
      <c r="B367" t="s">
        <v>1017</v>
      </c>
      <c r="C367">
        <v>2017</v>
      </c>
      <c r="D367" t="s">
        <v>1018</v>
      </c>
      <c r="E367" t="s">
        <v>1019</v>
      </c>
      <c r="F367" t="s">
        <v>66</v>
      </c>
      <c r="G367" t="s">
        <v>67</v>
      </c>
      <c r="H367" t="s">
        <v>84</v>
      </c>
      <c r="I367" t="s">
        <v>1020</v>
      </c>
      <c r="J367" t="s">
        <v>70</v>
      </c>
      <c r="L367">
        <v>1</v>
      </c>
      <c r="M367" t="b">
        <v>0</v>
      </c>
      <c r="N367">
        <v>1</v>
      </c>
      <c r="O367">
        <v>1</v>
      </c>
      <c r="P367">
        <v>7</v>
      </c>
      <c r="Q367">
        <v>4</v>
      </c>
      <c r="R367">
        <v>3</v>
      </c>
      <c r="S367">
        <v>4</v>
      </c>
      <c r="T367">
        <v>27</v>
      </c>
      <c r="U367">
        <v>425</v>
      </c>
      <c r="V367">
        <v>81</v>
      </c>
      <c r="W367">
        <v>15</v>
      </c>
      <c r="X367">
        <v>5.4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24</v>
      </c>
      <c r="AF367">
        <v>0</v>
      </c>
      <c r="AG367">
        <v>0</v>
      </c>
      <c r="AH367">
        <v>2</v>
      </c>
      <c r="AI367">
        <v>52</v>
      </c>
      <c r="AJ367">
        <v>1</v>
      </c>
      <c r="AK367">
        <v>1</v>
      </c>
      <c r="AL367">
        <v>3</v>
      </c>
      <c r="AM367">
        <v>53</v>
      </c>
      <c r="AN367">
        <v>0</v>
      </c>
      <c r="AO367">
        <v>0</v>
      </c>
      <c r="AP367">
        <v>1</v>
      </c>
      <c r="AQ367">
        <v>24</v>
      </c>
      <c r="AR367">
        <v>0</v>
      </c>
      <c r="AS367">
        <v>0</v>
      </c>
      <c r="AT367">
        <v>5.647058823529412E-2</v>
      </c>
      <c r="AU367">
        <v>0</v>
      </c>
      <c r="AV367">
        <v>0.12235294117647059</v>
      </c>
      <c r="AW367">
        <v>0.12470588235294119</v>
      </c>
      <c r="AX367">
        <v>0</v>
      </c>
      <c r="AY367">
        <v>5.647058823529412E-2</v>
      </c>
      <c r="AZ367">
        <v>-0.12470588235294119</v>
      </c>
      <c r="BA367">
        <v>0.5</v>
      </c>
      <c r="BB367">
        <v>0.73333333333333339</v>
      </c>
      <c r="BC367">
        <v>6.6666666666666666E-2</v>
      </c>
      <c r="BD367">
        <v>0.54705882352941171</v>
      </c>
      <c r="BE367">
        <v>4</v>
      </c>
      <c r="BF367">
        <v>0.46176470588235302</v>
      </c>
      <c r="BG367">
        <v>0.44</v>
      </c>
      <c r="BH367" t="s">
        <v>71</v>
      </c>
      <c r="BI367">
        <v>0.46</v>
      </c>
      <c r="BJ367" t="s">
        <v>71</v>
      </c>
      <c r="BK367" s="2">
        <f t="shared" si="11"/>
        <v>-2.0000000000000018E-2</v>
      </c>
      <c r="BL367" t="b">
        <f t="shared" si="12"/>
        <v>1</v>
      </c>
    </row>
    <row r="368" spans="1:64" x14ac:dyDescent="0.35">
      <c r="A368" t="s">
        <v>1021</v>
      </c>
      <c r="B368" t="s">
        <v>1017</v>
      </c>
      <c r="C368">
        <v>2021</v>
      </c>
      <c r="D368" t="s">
        <v>1018</v>
      </c>
      <c r="E368" t="s">
        <v>1019</v>
      </c>
      <c r="F368" t="s">
        <v>66</v>
      </c>
      <c r="G368" t="s">
        <v>67</v>
      </c>
      <c r="H368" t="s">
        <v>84</v>
      </c>
      <c r="I368" t="s">
        <v>1020</v>
      </c>
      <c r="J368" t="s">
        <v>70</v>
      </c>
      <c r="L368">
        <v>1</v>
      </c>
      <c r="M368" t="b">
        <v>0</v>
      </c>
      <c r="N368">
        <v>3</v>
      </c>
      <c r="O368">
        <v>1</v>
      </c>
      <c r="P368">
        <v>3</v>
      </c>
      <c r="Q368">
        <v>1</v>
      </c>
      <c r="R368">
        <v>2</v>
      </c>
      <c r="S368">
        <v>4</v>
      </c>
      <c r="T368">
        <v>12</v>
      </c>
      <c r="U368">
        <v>48</v>
      </c>
      <c r="V368">
        <v>60</v>
      </c>
      <c r="W368">
        <v>12</v>
      </c>
      <c r="X368">
        <v>5</v>
      </c>
      <c r="Y368">
        <v>1</v>
      </c>
      <c r="Z368">
        <v>1</v>
      </c>
      <c r="AA368">
        <v>0</v>
      </c>
      <c r="AB368">
        <v>0</v>
      </c>
      <c r="AC368">
        <v>1</v>
      </c>
      <c r="AD368">
        <v>1</v>
      </c>
      <c r="AE368">
        <v>10</v>
      </c>
      <c r="AF368">
        <v>1</v>
      </c>
      <c r="AG368">
        <v>1</v>
      </c>
      <c r="AH368">
        <v>2</v>
      </c>
      <c r="AI368">
        <v>17</v>
      </c>
      <c r="AJ368">
        <v>0</v>
      </c>
      <c r="AK368">
        <v>0</v>
      </c>
      <c r="AL368">
        <v>2</v>
      </c>
      <c r="AM368">
        <v>17</v>
      </c>
      <c r="AN368">
        <v>2</v>
      </c>
      <c r="AO368">
        <v>2</v>
      </c>
      <c r="AP368">
        <v>2</v>
      </c>
      <c r="AQ368">
        <v>11</v>
      </c>
      <c r="AR368">
        <v>2.0833333333333329E-2</v>
      </c>
      <c r="AS368">
        <v>0</v>
      </c>
      <c r="AT368">
        <v>0.20833333333333329</v>
      </c>
      <c r="AU368">
        <v>2.0833333333333329E-2</v>
      </c>
      <c r="AV368">
        <v>0.35416666666666669</v>
      </c>
      <c r="AW368">
        <v>0.35416666666666669</v>
      </c>
      <c r="AX368">
        <v>4.1666666666666657E-2</v>
      </c>
      <c r="AY368">
        <v>0.22916666666666671</v>
      </c>
      <c r="AZ368">
        <v>-0.3125</v>
      </c>
      <c r="BA368">
        <v>0.5</v>
      </c>
      <c r="BB368">
        <v>0.66666666666666663</v>
      </c>
      <c r="BC368">
        <v>0.1333333333333333</v>
      </c>
      <c r="BD368">
        <v>0.4296875</v>
      </c>
      <c r="BE368">
        <v>4</v>
      </c>
      <c r="BF368">
        <v>0.43242187500000001</v>
      </c>
      <c r="BG368">
        <v>0.49</v>
      </c>
      <c r="BH368" t="s">
        <v>71</v>
      </c>
      <c r="BI368">
        <v>0.43</v>
      </c>
      <c r="BJ368" t="s">
        <v>71</v>
      </c>
      <c r="BK368" s="2">
        <f t="shared" si="11"/>
        <v>0.06</v>
      </c>
      <c r="BL368" t="b">
        <f t="shared" si="12"/>
        <v>1</v>
      </c>
    </row>
    <row r="369" spans="1:64" x14ac:dyDescent="0.35">
      <c r="A369" t="s">
        <v>1022</v>
      </c>
      <c r="B369" t="s">
        <v>1023</v>
      </c>
      <c r="C369">
        <v>2017</v>
      </c>
      <c r="D369" t="s">
        <v>1024</v>
      </c>
      <c r="E369" t="s">
        <v>1025</v>
      </c>
      <c r="F369" t="s">
        <v>66</v>
      </c>
      <c r="G369" t="s">
        <v>144</v>
      </c>
      <c r="H369" t="s">
        <v>424</v>
      </c>
      <c r="I369" t="s">
        <v>1026</v>
      </c>
      <c r="J369" t="s">
        <v>70</v>
      </c>
      <c r="L369">
        <v>1</v>
      </c>
      <c r="M369" t="b">
        <v>0</v>
      </c>
      <c r="N369">
        <v>1</v>
      </c>
      <c r="O369">
        <v>1</v>
      </c>
      <c r="P369">
        <v>6</v>
      </c>
      <c r="Q369">
        <v>3</v>
      </c>
      <c r="R369">
        <v>3</v>
      </c>
      <c r="S369">
        <v>4</v>
      </c>
      <c r="T369">
        <v>18</v>
      </c>
      <c r="U369">
        <v>511</v>
      </c>
      <c r="V369">
        <v>80</v>
      </c>
      <c r="W369">
        <v>17</v>
      </c>
      <c r="X369">
        <v>4.7058823529411766</v>
      </c>
      <c r="Y369">
        <v>2</v>
      </c>
      <c r="Z369">
        <v>17</v>
      </c>
      <c r="AA369">
        <v>0</v>
      </c>
      <c r="AB369">
        <v>0</v>
      </c>
      <c r="AC369">
        <v>2</v>
      </c>
      <c r="AD369">
        <v>2</v>
      </c>
      <c r="AE369">
        <v>136</v>
      </c>
      <c r="AF369">
        <v>1</v>
      </c>
      <c r="AG369">
        <v>1</v>
      </c>
      <c r="AH369">
        <v>2</v>
      </c>
      <c r="AI369">
        <v>139</v>
      </c>
      <c r="AJ369">
        <v>1</v>
      </c>
      <c r="AK369">
        <v>4</v>
      </c>
      <c r="AL369">
        <v>3</v>
      </c>
      <c r="AM369">
        <v>143</v>
      </c>
      <c r="AN369">
        <v>3</v>
      </c>
      <c r="AO369">
        <v>18</v>
      </c>
      <c r="AP369">
        <v>4</v>
      </c>
      <c r="AQ369">
        <v>153</v>
      </c>
      <c r="AR369">
        <v>3.3268101761252437E-2</v>
      </c>
      <c r="AS369">
        <v>0</v>
      </c>
      <c r="AT369">
        <v>0.26614481409001961</v>
      </c>
      <c r="AU369">
        <v>1.9569471624266139E-3</v>
      </c>
      <c r="AV369">
        <v>0.2720156555772994</v>
      </c>
      <c r="AW369">
        <v>0.27984344422700591</v>
      </c>
      <c r="AX369">
        <v>3.5225048923679059E-2</v>
      </c>
      <c r="AY369">
        <v>0.299412915851272</v>
      </c>
      <c r="AZ369">
        <v>-0.2446183953033268</v>
      </c>
      <c r="BA369">
        <v>0.5</v>
      </c>
      <c r="BB369">
        <v>0.61764705882352944</v>
      </c>
      <c r="BC369">
        <v>0.26666666666666672</v>
      </c>
      <c r="BD369">
        <v>0.47211350293542081</v>
      </c>
      <c r="BE369">
        <v>4</v>
      </c>
      <c r="BF369">
        <v>0.46410680710640417</v>
      </c>
      <c r="BG369">
        <v>0.55000000000000004</v>
      </c>
      <c r="BH369" t="s">
        <v>71</v>
      </c>
      <c r="BI369">
        <v>0.46</v>
      </c>
      <c r="BJ369" t="s">
        <v>71</v>
      </c>
      <c r="BK369" s="2">
        <f t="shared" si="11"/>
        <v>9.0000000000000024E-2</v>
      </c>
      <c r="BL369" t="b">
        <f t="shared" si="12"/>
        <v>1</v>
      </c>
    </row>
    <row r="370" spans="1:64" x14ac:dyDescent="0.35">
      <c r="A370" t="s">
        <v>1027</v>
      </c>
      <c r="B370" t="s">
        <v>1023</v>
      </c>
      <c r="C370">
        <v>2022</v>
      </c>
      <c r="D370" t="s">
        <v>1024</v>
      </c>
      <c r="E370" t="s">
        <v>1025</v>
      </c>
      <c r="F370" t="s">
        <v>66</v>
      </c>
      <c r="G370" t="s">
        <v>144</v>
      </c>
      <c r="H370" t="s">
        <v>424</v>
      </c>
      <c r="I370" t="s">
        <v>1026</v>
      </c>
      <c r="J370" t="s">
        <v>70</v>
      </c>
      <c r="L370">
        <v>1</v>
      </c>
      <c r="M370" t="b">
        <v>0</v>
      </c>
      <c r="N370">
        <v>1</v>
      </c>
      <c r="O370">
        <v>2</v>
      </c>
      <c r="P370">
        <v>8</v>
      </c>
      <c r="Q370">
        <v>3</v>
      </c>
      <c r="R370">
        <v>5</v>
      </c>
      <c r="S370">
        <v>6</v>
      </c>
      <c r="T370">
        <v>25</v>
      </c>
      <c r="U370">
        <v>220</v>
      </c>
      <c r="V370">
        <v>117</v>
      </c>
      <c r="W370">
        <v>20</v>
      </c>
      <c r="X370">
        <v>5.85</v>
      </c>
      <c r="Y370">
        <v>3</v>
      </c>
      <c r="Z370">
        <v>48</v>
      </c>
      <c r="AA370">
        <v>0</v>
      </c>
      <c r="AB370">
        <v>0</v>
      </c>
      <c r="AC370">
        <v>3</v>
      </c>
      <c r="AD370">
        <v>2</v>
      </c>
      <c r="AE370">
        <v>68</v>
      </c>
      <c r="AF370">
        <v>1</v>
      </c>
      <c r="AG370">
        <v>1</v>
      </c>
      <c r="AH370">
        <v>1</v>
      </c>
      <c r="AI370">
        <v>7</v>
      </c>
      <c r="AJ370">
        <v>1</v>
      </c>
      <c r="AK370">
        <v>2</v>
      </c>
      <c r="AL370">
        <v>2</v>
      </c>
      <c r="AM370">
        <v>9</v>
      </c>
      <c r="AN370">
        <v>4</v>
      </c>
      <c r="AO370">
        <v>49</v>
      </c>
      <c r="AP370">
        <v>5</v>
      </c>
      <c r="AQ370">
        <v>116</v>
      </c>
      <c r="AR370">
        <v>0.2181818181818182</v>
      </c>
      <c r="AS370">
        <v>0</v>
      </c>
      <c r="AT370">
        <v>0.30909090909090908</v>
      </c>
      <c r="AU370">
        <v>4.5454545454545452E-3</v>
      </c>
      <c r="AV370">
        <v>3.1818181818181808E-2</v>
      </c>
      <c r="AW370">
        <v>4.0909090909090909E-2</v>
      </c>
      <c r="AX370">
        <v>0.22272727272727269</v>
      </c>
      <c r="AY370">
        <v>0.52727272727272723</v>
      </c>
      <c r="AZ370">
        <v>0.1818181818181818</v>
      </c>
      <c r="BA370">
        <v>0.83333333333333337</v>
      </c>
      <c r="BB370">
        <v>0.80833333333333324</v>
      </c>
      <c r="BC370">
        <v>0.33333333333333331</v>
      </c>
      <c r="BD370">
        <v>0.73863636363636365</v>
      </c>
      <c r="BE370">
        <v>4</v>
      </c>
      <c r="BF370">
        <v>0.67840909090909085</v>
      </c>
      <c r="BG370">
        <v>0.69</v>
      </c>
      <c r="BH370" t="s">
        <v>86</v>
      </c>
      <c r="BI370">
        <v>0.68</v>
      </c>
      <c r="BJ370" t="s">
        <v>86</v>
      </c>
      <c r="BK370" s="2">
        <f t="shared" si="11"/>
        <v>9.9999999999998979E-3</v>
      </c>
      <c r="BL370" t="b">
        <f t="shared" si="12"/>
        <v>1</v>
      </c>
    </row>
    <row r="371" spans="1:64" x14ac:dyDescent="0.35">
      <c r="A371" t="s">
        <v>1028</v>
      </c>
      <c r="B371" t="s">
        <v>1029</v>
      </c>
      <c r="C371">
        <v>2017</v>
      </c>
      <c r="D371" t="s">
        <v>1030</v>
      </c>
      <c r="E371" t="s">
        <v>1031</v>
      </c>
      <c r="F371" t="s">
        <v>66</v>
      </c>
      <c r="G371" t="s">
        <v>144</v>
      </c>
      <c r="H371" t="s">
        <v>144</v>
      </c>
      <c r="I371" t="s">
        <v>144</v>
      </c>
      <c r="J371" t="s">
        <v>70</v>
      </c>
      <c r="L371">
        <v>1</v>
      </c>
      <c r="M371" t="b">
        <v>0</v>
      </c>
      <c r="N371">
        <v>1</v>
      </c>
      <c r="O371">
        <v>2</v>
      </c>
      <c r="P371">
        <v>8</v>
      </c>
      <c r="Q371">
        <v>3</v>
      </c>
      <c r="R371">
        <v>5</v>
      </c>
      <c r="S371">
        <v>6</v>
      </c>
      <c r="T371">
        <v>24</v>
      </c>
      <c r="U371">
        <v>1102</v>
      </c>
      <c r="V371">
        <v>102</v>
      </c>
      <c r="W371">
        <v>20</v>
      </c>
      <c r="X371">
        <v>5.0999999999999996</v>
      </c>
      <c r="Y371">
        <v>3</v>
      </c>
      <c r="Z371">
        <v>72</v>
      </c>
      <c r="AA371">
        <v>1</v>
      </c>
      <c r="AB371">
        <v>108</v>
      </c>
      <c r="AC371">
        <v>4</v>
      </c>
      <c r="AD371">
        <v>4</v>
      </c>
      <c r="AE371">
        <v>278</v>
      </c>
      <c r="AF371">
        <v>0</v>
      </c>
      <c r="AG371">
        <v>0</v>
      </c>
      <c r="AH371">
        <v>1</v>
      </c>
      <c r="AI371">
        <v>60</v>
      </c>
      <c r="AJ371">
        <v>2</v>
      </c>
      <c r="AK371">
        <v>52</v>
      </c>
      <c r="AL371">
        <v>3</v>
      </c>
      <c r="AM371">
        <v>112</v>
      </c>
      <c r="AN371">
        <v>4</v>
      </c>
      <c r="AO371">
        <v>180</v>
      </c>
      <c r="AP371">
        <v>8</v>
      </c>
      <c r="AQ371">
        <v>458</v>
      </c>
      <c r="AR371">
        <v>6.5335753176043551E-2</v>
      </c>
      <c r="AS371">
        <v>9.8003629764065334E-2</v>
      </c>
      <c r="AT371">
        <v>0.25226860254083477</v>
      </c>
      <c r="AU371">
        <v>0</v>
      </c>
      <c r="AV371">
        <v>5.4446460980036297E-2</v>
      </c>
      <c r="AW371">
        <v>0.10163339382940111</v>
      </c>
      <c r="AX371">
        <v>0.16333938294010891</v>
      </c>
      <c r="AY371">
        <v>0.41560798548094369</v>
      </c>
      <c r="AZ371">
        <v>6.1705989110707793E-2</v>
      </c>
      <c r="BA371">
        <v>0.83333333333333337</v>
      </c>
      <c r="BB371">
        <v>0.68333333333333324</v>
      </c>
      <c r="BC371">
        <v>0.53333333333333333</v>
      </c>
      <c r="BD371">
        <v>0.66356624319419244</v>
      </c>
      <c r="BE371">
        <v>4</v>
      </c>
      <c r="BF371">
        <v>0.67839156079854812</v>
      </c>
      <c r="BG371">
        <v>0.68</v>
      </c>
      <c r="BH371" t="s">
        <v>86</v>
      </c>
      <c r="BI371">
        <v>0.68</v>
      </c>
      <c r="BJ371" t="s">
        <v>86</v>
      </c>
      <c r="BK371" s="2">
        <f t="shared" si="11"/>
        <v>0</v>
      </c>
      <c r="BL371" t="b">
        <f t="shared" si="12"/>
        <v>1</v>
      </c>
    </row>
    <row r="372" spans="1:64" x14ac:dyDescent="0.35">
      <c r="A372" t="s">
        <v>1032</v>
      </c>
      <c r="B372" t="s">
        <v>1029</v>
      </c>
      <c r="C372">
        <v>2022</v>
      </c>
      <c r="D372" t="s">
        <v>1030</v>
      </c>
      <c r="E372" t="s">
        <v>1031</v>
      </c>
      <c r="F372" t="s">
        <v>66</v>
      </c>
      <c r="G372" t="s">
        <v>144</v>
      </c>
      <c r="H372" t="s">
        <v>144</v>
      </c>
      <c r="I372" t="s">
        <v>144</v>
      </c>
      <c r="J372" t="s">
        <v>70</v>
      </c>
      <c r="L372">
        <v>1</v>
      </c>
      <c r="M372" t="b">
        <v>0</v>
      </c>
      <c r="N372">
        <v>1</v>
      </c>
      <c r="O372">
        <v>1</v>
      </c>
      <c r="P372">
        <v>5</v>
      </c>
      <c r="Q372">
        <v>4</v>
      </c>
      <c r="R372">
        <v>1</v>
      </c>
      <c r="S372">
        <v>4</v>
      </c>
      <c r="T372">
        <v>26</v>
      </c>
      <c r="U372">
        <v>839</v>
      </c>
      <c r="V372">
        <v>101</v>
      </c>
      <c r="W372">
        <v>20</v>
      </c>
      <c r="X372">
        <v>5.05</v>
      </c>
      <c r="Y372">
        <v>4</v>
      </c>
      <c r="Z372">
        <v>111</v>
      </c>
      <c r="AA372">
        <v>0</v>
      </c>
      <c r="AB372">
        <v>0</v>
      </c>
      <c r="AC372">
        <v>1</v>
      </c>
      <c r="AD372">
        <v>1</v>
      </c>
      <c r="AE372">
        <v>1</v>
      </c>
      <c r="AF372">
        <v>0</v>
      </c>
      <c r="AG372">
        <v>0</v>
      </c>
      <c r="AH372">
        <v>1</v>
      </c>
      <c r="AI372">
        <v>30</v>
      </c>
      <c r="AJ372">
        <v>1</v>
      </c>
      <c r="AK372">
        <v>2</v>
      </c>
      <c r="AL372">
        <v>2</v>
      </c>
      <c r="AM372">
        <v>32</v>
      </c>
      <c r="AN372">
        <v>4</v>
      </c>
      <c r="AO372">
        <v>111</v>
      </c>
      <c r="AP372">
        <v>5</v>
      </c>
      <c r="AQ372">
        <v>112</v>
      </c>
      <c r="AR372">
        <v>0.132300357568534</v>
      </c>
      <c r="AS372">
        <v>0</v>
      </c>
      <c r="AT372">
        <v>1.1918951132300359E-3</v>
      </c>
      <c r="AU372">
        <v>0</v>
      </c>
      <c r="AV372">
        <v>3.5756853396901073E-2</v>
      </c>
      <c r="AW372">
        <v>3.8140643623361142E-2</v>
      </c>
      <c r="AX372">
        <v>0.132300357568534</v>
      </c>
      <c r="AY372">
        <v>0.13349225268176401</v>
      </c>
      <c r="AZ372">
        <v>9.4159713945172835E-2</v>
      </c>
      <c r="BA372">
        <v>0.5</v>
      </c>
      <c r="BB372">
        <v>0.67499999999999993</v>
      </c>
      <c r="BC372">
        <v>0.33333333333333331</v>
      </c>
      <c r="BD372">
        <v>0.68384982121573301</v>
      </c>
      <c r="BE372">
        <v>4</v>
      </c>
      <c r="BF372">
        <v>0.54804578863726661</v>
      </c>
      <c r="BG372">
        <v>0.55000000000000004</v>
      </c>
      <c r="BH372" t="s">
        <v>71</v>
      </c>
      <c r="BI372">
        <v>0.55000000000000004</v>
      </c>
      <c r="BJ372" t="s">
        <v>71</v>
      </c>
      <c r="BK372" s="2">
        <f t="shared" si="11"/>
        <v>0</v>
      </c>
      <c r="BL372" t="b">
        <f t="shared" si="12"/>
        <v>1</v>
      </c>
    </row>
    <row r="373" spans="1:64" x14ac:dyDescent="0.35">
      <c r="A373" t="s">
        <v>1033</v>
      </c>
      <c r="B373" t="s">
        <v>1034</v>
      </c>
      <c r="C373">
        <v>2017</v>
      </c>
      <c r="D373" t="s">
        <v>1035</v>
      </c>
      <c r="E373" t="s">
        <v>1036</v>
      </c>
      <c r="F373" t="s">
        <v>66</v>
      </c>
      <c r="G373" t="s">
        <v>144</v>
      </c>
      <c r="H373" t="s">
        <v>144</v>
      </c>
      <c r="I373" t="s">
        <v>1037</v>
      </c>
      <c r="J373" t="s">
        <v>70</v>
      </c>
      <c r="L373">
        <v>1</v>
      </c>
      <c r="M373" t="b">
        <v>0</v>
      </c>
      <c r="N373">
        <v>3</v>
      </c>
      <c r="O373">
        <v>1</v>
      </c>
      <c r="P373">
        <v>6</v>
      </c>
      <c r="Q373">
        <v>4</v>
      </c>
      <c r="R373">
        <v>2</v>
      </c>
      <c r="S373">
        <v>4</v>
      </c>
      <c r="T373">
        <v>21</v>
      </c>
      <c r="U373">
        <v>950</v>
      </c>
      <c r="V373">
        <v>92</v>
      </c>
      <c r="W373">
        <v>18</v>
      </c>
      <c r="X373">
        <v>5.1111111111111107</v>
      </c>
      <c r="Y373">
        <v>2</v>
      </c>
      <c r="Z373">
        <v>26</v>
      </c>
      <c r="AA373">
        <v>1</v>
      </c>
      <c r="AB373">
        <v>7</v>
      </c>
      <c r="AC373">
        <v>4</v>
      </c>
      <c r="AD373">
        <v>4</v>
      </c>
      <c r="AE373">
        <v>44</v>
      </c>
      <c r="AF373">
        <v>0</v>
      </c>
      <c r="AG373">
        <v>0</v>
      </c>
      <c r="AH373">
        <v>1</v>
      </c>
      <c r="AI373">
        <v>150</v>
      </c>
      <c r="AJ373">
        <v>1</v>
      </c>
      <c r="AK373">
        <v>8</v>
      </c>
      <c r="AL373">
        <v>2</v>
      </c>
      <c r="AM373">
        <v>158</v>
      </c>
      <c r="AN373">
        <v>3</v>
      </c>
      <c r="AO373">
        <v>33</v>
      </c>
      <c r="AP373">
        <v>7</v>
      </c>
      <c r="AQ373">
        <v>77</v>
      </c>
      <c r="AR373">
        <v>2.736842105263158E-2</v>
      </c>
      <c r="AS373">
        <v>7.3684210526315788E-3</v>
      </c>
      <c r="AT373">
        <v>4.6315789473684213E-2</v>
      </c>
      <c r="AU373">
        <v>0</v>
      </c>
      <c r="AV373">
        <v>0.15789473684210531</v>
      </c>
      <c r="AW373">
        <v>0.16631578947368419</v>
      </c>
      <c r="AX373">
        <v>3.4736842105263163E-2</v>
      </c>
      <c r="AY373">
        <v>8.1052631578947362E-2</v>
      </c>
      <c r="AZ373">
        <v>-0.1315789473684211</v>
      </c>
      <c r="BA373">
        <v>0.5</v>
      </c>
      <c r="BB373">
        <v>0.68518518518518512</v>
      </c>
      <c r="BC373">
        <v>0.46666666666666667</v>
      </c>
      <c r="BD373">
        <v>0.54276315789473673</v>
      </c>
      <c r="BE373">
        <v>4</v>
      </c>
      <c r="BF373">
        <v>0.54865375243664716</v>
      </c>
      <c r="BG373">
        <v>0.56999999999999995</v>
      </c>
      <c r="BH373" t="s">
        <v>71</v>
      </c>
      <c r="BI373">
        <v>0.55000000000000004</v>
      </c>
      <c r="BJ373" t="s">
        <v>71</v>
      </c>
      <c r="BK373" s="2">
        <f t="shared" si="11"/>
        <v>1.9999999999999907E-2</v>
      </c>
      <c r="BL373" t="b">
        <f t="shared" si="12"/>
        <v>1</v>
      </c>
    </row>
    <row r="374" spans="1:64" x14ac:dyDescent="0.35">
      <c r="A374" t="s">
        <v>1038</v>
      </c>
      <c r="B374" t="s">
        <v>1034</v>
      </c>
      <c r="C374">
        <v>2022</v>
      </c>
      <c r="D374" t="s">
        <v>1035</v>
      </c>
      <c r="E374" t="s">
        <v>1036</v>
      </c>
      <c r="F374" t="s">
        <v>66</v>
      </c>
      <c r="G374" t="s">
        <v>144</v>
      </c>
      <c r="H374" t="s">
        <v>144</v>
      </c>
      <c r="I374" t="s">
        <v>1037</v>
      </c>
      <c r="J374" t="s">
        <v>70</v>
      </c>
      <c r="L374">
        <v>1</v>
      </c>
      <c r="M374" t="b">
        <v>0</v>
      </c>
      <c r="N374">
        <v>3</v>
      </c>
      <c r="O374">
        <v>2</v>
      </c>
      <c r="P374">
        <v>3</v>
      </c>
      <c r="Q374">
        <v>3</v>
      </c>
      <c r="R374">
        <v>0</v>
      </c>
      <c r="S374">
        <v>4</v>
      </c>
      <c r="T374">
        <v>19</v>
      </c>
      <c r="U374">
        <v>1432</v>
      </c>
      <c r="V374">
        <v>79</v>
      </c>
      <c r="W374">
        <v>17</v>
      </c>
      <c r="X374">
        <v>4.6470588235294121</v>
      </c>
      <c r="Y374">
        <v>2</v>
      </c>
      <c r="Z374">
        <v>362</v>
      </c>
      <c r="AA374">
        <v>0</v>
      </c>
      <c r="AB374">
        <v>0</v>
      </c>
      <c r="AC374">
        <v>2</v>
      </c>
      <c r="AD374">
        <v>2</v>
      </c>
      <c r="AE374">
        <v>3</v>
      </c>
      <c r="AF374">
        <v>2</v>
      </c>
      <c r="AG374">
        <v>11</v>
      </c>
      <c r="AH374">
        <v>1</v>
      </c>
      <c r="AI374">
        <v>134</v>
      </c>
      <c r="AJ374">
        <v>1</v>
      </c>
      <c r="AK374">
        <v>5</v>
      </c>
      <c r="AL374">
        <v>3</v>
      </c>
      <c r="AM374">
        <v>476</v>
      </c>
      <c r="AN374">
        <v>4</v>
      </c>
      <c r="AO374">
        <v>373</v>
      </c>
      <c r="AP374">
        <v>4</v>
      </c>
      <c r="AQ374">
        <v>365</v>
      </c>
      <c r="AR374">
        <v>0.2527932960893855</v>
      </c>
      <c r="AS374">
        <v>0</v>
      </c>
      <c r="AT374">
        <v>2.0949720670391061E-3</v>
      </c>
      <c r="AU374">
        <v>7.6815642458100556E-3</v>
      </c>
      <c r="AV374">
        <v>9.3575418994413406E-2</v>
      </c>
      <c r="AW374">
        <v>0.33240223463687152</v>
      </c>
      <c r="AX374">
        <v>0.26047486033519551</v>
      </c>
      <c r="AY374">
        <v>0.25488826815642462</v>
      </c>
      <c r="AZ374">
        <v>-7.1927374301676006E-2</v>
      </c>
      <c r="BA374">
        <v>0.5</v>
      </c>
      <c r="BB374">
        <v>0.60784313725490202</v>
      </c>
      <c r="BC374">
        <v>0.26666666666666672</v>
      </c>
      <c r="BD374">
        <v>0.58004539106145248</v>
      </c>
      <c r="BE374">
        <v>4</v>
      </c>
      <c r="BF374">
        <v>0.48863879874575528</v>
      </c>
      <c r="BG374">
        <v>0.54</v>
      </c>
      <c r="BH374" t="s">
        <v>71</v>
      </c>
      <c r="BI374">
        <v>0.49</v>
      </c>
      <c r="BJ374" t="s">
        <v>71</v>
      </c>
      <c r="BK374" s="2">
        <f t="shared" si="11"/>
        <v>5.0000000000000044E-2</v>
      </c>
      <c r="BL374" t="b">
        <f t="shared" si="12"/>
        <v>1</v>
      </c>
    </row>
    <row r="375" spans="1:64" x14ac:dyDescent="0.35">
      <c r="A375" t="s">
        <v>1039</v>
      </c>
      <c r="B375" t="s">
        <v>1040</v>
      </c>
      <c r="C375">
        <v>2018</v>
      </c>
      <c r="D375" t="s">
        <v>1041</v>
      </c>
      <c r="E375" t="s">
        <v>1042</v>
      </c>
      <c r="F375" t="s">
        <v>66</v>
      </c>
      <c r="G375" t="s">
        <v>144</v>
      </c>
      <c r="H375" t="s">
        <v>144</v>
      </c>
      <c r="I375" t="s">
        <v>1043</v>
      </c>
      <c r="J375" t="s">
        <v>70</v>
      </c>
      <c r="L375">
        <v>1</v>
      </c>
      <c r="M375" t="b">
        <v>0</v>
      </c>
      <c r="N375">
        <v>1</v>
      </c>
      <c r="O375">
        <v>1</v>
      </c>
      <c r="P375">
        <v>6</v>
      </c>
      <c r="Q375">
        <v>4</v>
      </c>
      <c r="R375">
        <v>2</v>
      </c>
      <c r="S375">
        <v>4</v>
      </c>
      <c r="T375">
        <v>20</v>
      </c>
      <c r="U375">
        <v>192</v>
      </c>
      <c r="V375">
        <v>86</v>
      </c>
      <c r="W375">
        <v>17</v>
      </c>
      <c r="X375">
        <v>5.0588235294117636</v>
      </c>
      <c r="Y375">
        <v>4</v>
      </c>
      <c r="Z375">
        <v>41</v>
      </c>
      <c r="AA375">
        <v>0</v>
      </c>
      <c r="AB375">
        <v>0</v>
      </c>
      <c r="AC375">
        <v>2</v>
      </c>
      <c r="AD375">
        <v>2</v>
      </c>
      <c r="AE375">
        <v>18</v>
      </c>
      <c r="AF375">
        <v>0</v>
      </c>
      <c r="AG375">
        <v>0</v>
      </c>
      <c r="AH375">
        <v>2</v>
      </c>
      <c r="AI375">
        <v>37</v>
      </c>
      <c r="AJ375">
        <v>1</v>
      </c>
      <c r="AK375">
        <v>6</v>
      </c>
      <c r="AL375">
        <v>3</v>
      </c>
      <c r="AM375">
        <v>43</v>
      </c>
      <c r="AN375">
        <v>4</v>
      </c>
      <c r="AO375">
        <v>41</v>
      </c>
      <c r="AP375">
        <v>6</v>
      </c>
      <c r="AQ375">
        <v>59</v>
      </c>
      <c r="AR375">
        <v>0.21354166666666671</v>
      </c>
      <c r="AS375">
        <v>0</v>
      </c>
      <c r="AT375">
        <v>9.375E-2</v>
      </c>
      <c r="AU375">
        <v>0</v>
      </c>
      <c r="AV375">
        <v>0.19270833333333329</v>
      </c>
      <c r="AW375">
        <v>0.22395833333333329</v>
      </c>
      <c r="AX375">
        <v>0.21354166666666671</v>
      </c>
      <c r="AY375">
        <v>0.30729166666666669</v>
      </c>
      <c r="AZ375">
        <v>-1.041666666666669E-2</v>
      </c>
      <c r="BA375">
        <v>0.5</v>
      </c>
      <c r="BB375">
        <v>0.67647058823529393</v>
      </c>
      <c r="BC375">
        <v>0.4</v>
      </c>
      <c r="BD375">
        <v>0.61848958333333326</v>
      </c>
      <c r="BE375">
        <v>4</v>
      </c>
      <c r="BF375">
        <v>0.54874004289215683</v>
      </c>
      <c r="BG375">
        <v>0.57999999999999996</v>
      </c>
      <c r="BH375" t="s">
        <v>71</v>
      </c>
      <c r="BI375">
        <v>0.55000000000000004</v>
      </c>
      <c r="BJ375" t="s">
        <v>71</v>
      </c>
      <c r="BK375" s="2">
        <f t="shared" si="11"/>
        <v>2.9999999999999916E-2</v>
      </c>
      <c r="BL375" t="b">
        <f t="shared" si="12"/>
        <v>1</v>
      </c>
    </row>
    <row r="376" spans="1:64" x14ac:dyDescent="0.35">
      <c r="A376" t="s">
        <v>1044</v>
      </c>
      <c r="B376" t="s">
        <v>1045</v>
      </c>
      <c r="C376">
        <v>2017</v>
      </c>
      <c r="D376" t="s">
        <v>1046</v>
      </c>
      <c r="E376" t="s">
        <v>1047</v>
      </c>
      <c r="F376" t="s">
        <v>66</v>
      </c>
      <c r="G376" t="s">
        <v>144</v>
      </c>
      <c r="H376" t="s">
        <v>144</v>
      </c>
      <c r="I376" t="s">
        <v>1048</v>
      </c>
      <c r="J376" t="s">
        <v>70</v>
      </c>
      <c r="L376">
        <v>1</v>
      </c>
      <c r="M376" t="b">
        <v>0</v>
      </c>
      <c r="N376">
        <v>3</v>
      </c>
      <c r="O376">
        <v>2</v>
      </c>
      <c r="P376">
        <v>5</v>
      </c>
      <c r="Q376">
        <v>4</v>
      </c>
      <c r="R376">
        <v>1</v>
      </c>
      <c r="S376">
        <v>4</v>
      </c>
      <c r="T376">
        <v>24</v>
      </c>
      <c r="U376">
        <v>235</v>
      </c>
      <c r="V376">
        <v>92</v>
      </c>
      <c r="W376">
        <v>19</v>
      </c>
      <c r="X376">
        <v>4.8421052631578947</v>
      </c>
      <c r="Y376">
        <v>1</v>
      </c>
      <c r="Z376">
        <v>12</v>
      </c>
      <c r="AA376">
        <v>1</v>
      </c>
      <c r="AB376">
        <v>8</v>
      </c>
      <c r="AC376">
        <v>3</v>
      </c>
      <c r="AD376">
        <v>3</v>
      </c>
      <c r="AE376">
        <v>35</v>
      </c>
      <c r="AF376">
        <v>0</v>
      </c>
      <c r="AG376">
        <v>0</v>
      </c>
      <c r="AH376">
        <v>1</v>
      </c>
      <c r="AI376">
        <v>38</v>
      </c>
      <c r="AJ376">
        <v>2</v>
      </c>
      <c r="AK376">
        <v>8</v>
      </c>
      <c r="AL376">
        <v>3</v>
      </c>
      <c r="AM376">
        <v>46</v>
      </c>
      <c r="AN376">
        <v>2</v>
      </c>
      <c r="AO376">
        <v>20</v>
      </c>
      <c r="AP376">
        <v>5</v>
      </c>
      <c r="AQ376">
        <v>55</v>
      </c>
      <c r="AR376">
        <v>5.106382978723404E-2</v>
      </c>
      <c r="AS376">
        <v>3.4042553191489362E-2</v>
      </c>
      <c r="AT376">
        <v>0.14893617021276601</v>
      </c>
      <c r="AU376">
        <v>0</v>
      </c>
      <c r="AV376">
        <v>0.16170212765957451</v>
      </c>
      <c r="AW376">
        <v>0.19574468085106381</v>
      </c>
      <c r="AX376">
        <v>8.5106382978723402E-2</v>
      </c>
      <c r="AY376">
        <v>0.23404255319148939</v>
      </c>
      <c r="AZ376">
        <v>-0.1106382978723404</v>
      </c>
      <c r="BA376">
        <v>0.5</v>
      </c>
      <c r="BB376">
        <v>0.64035087719298245</v>
      </c>
      <c r="BC376">
        <v>0.33333333333333331</v>
      </c>
      <c r="BD376">
        <v>0.55585106382978722</v>
      </c>
      <c r="BE376">
        <v>4</v>
      </c>
      <c r="BF376">
        <v>0.5073838185890257</v>
      </c>
      <c r="BG376">
        <v>0.53</v>
      </c>
      <c r="BH376" t="s">
        <v>71</v>
      </c>
      <c r="BI376">
        <v>0.51</v>
      </c>
      <c r="BJ376" t="s">
        <v>71</v>
      </c>
      <c r="BK376" s="2">
        <f t="shared" si="11"/>
        <v>2.0000000000000018E-2</v>
      </c>
      <c r="BL376" t="b">
        <f t="shared" si="12"/>
        <v>1</v>
      </c>
    </row>
    <row r="377" spans="1:64" x14ac:dyDescent="0.35">
      <c r="A377" t="s">
        <v>1049</v>
      </c>
      <c r="B377" t="s">
        <v>1045</v>
      </c>
      <c r="C377">
        <v>2022</v>
      </c>
      <c r="D377" t="s">
        <v>1046</v>
      </c>
      <c r="E377" t="s">
        <v>1047</v>
      </c>
      <c r="F377" t="s">
        <v>66</v>
      </c>
      <c r="G377" t="s">
        <v>144</v>
      </c>
      <c r="H377" t="s">
        <v>144</v>
      </c>
      <c r="I377" t="s">
        <v>1048</v>
      </c>
      <c r="J377" t="s">
        <v>70</v>
      </c>
      <c r="L377">
        <v>1</v>
      </c>
      <c r="M377" t="b">
        <v>0</v>
      </c>
      <c r="N377">
        <v>1</v>
      </c>
      <c r="O377">
        <v>1</v>
      </c>
      <c r="P377">
        <v>2</v>
      </c>
      <c r="Q377">
        <v>0</v>
      </c>
      <c r="R377">
        <v>2</v>
      </c>
      <c r="S377">
        <v>4</v>
      </c>
      <c r="T377">
        <v>10</v>
      </c>
      <c r="U377">
        <v>91</v>
      </c>
      <c r="V377">
        <v>41</v>
      </c>
      <c r="W377">
        <v>9</v>
      </c>
      <c r="X377">
        <v>4.5555555555555554</v>
      </c>
      <c r="Y377">
        <v>2</v>
      </c>
      <c r="Z377">
        <v>9</v>
      </c>
      <c r="AA377">
        <v>0</v>
      </c>
      <c r="AB377">
        <v>0</v>
      </c>
      <c r="AC377">
        <v>4</v>
      </c>
      <c r="AD377">
        <v>4</v>
      </c>
      <c r="AE377">
        <v>37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</v>
      </c>
      <c r="AO377">
        <v>9</v>
      </c>
      <c r="AP377">
        <v>6</v>
      </c>
      <c r="AQ377">
        <v>46</v>
      </c>
      <c r="AR377">
        <v>9.8901098901098897E-2</v>
      </c>
      <c r="AS377">
        <v>0</v>
      </c>
      <c r="AT377">
        <v>0.40659340659340659</v>
      </c>
      <c r="AU377">
        <v>0</v>
      </c>
      <c r="AV377">
        <v>0</v>
      </c>
      <c r="AW377">
        <v>0</v>
      </c>
      <c r="AX377">
        <v>9.8901098901098897E-2</v>
      </c>
      <c r="AY377">
        <v>0.50549450549450547</v>
      </c>
      <c r="AZ377">
        <v>9.8901098901098897E-2</v>
      </c>
      <c r="BA377">
        <v>0.5</v>
      </c>
      <c r="BB377">
        <v>0.59259259259259256</v>
      </c>
      <c r="BC377">
        <v>0.4</v>
      </c>
      <c r="BD377">
        <v>0.68681318681318682</v>
      </c>
      <c r="BE377">
        <v>4</v>
      </c>
      <c r="BF377">
        <v>0.54485144485144488</v>
      </c>
      <c r="BG377">
        <v>0.54</v>
      </c>
      <c r="BH377" t="s">
        <v>71</v>
      </c>
      <c r="BI377">
        <v>0.54</v>
      </c>
      <c r="BJ377" t="s">
        <v>71</v>
      </c>
      <c r="BK377" s="2">
        <f t="shared" si="11"/>
        <v>0</v>
      </c>
      <c r="BL377" t="b">
        <f t="shared" si="12"/>
        <v>1</v>
      </c>
    </row>
    <row r="378" spans="1:64" x14ac:dyDescent="0.35">
      <c r="A378" t="s">
        <v>1050</v>
      </c>
      <c r="B378" t="s">
        <v>1051</v>
      </c>
      <c r="C378">
        <v>2017</v>
      </c>
      <c r="D378" t="s">
        <v>1052</v>
      </c>
      <c r="E378" t="s">
        <v>1053</v>
      </c>
      <c r="F378" t="s">
        <v>66</v>
      </c>
      <c r="G378" t="s">
        <v>144</v>
      </c>
      <c r="H378" t="s">
        <v>144</v>
      </c>
      <c r="I378" t="s">
        <v>1054</v>
      </c>
      <c r="J378" t="s">
        <v>70</v>
      </c>
      <c r="L378">
        <v>1</v>
      </c>
      <c r="M378" t="b">
        <v>0</v>
      </c>
      <c r="N378">
        <v>1</v>
      </c>
      <c r="O378">
        <v>1</v>
      </c>
      <c r="P378">
        <v>11</v>
      </c>
      <c r="Q378">
        <v>3</v>
      </c>
      <c r="R378">
        <v>8</v>
      </c>
      <c r="S378">
        <v>5</v>
      </c>
      <c r="T378">
        <v>33</v>
      </c>
      <c r="U378">
        <v>1062</v>
      </c>
      <c r="V378">
        <v>147</v>
      </c>
      <c r="W378">
        <v>25</v>
      </c>
      <c r="X378">
        <v>5.88</v>
      </c>
      <c r="Y378">
        <v>5</v>
      </c>
      <c r="Z378">
        <v>135</v>
      </c>
      <c r="AA378">
        <v>1</v>
      </c>
      <c r="AB378">
        <v>9</v>
      </c>
      <c r="AC378">
        <v>5</v>
      </c>
      <c r="AD378">
        <v>5</v>
      </c>
      <c r="AE378">
        <v>300</v>
      </c>
      <c r="AF378">
        <v>1</v>
      </c>
      <c r="AG378">
        <v>34</v>
      </c>
      <c r="AH378">
        <v>1</v>
      </c>
      <c r="AI378">
        <v>30</v>
      </c>
      <c r="AJ378">
        <v>1</v>
      </c>
      <c r="AK378">
        <v>7</v>
      </c>
      <c r="AL378">
        <v>2</v>
      </c>
      <c r="AM378">
        <v>37</v>
      </c>
      <c r="AN378">
        <v>7</v>
      </c>
      <c r="AO378">
        <v>178</v>
      </c>
      <c r="AP378">
        <v>11</v>
      </c>
      <c r="AQ378">
        <v>444</v>
      </c>
      <c r="AR378">
        <v>0.1271186440677966</v>
      </c>
      <c r="AS378">
        <v>8.4745762711864406E-3</v>
      </c>
      <c r="AT378">
        <v>0.2824858757062147</v>
      </c>
      <c r="AU378">
        <v>3.2015065913370999E-2</v>
      </c>
      <c r="AV378">
        <v>2.8248587570621469E-2</v>
      </c>
      <c r="AW378">
        <v>3.4839924670433148E-2</v>
      </c>
      <c r="AX378">
        <v>0.16760828625235399</v>
      </c>
      <c r="AY378">
        <v>0.41807909604519772</v>
      </c>
      <c r="AZ378">
        <v>0.1327683615819209</v>
      </c>
      <c r="BA378">
        <v>0.66666666666666663</v>
      </c>
      <c r="BB378">
        <v>0.81333333333333335</v>
      </c>
      <c r="BC378">
        <v>0.73333333333333328</v>
      </c>
      <c r="BD378">
        <v>0.70798022598870047</v>
      </c>
      <c r="BE378">
        <v>4</v>
      </c>
      <c r="BF378">
        <v>0.73032838983050841</v>
      </c>
      <c r="BG378">
        <v>0.73</v>
      </c>
      <c r="BH378" t="s">
        <v>86</v>
      </c>
      <c r="BI378">
        <v>0.73</v>
      </c>
      <c r="BJ378" t="s">
        <v>86</v>
      </c>
      <c r="BK378" s="2">
        <f t="shared" si="11"/>
        <v>0</v>
      </c>
      <c r="BL378" t="b">
        <f t="shared" si="12"/>
        <v>1</v>
      </c>
    </row>
    <row r="379" spans="1:64" x14ac:dyDescent="0.35">
      <c r="A379" t="s">
        <v>1055</v>
      </c>
      <c r="B379" t="s">
        <v>1056</v>
      </c>
      <c r="C379">
        <v>2020</v>
      </c>
      <c r="D379" t="s">
        <v>1057</v>
      </c>
      <c r="E379" t="s">
        <v>1058</v>
      </c>
      <c r="F379" t="s">
        <v>66</v>
      </c>
      <c r="G379" t="s">
        <v>144</v>
      </c>
      <c r="H379" t="s">
        <v>144</v>
      </c>
      <c r="I379" t="s">
        <v>1059</v>
      </c>
      <c r="J379" t="s">
        <v>70</v>
      </c>
      <c r="L379">
        <v>3</v>
      </c>
      <c r="M379" t="b">
        <v>0</v>
      </c>
      <c r="N379">
        <v>1</v>
      </c>
      <c r="O379">
        <v>2</v>
      </c>
      <c r="P379">
        <v>9</v>
      </c>
      <c r="Q379">
        <v>4</v>
      </c>
      <c r="R379">
        <v>5</v>
      </c>
      <c r="S379">
        <v>6</v>
      </c>
      <c r="T379">
        <v>31</v>
      </c>
      <c r="U379">
        <v>364</v>
      </c>
      <c r="V379">
        <v>146</v>
      </c>
      <c r="W379">
        <v>27</v>
      </c>
      <c r="X379">
        <v>5.4074074074074074</v>
      </c>
      <c r="Y379">
        <v>4</v>
      </c>
      <c r="Z379">
        <v>67</v>
      </c>
      <c r="AA379">
        <v>0</v>
      </c>
      <c r="AB379">
        <v>0</v>
      </c>
      <c r="AC379">
        <v>1</v>
      </c>
      <c r="AD379">
        <v>1</v>
      </c>
      <c r="AE379">
        <v>31</v>
      </c>
      <c r="AF379">
        <v>3</v>
      </c>
      <c r="AG379">
        <v>12</v>
      </c>
      <c r="AH379">
        <v>1</v>
      </c>
      <c r="AI379">
        <v>46</v>
      </c>
      <c r="AJ379">
        <v>2</v>
      </c>
      <c r="AK379">
        <v>10</v>
      </c>
      <c r="AL379">
        <v>3</v>
      </c>
      <c r="AM379">
        <v>56</v>
      </c>
      <c r="AN379">
        <v>7</v>
      </c>
      <c r="AO379">
        <v>79</v>
      </c>
      <c r="AP379">
        <v>5</v>
      </c>
      <c r="AQ379">
        <v>98</v>
      </c>
      <c r="AR379">
        <v>0.18406593406593411</v>
      </c>
      <c r="AS379">
        <v>0</v>
      </c>
      <c r="AT379">
        <v>8.5164835164835168E-2</v>
      </c>
      <c r="AU379">
        <v>3.2967032967032968E-2</v>
      </c>
      <c r="AV379">
        <v>0.1263736263736264</v>
      </c>
      <c r="AW379">
        <v>0.15384615384615391</v>
      </c>
      <c r="AX379">
        <v>0.21703296703296701</v>
      </c>
      <c r="AY379">
        <v>0.26923076923076922</v>
      </c>
      <c r="AZ379">
        <v>6.3186813186813184E-2</v>
      </c>
      <c r="BA379">
        <v>0.83333333333333337</v>
      </c>
      <c r="BB379">
        <v>0.73456790123456794</v>
      </c>
      <c r="BC379">
        <v>0.33333333333333331</v>
      </c>
      <c r="BD379">
        <v>0.66449175824175821</v>
      </c>
      <c r="BE379">
        <v>4</v>
      </c>
      <c r="BF379">
        <v>0.6414315815357482</v>
      </c>
      <c r="BG379">
        <v>0.66</v>
      </c>
      <c r="BH379" t="s">
        <v>86</v>
      </c>
      <c r="BI379">
        <v>0.64</v>
      </c>
      <c r="BJ379" t="s">
        <v>86</v>
      </c>
      <c r="BK379" s="2">
        <f t="shared" si="11"/>
        <v>2.0000000000000018E-2</v>
      </c>
      <c r="BL379" t="b">
        <f t="shared" si="12"/>
        <v>1</v>
      </c>
    </row>
    <row r="380" spans="1:64" x14ac:dyDescent="0.35">
      <c r="A380" t="s">
        <v>1060</v>
      </c>
      <c r="B380" t="s">
        <v>1061</v>
      </c>
      <c r="C380">
        <v>2017</v>
      </c>
      <c r="D380" t="s">
        <v>1062</v>
      </c>
      <c r="E380" t="s">
        <v>1063</v>
      </c>
      <c r="F380" t="s">
        <v>66</v>
      </c>
      <c r="G380" t="s">
        <v>67</v>
      </c>
      <c r="H380" t="s">
        <v>138</v>
      </c>
      <c r="I380" t="s">
        <v>1064</v>
      </c>
      <c r="J380" t="s">
        <v>70</v>
      </c>
      <c r="L380">
        <v>1</v>
      </c>
      <c r="M380" t="b">
        <v>0</v>
      </c>
      <c r="N380">
        <v>3</v>
      </c>
      <c r="O380">
        <v>2</v>
      </c>
      <c r="P380">
        <v>4</v>
      </c>
      <c r="Q380">
        <v>5</v>
      </c>
      <c r="R380">
        <v>-1</v>
      </c>
      <c r="S380">
        <v>4</v>
      </c>
      <c r="T380">
        <v>20</v>
      </c>
      <c r="U380">
        <v>735</v>
      </c>
      <c r="V380">
        <v>65</v>
      </c>
      <c r="W380">
        <v>15</v>
      </c>
      <c r="X380">
        <v>4.333333333333333</v>
      </c>
      <c r="Y380">
        <v>0</v>
      </c>
      <c r="Z380">
        <v>0</v>
      </c>
      <c r="AA380">
        <v>0</v>
      </c>
      <c r="AB380">
        <v>0</v>
      </c>
      <c r="AC380">
        <v>5</v>
      </c>
      <c r="AD380">
        <v>5</v>
      </c>
      <c r="AE380">
        <v>48</v>
      </c>
      <c r="AF380">
        <v>1</v>
      </c>
      <c r="AG380">
        <v>3</v>
      </c>
      <c r="AH380">
        <v>2</v>
      </c>
      <c r="AI380">
        <v>340</v>
      </c>
      <c r="AJ380">
        <v>4</v>
      </c>
      <c r="AK380">
        <v>17</v>
      </c>
      <c r="AL380">
        <v>6</v>
      </c>
      <c r="AM380">
        <v>357</v>
      </c>
      <c r="AN380">
        <v>1</v>
      </c>
      <c r="AO380">
        <v>3</v>
      </c>
      <c r="AP380">
        <v>5</v>
      </c>
      <c r="AQ380">
        <v>48</v>
      </c>
      <c r="AR380">
        <v>0</v>
      </c>
      <c r="AS380">
        <v>0</v>
      </c>
      <c r="AT380">
        <v>6.5306122448979598E-2</v>
      </c>
      <c r="AU380">
        <v>4.0816326530612249E-3</v>
      </c>
      <c r="AV380">
        <v>0.46258503401360551</v>
      </c>
      <c r="AW380">
        <v>0.48571428571428571</v>
      </c>
      <c r="AX380">
        <v>4.0816326530612249E-3</v>
      </c>
      <c r="AY380">
        <v>6.5306122448979598E-2</v>
      </c>
      <c r="AZ380">
        <v>-0.48163265306122449</v>
      </c>
      <c r="BA380">
        <v>0.5</v>
      </c>
      <c r="BB380">
        <v>0.55555555555555547</v>
      </c>
      <c r="BC380">
        <v>0.33333333333333331</v>
      </c>
      <c r="BD380">
        <v>0.32397959183673469</v>
      </c>
      <c r="BE380">
        <v>4</v>
      </c>
      <c r="BF380">
        <v>0.4282171201814059</v>
      </c>
      <c r="BG380">
        <v>0.5</v>
      </c>
      <c r="BH380" t="s">
        <v>71</v>
      </c>
      <c r="BI380">
        <v>0.43</v>
      </c>
      <c r="BJ380" t="s">
        <v>71</v>
      </c>
      <c r="BK380" s="2">
        <f t="shared" si="11"/>
        <v>7.0000000000000007E-2</v>
      </c>
      <c r="BL380" t="b">
        <f t="shared" si="12"/>
        <v>1</v>
      </c>
    </row>
    <row r="381" spans="1:64" x14ac:dyDescent="0.35">
      <c r="A381" t="s">
        <v>1065</v>
      </c>
      <c r="B381" t="s">
        <v>1061</v>
      </c>
      <c r="C381">
        <v>2021</v>
      </c>
      <c r="D381" t="s">
        <v>1062</v>
      </c>
      <c r="E381" t="s">
        <v>1063</v>
      </c>
      <c r="F381" t="s">
        <v>66</v>
      </c>
      <c r="G381" t="s">
        <v>67</v>
      </c>
      <c r="H381" t="s">
        <v>138</v>
      </c>
      <c r="I381" t="s">
        <v>1064</v>
      </c>
      <c r="J381" t="s">
        <v>70</v>
      </c>
      <c r="L381">
        <v>1</v>
      </c>
      <c r="M381" t="b">
        <v>0</v>
      </c>
      <c r="N381">
        <v>1</v>
      </c>
      <c r="O381">
        <v>1</v>
      </c>
      <c r="P381">
        <v>5</v>
      </c>
      <c r="Q381">
        <v>2</v>
      </c>
      <c r="R381">
        <v>3</v>
      </c>
      <c r="S381">
        <v>4</v>
      </c>
      <c r="T381">
        <v>19</v>
      </c>
      <c r="U381">
        <v>738</v>
      </c>
      <c r="V381">
        <v>60</v>
      </c>
      <c r="W381">
        <v>14</v>
      </c>
      <c r="X381">
        <v>4.2857142857142856</v>
      </c>
      <c r="Y381">
        <v>2</v>
      </c>
      <c r="Z381">
        <v>12</v>
      </c>
      <c r="AA381">
        <v>0</v>
      </c>
      <c r="AB381">
        <v>0</v>
      </c>
      <c r="AC381">
        <v>2</v>
      </c>
      <c r="AD381">
        <v>2</v>
      </c>
      <c r="AE381">
        <v>243</v>
      </c>
      <c r="AF381">
        <v>0</v>
      </c>
      <c r="AG381">
        <v>0</v>
      </c>
      <c r="AH381">
        <v>2</v>
      </c>
      <c r="AI381">
        <v>64</v>
      </c>
      <c r="AJ381">
        <v>2</v>
      </c>
      <c r="AK381">
        <v>4</v>
      </c>
      <c r="AL381">
        <v>5</v>
      </c>
      <c r="AM381">
        <v>85</v>
      </c>
      <c r="AN381">
        <v>2</v>
      </c>
      <c r="AO381">
        <v>12</v>
      </c>
      <c r="AP381">
        <v>4</v>
      </c>
      <c r="AQ381">
        <v>255</v>
      </c>
      <c r="AR381">
        <v>1.6260162601626021E-2</v>
      </c>
      <c r="AS381">
        <v>0</v>
      </c>
      <c r="AT381">
        <v>0.32926829268292679</v>
      </c>
      <c r="AU381">
        <v>0</v>
      </c>
      <c r="AV381">
        <v>8.6720867208672087E-2</v>
      </c>
      <c r="AW381">
        <v>0.1151761517615176</v>
      </c>
      <c r="AX381">
        <v>1.6260162601626021E-2</v>
      </c>
      <c r="AY381">
        <v>0.34552845528455278</v>
      </c>
      <c r="AZ381">
        <v>-9.8915989159891596E-2</v>
      </c>
      <c r="BA381">
        <v>0.5</v>
      </c>
      <c r="BB381">
        <v>0.54761904761904756</v>
      </c>
      <c r="BC381">
        <v>0.26666666666666672</v>
      </c>
      <c r="BD381">
        <v>0.56317750677506773</v>
      </c>
      <c r="BE381">
        <v>4</v>
      </c>
      <c r="BF381">
        <v>0.4693658052651955</v>
      </c>
      <c r="BG381">
        <v>0.49</v>
      </c>
      <c r="BH381" t="s">
        <v>71</v>
      </c>
      <c r="BI381">
        <v>0.47</v>
      </c>
      <c r="BJ381" t="s">
        <v>71</v>
      </c>
      <c r="BK381" s="2">
        <f t="shared" si="11"/>
        <v>2.0000000000000018E-2</v>
      </c>
      <c r="BL381" t="b">
        <f t="shared" si="12"/>
        <v>1</v>
      </c>
    </row>
    <row r="382" spans="1:64" x14ac:dyDescent="0.35">
      <c r="A382" t="s">
        <v>1066</v>
      </c>
      <c r="B382" t="s">
        <v>1067</v>
      </c>
      <c r="C382">
        <v>2020</v>
      </c>
      <c r="D382" t="s">
        <v>1068</v>
      </c>
      <c r="E382" t="s">
        <v>1069</v>
      </c>
      <c r="F382" t="s">
        <v>66</v>
      </c>
      <c r="G382" t="s">
        <v>67</v>
      </c>
      <c r="H382" t="s">
        <v>84</v>
      </c>
      <c r="I382" t="s">
        <v>1070</v>
      </c>
      <c r="J382" t="s">
        <v>70</v>
      </c>
      <c r="L382">
        <v>1</v>
      </c>
      <c r="M382" t="b">
        <v>0</v>
      </c>
      <c r="N382">
        <v>3</v>
      </c>
      <c r="O382">
        <v>3</v>
      </c>
      <c r="P382">
        <v>4</v>
      </c>
      <c r="Q382">
        <v>4</v>
      </c>
      <c r="R382">
        <v>0</v>
      </c>
      <c r="S382">
        <v>4</v>
      </c>
      <c r="T382">
        <v>21</v>
      </c>
      <c r="U382">
        <v>497</v>
      </c>
      <c r="V382">
        <v>76</v>
      </c>
      <c r="W382">
        <v>18</v>
      </c>
      <c r="X382">
        <v>4.2222222222222223</v>
      </c>
      <c r="Y382">
        <v>2</v>
      </c>
      <c r="Z382">
        <v>174</v>
      </c>
      <c r="AA382">
        <v>0</v>
      </c>
      <c r="AB382">
        <v>0</v>
      </c>
      <c r="AC382">
        <v>2</v>
      </c>
      <c r="AD382">
        <v>2</v>
      </c>
      <c r="AE382">
        <v>91</v>
      </c>
      <c r="AF382">
        <v>1</v>
      </c>
      <c r="AG382">
        <v>2</v>
      </c>
      <c r="AH382">
        <v>2</v>
      </c>
      <c r="AI382">
        <v>46</v>
      </c>
      <c r="AJ382">
        <v>2</v>
      </c>
      <c r="AK382">
        <v>4</v>
      </c>
      <c r="AL382">
        <v>4</v>
      </c>
      <c r="AM382">
        <v>50</v>
      </c>
      <c r="AN382">
        <v>3</v>
      </c>
      <c r="AO382">
        <v>176</v>
      </c>
      <c r="AP382">
        <v>4</v>
      </c>
      <c r="AQ382">
        <v>265</v>
      </c>
      <c r="AR382">
        <v>0.3501006036217304</v>
      </c>
      <c r="AS382">
        <v>0</v>
      </c>
      <c r="AT382">
        <v>0.18309859154929581</v>
      </c>
      <c r="AU382">
        <v>4.0241448692152921E-3</v>
      </c>
      <c r="AV382">
        <v>9.2555331991951706E-2</v>
      </c>
      <c r="AW382">
        <v>0.1006036217303823</v>
      </c>
      <c r="AX382">
        <v>0.35412474849094572</v>
      </c>
      <c r="AY382">
        <v>0.53319919517102621</v>
      </c>
      <c r="AZ382">
        <v>0.25352112676056338</v>
      </c>
      <c r="BA382">
        <v>0.5</v>
      </c>
      <c r="BB382">
        <v>0.53703703703703709</v>
      </c>
      <c r="BC382">
        <v>0.26666666666666672</v>
      </c>
      <c r="BD382">
        <v>0.78345070422535212</v>
      </c>
      <c r="BE382">
        <v>4</v>
      </c>
      <c r="BF382">
        <v>0.52178860198226396</v>
      </c>
      <c r="BG382">
        <v>0.53</v>
      </c>
      <c r="BH382" t="s">
        <v>71</v>
      </c>
      <c r="BI382">
        <v>0.52</v>
      </c>
      <c r="BJ382" t="s">
        <v>71</v>
      </c>
      <c r="BK382" s="2">
        <f t="shared" si="11"/>
        <v>1.0000000000000009E-2</v>
      </c>
      <c r="BL382" t="b">
        <f t="shared" si="12"/>
        <v>1</v>
      </c>
    </row>
    <row r="383" spans="1:64" x14ac:dyDescent="0.35">
      <c r="A383" t="s">
        <v>1071</v>
      </c>
      <c r="B383" t="s">
        <v>1072</v>
      </c>
      <c r="C383">
        <v>2020</v>
      </c>
      <c r="D383" t="s">
        <v>1073</v>
      </c>
      <c r="E383" t="s">
        <v>1074</v>
      </c>
      <c r="F383" t="s">
        <v>66</v>
      </c>
      <c r="G383" t="s">
        <v>67</v>
      </c>
      <c r="H383" t="s">
        <v>84</v>
      </c>
      <c r="I383" t="s">
        <v>1075</v>
      </c>
      <c r="J383" t="s">
        <v>70</v>
      </c>
      <c r="L383">
        <v>1</v>
      </c>
      <c r="M383" t="b">
        <v>0</v>
      </c>
      <c r="N383">
        <v>4</v>
      </c>
      <c r="O383">
        <v>3</v>
      </c>
      <c r="P383">
        <v>3</v>
      </c>
      <c r="Q383">
        <v>5</v>
      </c>
      <c r="R383">
        <v>-2</v>
      </c>
      <c r="S383">
        <v>3</v>
      </c>
      <c r="T383">
        <v>15</v>
      </c>
      <c r="U383">
        <v>381</v>
      </c>
      <c r="V383">
        <v>52</v>
      </c>
      <c r="W383">
        <v>12</v>
      </c>
      <c r="X383">
        <v>4.333333333333333</v>
      </c>
      <c r="Y383">
        <v>1</v>
      </c>
      <c r="Z383">
        <v>12</v>
      </c>
      <c r="AA383">
        <v>0</v>
      </c>
      <c r="AB383">
        <v>0</v>
      </c>
      <c r="AC383">
        <v>3</v>
      </c>
      <c r="AD383">
        <v>3</v>
      </c>
      <c r="AE383">
        <v>139</v>
      </c>
      <c r="AF383">
        <v>0</v>
      </c>
      <c r="AG383">
        <v>0</v>
      </c>
      <c r="AH383">
        <v>2</v>
      </c>
      <c r="AI383">
        <v>54</v>
      </c>
      <c r="AJ383">
        <v>1</v>
      </c>
      <c r="AK383">
        <v>1</v>
      </c>
      <c r="AL383">
        <v>3</v>
      </c>
      <c r="AM383">
        <v>55</v>
      </c>
      <c r="AN383">
        <v>1</v>
      </c>
      <c r="AO383">
        <v>12</v>
      </c>
      <c r="AP383">
        <v>4</v>
      </c>
      <c r="AQ383">
        <v>151</v>
      </c>
      <c r="AR383">
        <v>3.1496062992125977E-2</v>
      </c>
      <c r="AS383">
        <v>0</v>
      </c>
      <c r="AT383">
        <v>0.3648293963254593</v>
      </c>
      <c r="AU383">
        <v>0</v>
      </c>
      <c r="AV383">
        <v>0.1417322834645669</v>
      </c>
      <c r="AW383">
        <v>0.14435695538057741</v>
      </c>
      <c r="AX383">
        <v>3.1496062992125977E-2</v>
      </c>
      <c r="AY383">
        <v>0.39632545931758528</v>
      </c>
      <c r="AZ383">
        <v>-0.1128608923884515</v>
      </c>
      <c r="BA383">
        <v>0.33333333333333331</v>
      </c>
      <c r="BB383">
        <v>0.55555555555555547</v>
      </c>
      <c r="BC383">
        <v>0.26666666666666672</v>
      </c>
      <c r="BD383">
        <v>0.55446194225721779</v>
      </c>
      <c r="BE383">
        <v>4</v>
      </c>
      <c r="BF383">
        <v>0.42750437445319328</v>
      </c>
      <c r="BG383">
        <v>0.45</v>
      </c>
      <c r="BH383" t="s">
        <v>71</v>
      </c>
      <c r="BI383">
        <v>0.43</v>
      </c>
      <c r="BJ383" t="s">
        <v>71</v>
      </c>
      <c r="BK383" s="2">
        <f t="shared" si="11"/>
        <v>2.0000000000000018E-2</v>
      </c>
      <c r="BL383" t="b">
        <f t="shared" si="12"/>
        <v>1</v>
      </c>
    </row>
    <row r="384" spans="1:64" x14ac:dyDescent="0.35">
      <c r="A384" t="s">
        <v>1076</v>
      </c>
      <c r="B384" t="s">
        <v>1077</v>
      </c>
      <c r="C384">
        <v>2017</v>
      </c>
      <c r="D384" t="s">
        <v>1078</v>
      </c>
      <c r="E384" t="s">
        <v>1079</v>
      </c>
      <c r="F384" t="s">
        <v>66</v>
      </c>
      <c r="G384" t="s">
        <v>67</v>
      </c>
      <c r="H384" t="s">
        <v>84</v>
      </c>
      <c r="I384" t="s">
        <v>1080</v>
      </c>
      <c r="J384" t="s">
        <v>70</v>
      </c>
      <c r="L384">
        <v>3</v>
      </c>
      <c r="M384" t="b">
        <v>0</v>
      </c>
      <c r="N384">
        <v>1</v>
      </c>
      <c r="O384">
        <v>1</v>
      </c>
      <c r="P384">
        <v>5</v>
      </c>
      <c r="Q384">
        <v>3</v>
      </c>
      <c r="R384">
        <v>2</v>
      </c>
      <c r="S384">
        <v>4</v>
      </c>
      <c r="T384">
        <v>17</v>
      </c>
      <c r="U384">
        <v>727</v>
      </c>
      <c r="V384">
        <v>58</v>
      </c>
      <c r="W384">
        <v>11</v>
      </c>
      <c r="X384">
        <v>5.2727272727272716</v>
      </c>
      <c r="Y384">
        <v>2</v>
      </c>
      <c r="Z384">
        <v>47</v>
      </c>
      <c r="AA384">
        <v>1</v>
      </c>
      <c r="AB384">
        <v>63</v>
      </c>
      <c r="AC384">
        <v>5</v>
      </c>
      <c r="AD384">
        <v>5</v>
      </c>
      <c r="AE384">
        <v>231</v>
      </c>
      <c r="AF384">
        <v>0</v>
      </c>
      <c r="AG384">
        <v>0</v>
      </c>
      <c r="AH384">
        <v>2</v>
      </c>
      <c r="AI384">
        <v>137</v>
      </c>
      <c r="AJ384">
        <v>0</v>
      </c>
      <c r="AK384">
        <v>0</v>
      </c>
      <c r="AL384">
        <v>2</v>
      </c>
      <c r="AM384">
        <v>137</v>
      </c>
      <c r="AN384">
        <v>3</v>
      </c>
      <c r="AO384">
        <v>110</v>
      </c>
      <c r="AP384">
        <v>8</v>
      </c>
      <c r="AQ384">
        <v>341</v>
      </c>
      <c r="AR384">
        <v>6.4649243466299869E-2</v>
      </c>
      <c r="AS384">
        <v>8.6657496561210454E-2</v>
      </c>
      <c r="AT384">
        <v>0.31774415405777168</v>
      </c>
      <c r="AU384">
        <v>0</v>
      </c>
      <c r="AV384">
        <v>0.18844566712517191</v>
      </c>
      <c r="AW384">
        <v>0.18844566712517191</v>
      </c>
      <c r="AX384">
        <v>0.15130674002751029</v>
      </c>
      <c r="AY384">
        <v>0.469050894085282</v>
      </c>
      <c r="AZ384">
        <v>-3.7138927097661617E-2</v>
      </c>
      <c r="BA384">
        <v>0.5</v>
      </c>
      <c r="BB384">
        <v>0.71212121212121193</v>
      </c>
      <c r="BC384">
        <v>0.53333333333333333</v>
      </c>
      <c r="BD384">
        <v>0.60178817056396139</v>
      </c>
      <c r="BE384">
        <v>4</v>
      </c>
      <c r="BF384">
        <v>0.58681067900462669</v>
      </c>
      <c r="BG384">
        <v>0.62</v>
      </c>
      <c r="BH384" t="s">
        <v>86</v>
      </c>
      <c r="BI384">
        <v>0.59</v>
      </c>
      <c r="BJ384" t="s">
        <v>71</v>
      </c>
      <c r="BK384" s="2">
        <f t="shared" si="11"/>
        <v>3.0000000000000027E-2</v>
      </c>
      <c r="BL384" t="b">
        <f t="shared" si="12"/>
        <v>0</v>
      </c>
    </row>
    <row r="385" spans="1:64" x14ac:dyDescent="0.35">
      <c r="A385" t="s">
        <v>1081</v>
      </c>
      <c r="B385" t="s">
        <v>1077</v>
      </c>
      <c r="C385">
        <v>2020</v>
      </c>
      <c r="D385" t="s">
        <v>1078</v>
      </c>
      <c r="E385" t="s">
        <v>1079</v>
      </c>
      <c r="F385" t="s">
        <v>66</v>
      </c>
      <c r="G385" t="s">
        <v>67</v>
      </c>
      <c r="H385" t="s">
        <v>84</v>
      </c>
      <c r="I385" t="s">
        <v>1080</v>
      </c>
      <c r="J385" t="s">
        <v>70</v>
      </c>
      <c r="L385">
        <v>3</v>
      </c>
      <c r="M385" t="b">
        <v>0</v>
      </c>
      <c r="N385">
        <v>1</v>
      </c>
      <c r="O385">
        <v>2</v>
      </c>
      <c r="P385">
        <v>6</v>
      </c>
      <c r="Q385">
        <v>6</v>
      </c>
      <c r="R385">
        <v>0</v>
      </c>
      <c r="S385">
        <v>5</v>
      </c>
      <c r="T385">
        <v>23</v>
      </c>
      <c r="U385">
        <v>617</v>
      </c>
      <c r="V385">
        <v>102</v>
      </c>
      <c r="W385">
        <v>19</v>
      </c>
      <c r="X385">
        <v>5.3684210526315788</v>
      </c>
      <c r="Y385">
        <v>1</v>
      </c>
      <c r="Z385">
        <v>31</v>
      </c>
      <c r="AA385">
        <v>0</v>
      </c>
      <c r="AB385">
        <v>0</v>
      </c>
      <c r="AC385">
        <v>2</v>
      </c>
      <c r="AD385">
        <v>1</v>
      </c>
      <c r="AE385">
        <v>192</v>
      </c>
      <c r="AF385">
        <v>0</v>
      </c>
      <c r="AG385">
        <v>0</v>
      </c>
      <c r="AH385">
        <v>2</v>
      </c>
      <c r="AI385">
        <v>83</v>
      </c>
      <c r="AJ385">
        <v>0</v>
      </c>
      <c r="AK385">
        <v>0</v>
      </c>
      <c r="AL385">
        <v>2</v>
      </c>
      <c r="AM385">
        <v>83</v>
      </c>
      <c r="AN385">
        <v>1</v>
      </c>
      <c r="AO385">
        <v>31</v>
      </c>
      <c r="AP385">
        <v>2</v>
      </c>
      <c r="AQ385">
        <v>223</v>
      </c>
      <c r="AR385">
        <v>5.0243111831442457E-2</v>
      </c>
      <c r="AS385">
        <v>0</v>
      </c>
      <c r="AT385">
        <v>0.31118314424635329</v>
      </c>
      <c r="AU385">
        <v>0</v>
      </c>
      <c r="AV385">
        <v>0.13452188006482979</v>
      </c>
      <c r="AW385">
        <v>0.13452188006482979</v>
      </c>
      <c r="AX385">
        <v>5.0243111831442457E-2</v>
      </c>
      <c r="AY385">
        <v>0.36142625607779583</v>
      </c>
      <c r="AZ385">
        <v>-8.4278768233387355E-2</v>
      </c>
      <c r="BA385">
        <v>0.66666666666666663</v>
      </c>
      <c r="BB385">
        <v>0.72807017543859642</v>
      </c>
      <c r="BC385">
        <v>0.1333333333333333</v>
      </c>
      <c r="BD385">
        <v>0.57232576985413286</v>
      </c>
      <c r="BE385">
        <v>4</v>
      </c>
      <c r="BF385">
        <v>0.5250989863231823</v>
      </c>
      <c r="BG385">
        <v>0.55000000000000004</v>
      </c>
      <c r="BH385" t="s">
        <v>71</v>
      </c>
      <c r="BI385">
        <v>0.53</v>
      </c>
      <c r="BJ385" t="s">
        <v>71</v>
      </c>
      <c r="BK385" s="2">
        <f t="shared" si="11"/>
        <v>2.0000000000000018E-2</v>
      </c>
      <c r="BL385" t="b">
        <f t="shared" si="12"/>
        <v>1</v>
      </c>
    </row>
    <row r="386" spans="1:64" x14ac:dyDescent="0.35">
      <c r="A386" t="s">
        <v>1082</v>
      </c>
      <c r="B386" t="s">
        <v>1083</v>
      </c>
      <c r="C386">
        <v>2017</v>
      </c>
      <c r="D386" t="s">
        <v>1084</v>
      </c>
      <c r="E386" t="s">
        <v>1085</v>
      </c>
      <c r="F386" t="s">
        <v>66</v>
      </c>
      <c r="G386" t="s">
        <v>67</v>
      </c>
      <c r="H386" t="s">
        <v>84</v>
      </c>
      <c r="I386" t="s">
        <v>1086</v>
      </c>
      <c r="J386" t="s">
        <v>70</v>
      </c>
      <c r="L386">
        <v>1</v>
      </c>
      <c r="M386" t="b">
        <v>0</v>
      </c>
      <c r="N386">
        <v>3</v>
      </c>
      <c r="O386">
        <v>1</v>
      </c>
      <c r="P386">
        <v>3</v>
      </c>
      <c r="Q386">
        <v>4</v>
      </c>
      <c r="R386">
        <v>-1</v>
      </c>
      <c r="S386">
        <v>4</v>
      </c>
      <c r="T386">
        <v>19</v>
      </c>
      <c r="U386">
        <v>535</v>
      </c>
      <c r="V386">
        <v>52</v>
      </c>
      <c r="W386">
        <v>14</v>
      </c>
      <c r="X386">
        <v>3.714285714285714</v>
      </c>
      <c r="Y386">
        <v>1</v>
      </c>
      <c r="Z386">
        <v>6</v>
      </c>
      <c r="AA386">
        <v>0</v>
      </c>
      <c r="AB386">
        <v>0</v>
      </c>
      <c r="AC386">
        <v>4</v>
      </c>
      <c r="AD386">
        <v>4</v>
      </c>
      <c r="AE386">
        <v>53</v>
      </c>
      <c r="AF386">
        <v>0</v>
      </c>
      <c r="AG386">
        <v>0</v>
      </c>
      <c r="AH386">
        <v>2</v>
      </c>
      <c r="AI386">
        <v>65</v>
      </c>
      <c r="AJ386">
        <v>3</v>
      </c>
      <c r="AK386">
        <v>23</v>
      </c>
      <c r="AL386">
        <v>5</v>
      </c>
      <c r="AM386">
        <v>88</v>
      </c>
      <c r="AN386">
        <v>1</v>
      </c>
      <c r="AO386">
        <v>6</v>
      </c>
      <c r="AP386">
        <v>5</v>
      </c>
      <c r="AQ386">
        <v>59</v>
      </c>
      <c r="AR386">
        <v>1.121495327102804E-2</v>
      </c>
      <c r="AS386">
        <v>0</v>
      </c>
      <c r="AT386">
        <v>9.9065420560747658E-2</v>
      </c>
      <c r="AU386">
        <v>0</v>
      </c>
      <c r="AV386">
        <v>0.1214953271028037</v>
      </c>
      <c r="AW386">
        <v>0.16448598130841119</v>
      </c>
      <c r="AX386">
        <v>1.121495327102804E-2</v>
      </c>
      <c r="AY386">
        <v>0.1102803738317757</v>
      </c>
      <c r="AZ386">
        <v>-0.15327102803738321</v>
      </c>
      <c r="BA386">
        <v>0.5</v>
      </c>
      <c r="BB386">
        <v>0.45238095238095227</v>
      </c>
      <c r="BC386">
        <v>0.33333333333333331</v>
      </c>
      <c r="BD386">
        <v>0.52920560747663548</v>
      </c>
      <c r="BE386">
        <v>4</v>
      </c>
      <c r="BF386">
        <v>0.45372997329773029</v>
      </c>
      <c r="BG386">
        <v>0.47</v>
      </c>
      <c r="BH386" t="s">
        <v>71</v>
      </c>
      <c r="BI386">
        <v>0.45</v>
      </c>
      <c r="BJ386" t="s">
        <v>71</v>
      </c>
      <c r="BK386" s="2">
        <f t="shared" si="11"/>
        <v>1.9999999999999962E-2</v>
      </c>
      <c r="BL386" t="b">
        <f t="shared" si="12"/>
        <v>1</v>
      </c>
    </row>
    <row r="387" spans="1:64" x14ac:dyDescent="0.35">
      <c r="A387" t="s">
        <v>1087</v>
      </c>
      <c r="B387" t="s">
        <v>1083</v>
      </c>
      <c r="C387">
        <v>2021</v>
      </c>
      <c r="D387" t="s">
        <v>1084</v>
      </c>
      <c r="E387" t="s">
        <v>1085</v>
      </c>
      <c r="F387" t="s">
        <v>66</v>
      </c>
      <c r="G387" t="s">
        <v>67</v>
      </c>
      <c r="H387" t="s">
        <v>84</v>
      </c>
      <c r="I387" t="s">
        <v>1086</v>
      </c>
      <c r="J387" t="s">
        <v>70</v>
      </c>
      <c r="L387">
        <v>1</v>
      </c>
      <c r="M387" t="b">
        <v>0</v>
      </c>
      <c r="N387">
        <v>6</v>
      </c>
      <c r="O387">
        <v>1</v>
      </c>
      <c r="P387">
        <v>0</v>
      </c>
      <c r="Q387">
        <v>3</v>
      </c>
      <c r="R387">
        <v>-3</v>
      </c>
      <c r="S387">
        <v>1</v>
      </c>
      <c r="T387">
        <v>9</v>
      </c>
      <c r="U387">
        <v>87</v>
      </c>
      <c r="V387">
        <v>27</v>
      </c>
      <c r="W387">
        <v>9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  <c r="AE387">
        <v>20</v>
      </c>
      <c r="AF387">
        <v>0</v>
      </c>
      <c r="AG387">
        <v>0</v>
      </c>
      <c r="AH387">
        <v>0</v>
      </c>
      <c r="AI387">
        <v>0</v>
      </c>
      <c r="AJ387">
        <v>2</v>
      </c>
      <c r="AK387">
        <v>13</v>
      </c>
      <c r="AL387">
        <v>2</v>
      </c>
      <c r="AM387">
        <v>13</v>
      </c>
      <c r="AN387">
        <v>0</v>
      </c>
      <c r="AO387">
        <v>0</v>
      </c>
      <c r="AP387">
        <v>1</v>
      </c>
      <c r="AQ387">
        <v>20</v>
      </c>
      <c r="AR387">
        <v>0</v>
      </c>
      <c r="AS387">
        <v>0</v>
      </c>
      <c r="AT387">
        <v>0.22988505747126439</v>
      </c>
      <c r="AU387">
        <v>0</v>
      </c>
      <c r="AV387">
        <v>0</v>
      </c>
      <c r="AW387">
        <v>0.14942528735632191</v>
      </c>
      <c r="AX387">
        <v>0</v>
      </c>
      <c r="AY387">
        <v>0.22988505747126439</v>
      </c>
      <c r="AZ387">
        <v>-0.14942528735632191</v>
      </c>
      <c r="BA387">
        <v>0</v>
      </c>
      <c r="BB387">
        <v>0.33333333333333331</v>
      </c>
      <c r="BC387">
        <v>6.6666666666666666E-2</v>
      </c>
      <c r="BD387">
        <v>0.53160919540229878</v>
      </c>
      <c r="BE387">
        <v>4</v>
      </c>
      <c r="BF387">
        <v>0.2329022988505747</v>
      </c>
      <c r="BG387">
        <v>0.23</v>
      </c>
      <c r="BH387" t="s">
        <v>187</v>
      </c>
      <c r="BI387">
        <v>0.23</v>
      </c>
      <c r="BJ387" t="s">
        <v>187</v>
      </c>
      <c r="BK387" s="2">
        <f t="shared" ref="BK387:BK450" si="13">BG387-BI387</f>
        <v>0</v>
      </c>
      <c r="BL387" t="b">
        <f t="shared" ref="BL387:BL450" si="14">EXACT(BH387,BJ387)</f>
        <v>1</v>
      </c>
    </row>
    <row r="388" spans="1:64" x14ac:dyDescent="0.35">
      <c r="A388" t="s">
        <v>1088</v>
      </c>
      <c r="B388" t="s">
        <v>1089</v>
      </c>
      <c r="C388">
        <v>2017</v>
      </c>
      <c r="D388" t="s">
        <v>1090</v>
      </c>
      <c r="E388" t="s">
        <v>1091</v>
      </c>
      <c r="F388" t="s">
        <v>66</v>
      </c>
      <c r="G388" t="s">
        <v>67</v>
      </c>
      <c r="H388" t="s">
        <v>84</v>
      </c>
      <c r="I388" t="s">
        <v>1092</v>
      </c>
      <c r="J388" t="s">
        <v>70</v>
      </c>
      <c r="L388">
        <v>1</v>
      </c>
      <c r="M388" t="b">
        <v>0</v>
      </c>
      <c r="N388">
        <v>1</v>
      </c>
      <c r="O388">
        <v>1</v>
      </c>
      <c r="P388">
        <v>5</v>
      </c>
      <c r="Q388">
        <v>4</v>
      </c>
      <c r="R388">
        <v>1</v>
      </c>
      <c r="S388">
        <v>4</v>
      </c>
      <c r="T388">
        <v>31</v>
      </c>
      <c r="U388">
        <v>635</v>
      </c>
      <c r="V388">
        <v>94</v>
      </c>
      <c r="W388">
        <v>21</v>
      </c>
      <c r="X388">
        <v>4.4761904761904763</v>
      </c>
      <c r="Y388">
        <v>1</v>
      </c>
      <c r="Z388">
        <v>28</v>
      </c>
      <c r="AA388">
        <v>0</v>
      </c>
      <c r="AB388">
        <v>0</v>
      </c>
      <c r="AC388">
        <v>4</v>
      </c>
      <c r="AD388">
        <v>4</v>
      </c>
      <c r="AE388">
        <v>45</v>
      </c>
      <c r="AF388">
        <v>1</v>
      </c>
      <c r="AG388">
        <v>1</v>
      </c>
      <c r="AH388">
        <v>2</v>
      </c>
      <c r="AI388">
        <v>28</v>
      </c>
      <c r="AJ388">
        <v>1</v>
      </c>
      <c r="AK388">
        <v>14</v>
      </c>
      <c r="AL388">
        <v>3</v>
      </c>
      <c r="AM388">
        <v>42</v>
      </c>
      <c r="AN388">
        <v>2</v>
      </c>
      <c r="AO388">
        <v>29</v>
      </c>
      <c r="AP388">
        <v>5</v>
      </c>
      <c r="AQ388">
        <v>73</v>
      </c>
      <c r="AR388">
        <v>4.4094488188976377E-2</v>
      </c>
      <c r="AS388">
        <v>0</v>
      </c>
      <c r="AT388">
        <v>7.0866141732283464E-2</v>
      </c>
      <c r="AU388">
        <v>1.574803149606299E-3</v>
      </c>
      <c r="AV388">
        <v>4.4094488188976377E-2</v>
      </c>
      <c r="AW388">
        <v>6.6141732283464566E-2</v>
      </c>
      <c r="AX388">
        <v>4.5669291338582677E-2</v>
      </c>
      <c r="AY388">
        <v>0.1149606299212598</v>
      </c>
      <c r="AZ388">
        <v>-2.0472440944881889E-2</v>
      </c>
      <c r="BA388">
        <v>0.5</v>
      </c>
      <c r="BB388">
        <v>0.57936507936507942</v>
      </c>
      <c r="BC388">
        <v>0.33333333333333331</v>
      </c>
      <c r="BD388">
        <v>0.61220472440944884</v>
      </c>
      <c r="BE388">
        <v>4</v>
      </c>
      <c r="BF388">
        <v>0.50622578427696541</v>
      </c>
      <c r="BG388">
        <v>0.47</v>
      </c>
      <c r="BH388" t="s">
        <v>71</v>
      </c>
      <c r="BI388">
        <v>0.51</v>
      </c>
      <c r="BJ388" t="s">
        <v>71</v>
      </c>
      <c r="BK388" s="2">
        <f t="shared" si="13"/>
        <v>-4.0000000000000036E-2</v>
      </c>
      <c r="BL388" t="b">
        <f t="shared" si="14"/>
        <v>1</v>
      </c>
    </row>
    <row r="389" spans="1:64" x14ac:dyDescent="0.35">
      <c r="A389" t="s">
        <v>1093</v>
      </c>
      <c r="B389" t="s">
        <v>1089</v>
      </c>
      <c r="C389">
        <v>2021</v>
      </c>
      <c r="D389" t="s">
        <v>1090</v>
      </c>
      <c r="E389" t="s">
        <v>1091</v>
      </c>
      <c r="F389" t="s">
        <v>66</v>
      </c>
      <c r="G389" t="s">
        <v>67</v>
      </c>
      <c r="H389" t="s">
        <v>84</v>
      </c>
      <c r="I389" t="s">
        <v>1092</v>
      </c>
      <c r="J389" t="s">
        <v>70</v>
      </c>
      <c r="L389">
        <v>1</v>
      </c>
      <c r="M389" t="b">
        <v>0</v>
      </c>
      <c r="N389">
        <v>3</v>
      </c>
      <c r="O389">
        <v>1</v>
      </c>
      <c r="P389">
        <v>1</v>
      </c>
      <c r="Q389">
        <v>2</v>
      </c>
      <c r="R389">
        <v>-1</v>
      </c>
      <c r="S389">
        <v>4</v>
      </c>
      <c r="T389">
        <v>16</v>
      </c>
      <c r="U389">
        <v>295</v>
      </c>
      <c r="V389">
        <v>58</v>
      </c>
      <c r="W389">
        <v>15</v>
      </c>
      <c r="X389">
        <v>3.8666666666666671</v>
      </c>
      <c r="Y389">
        <v>1</v>
      </c>
      <c r="Z389">
        <v>2</v>
      </c>
      <c r="AA389">
        <v>0</v>
      </c>
      <c r="AB389">
        <v>0</v>
      </c>
      <c r="AC389">
        <v>2</v>
      </c>
      <c r="AD389">
        <v>2</v>
      </c>
      <c r="AE389">
        <v>43</v>
      </c>
      <c r="AF389">
        <v>1</v>
      </c>
      <c r="AG389">
        <v>1</v>
      </c>
      <c r="AH389">
        <v>1</v>
      </c>
      <c r="AI389">
        <v>7</v>
      </c>
      <c r="AJ389">
        <v>1</v>
      </c>
      <c r="AK389">
        <v>1</v>
      </c>
      <c r="AL389">
        <v>2</v>
      </c>
      <c r="AM389">
        <v>8</v>
      </c>
      <c r="AN389">
        <v>2</v>
      </c>
      <c r="AO389">
        <v>3</v>
      </c>
      <c r="AP389">
        <v>3</v>
      </c>
      <c r="AQ389">
        <v>45</v>
      </c>
      <c r="AR389">
        <v>6.7796610169491523E-3</v>
      </c>
      <c r="AS389">
        <v>0</v>
      </c>
      <c r="AT389">
        <v>0.14576271186440681</v>
      </c>
      <c r="AU389">
        <v>3.3898305084745762E-3</v>
      </c>
      <c r="AV389">
        <v>2.3728813559322031E-2</v>
      </c>
      <c r="AW389">
        <v>2.7118644067796609E-2</v>
      </c>
      <c r="AX389">
        <v>1.016949152542373E-2</v>
      </c>
      <c r="AY389">
        <v>0.15254237288135589</v>
      </c>
      <c r="AZ389">
        <v>-1.6949152542372881E-2</v>
      </c>
      <c r="BA389">
        <v>0.5</v>
      </c>
      <c r="BB389">
        <v>0.47777777777777791</v>
      </c>
      <c r="BC389">
        <v>0.2</v>
      </c>
      <c r="BD389">
        <v>0.61440677966101698</v>
      </c>
      <c r="BE389">
        <v>4</v>
      </c>
      <c r="BF389">
        <v>0.44804613935969873</v>
      </c>
      <c r="BG389">
        <v>0.41</v>
      </c>
      <c r="BH389" t="s">
        <v>71</v>
      </c>
      <c r="BI389">
        <v>0.45</v>
      </c>
      <c r="BJ389" t="s">
        <v>71</v>
      </c>
      <c r="BK389" s="2">
        <f t="shared" si="13"/>
        <v>-4.0000000000000036E-2</v>
      </c>
      <c r="BL389" t="b">
        <f t="shared" si="14"/>
        <v>1</v>
      </c>
    </row>
    <row r="390" spans="1:64" x14ac:dyDescent="0.35">
      <c r="A390" t="s">
        <v>1094</v>
      </c>
      <c r="B390" t="s">
        <v>1095</v>
      </c>
      <c r="C390">
        <v>2017</v>
      </c>
      <c r="D390" t="s">
        <v>1096</v>
      </c>
      <c r="E390" t="s">
        <v>1097</v>
      </c>
      <c r="F390" t="s">
        <v>66</v>
      </c>
      <c r="G390" t="s">
        <v>67</v>
      </c>
      <c r="H390" t="s">
        <v>68</v>
      </c>
      <c r="I390" t="s">
        <v>1098</v>
      </c>
      <c r="J390" t="s">
        <v>70</v>
      </c>
      <c r="L390">
        <v>1</v>
      </c>
      <c r="M390" t="b">
        <v>0</v>
      </c>
      <c r="N390">
        <v>1</v>
      </c>
      <c r="O390">
        <v>2</v>
      </c>
      <c r="P390">
        <v>10</v>
      </c>
      <c r="Q390">
        <v>3</v>
      </c>
      <c r="R390">
        <v>7</v>
      </c>
      <c r="S390">
        <v>6</v>
      </c>
      <c r="T390">
        <v>37</v>
      </c>
      <c r="U390">
        <v>791</v>
      </c>
      <c r="V390">
        <v>127</v>
      </c>
      <c r="W390">
        <v>21</v>
      </c>
      <c r="X390">
        <v>6.0476190476190466</v>
      </c>
      <c r="Y390">
        <v>6</v>
      </c>
      <c r="Z390">
        <v>103</v>
      </c>
      <c r="AA390">
        <v>0</v>
      </c>
      <c r="AB390">
        <v>0</v>
      </c>
      <c r="AC390">
        <v>1</v>
      </c>
      <c r="AD390">
        <v>1</v>
      </c>
      <c r="AE390">
        <v>39</v>
      </c>
      <c r="AF390">
        <v>1</v>
      </c>
      <c r="AG390">
        <v>17</v>
      </c>
      <c r="AH390">
        <v>2</v>
      </c>
      <c r="AI390">
        <v>74</v>
      </c>
      <c r="AJ390">
        <v>0</v>
      </c>
      <c r="AK390">
        <v>0</v>
      </c>
      <c r="AL390">
        <v>2</v>
      </c>
      <c r="AM390">
        <v>74</v>
      </c>
      <c r="AN390">
        <v>7</v>
      </c>
      <c r="AO390">
        <v>120</v>
      </c>
      <c r="AP390">
        <v>7</v>
      </c>
      <c r="AQ390">
        <v>142</v>
      </c>
      <c r="AR390">
        <v>0.13021491782553729</v>
      </c>
      <c r="AS390">
        <v>0</v>
      </c>
      <c r="AT390">
        <v>4.9304677623261697E-2</v>
      </c>
      <c r="AU390">
        <v>2.1491782553729459E-2</v>
      </c>
      <c r="AV390">
        <v>9.3552465233881166E-2</v>
      </c>
      <c r="AW390">
        <v>9.3552465233881166E-2</v>
      </c>
      <c r="AX390">
        <v>0.15170670037926681</v>
      </c>
      <c r="AY390">
        <v>0.179519595448799</v>
      </c>
      <c r="AZ390">
        <v>5.8154235145385591E-2</v>
      </c>
      <c r="BA390">
        <v>0.83333333333333337</v>
      </c>
      <c r="BB390">
        <v>0.84126984126984106</v>
      </c>
      <c r="BC390">
        <v>0.46666666666666667</v>
      </c>
      <c r="BD390">
        <v>0.66134639696586595</v>
      </c>
      <c r="BE390">
        <v>4</v>
      </c>
      <c r="BF390">
        <v>0.70065405955892679</v>
      </c>
      <c r="BG390">
        <v>0.72</v>
      </c>
      <c r="BH390" t="s">
        <v>86</v>
      </c>
      <c r="BI390">
        <v>0.7</v>
      </c>
      <c r="BJ390" t="s">
        <v>86</v>
      </c>
      <c r="BK390" s="2">
        <f t="shared" si="13"/>
        <v>2.0000000000000018E-2</v>
      </c>
      <c r="BL390" t="b">
        <f t="shared" si="14"/>
        <v>1</v>
      </c>
    </row>
    <row r="391" spans="1:64" x14ac:dyDescent="0.35">
      <c r="A391" t="s">
        <v>1099</v>
      </c>
      <c r="B391" t="s">
        <v>1095</v>
      </c>
      <c r="C391">
        <v>2020</v>
      </c>
      <c r="D391" t="s">
        <v>1096</v>
      </c>
      <c r="E391" t="s">
        <v>1097</v>
      </c>
      <c r="F391" t="s">
        <v>66</v>
      </c>
      <c r="G391" t="s">
        <v>67</v>
      </c>
      <c r="H391" t="s">
        <v>68</v>
      </c>
      <c r="I391" t="s">
        <v>1098</v>
      </c>
      <c r="J391" t="s">
        <v>70</v>
      </c>
      <c r="L391">
        <v>1</v>
      </c>
      <c r="M391" t="b">
        <v>0</v>
      </c>
      <c r="N391">
        <v>3</v>
      </c>
      <c r="O391">
        <v>1</v>
      </c>
      <c r="P391">
        <v>7</v>
      </c>
      <c r="Q391">
        <v>4</v>
      </c>
      <c r="R391">
        <v>3</v>
      </c>
      <c r="S391">
        <v>4</v>
      </c>
      <c r="T391">
        <v>31</v>
      </c>
      <c r="U391">
        <v>1083</v>
      </c>
      <c r="V391">
        <v>112</v>
      </c>
      <c r="W391">
        <v>22</v>
      </c>
      <c r="X391">
        <v>5.0909090909090908</v>
      </c>
      <c r="Y391">
        <v>4</v>
      </c>
      <c r="Z391">
        <v>424</v>
      </c>
      <c r="AA391">
        <v>0</v>
      </c>
      <c r="AB391">
        <v>0</v>
      </c>
      <c r="AC391">
        <v>3</v>
      </c>
      <c r="AD391">
        <v>3</v>
      </c>
      <c r="AE391">
        <v>43</v>
      </c>
      <c r="AF391">
        <v>2</v>
      </c>
      <c r="AG391">
        <v>6</v>
      </c>
      <c r="AH391">
        <v>2</v>
      </c>
      <c r="AI391">
        <v>49</v>
      </c>
      <c r="AJ391">
        <v>2</v>
      </c>
      <c r="AK391">
        <v>19</v>
      </c>
      <c r="AL391">
        <v>4</v>
      </c>
      <c r="AM391">
        <v>68</v>
      </c>
      <c r="AN391">
        <v>6</v>
      </c>
      <c r="AO391">
        <v>430</v>
      </c>
      <c r="AP391">
        <v>7</v>
      </c>
      <c r="AQ391">
        <v>467</v>
      </c>
      <c r="AR391">
        <v>0.39150507848568789</v>
      </c>
      <c r="AS391">
        <v>0</v>
      </c>
      <c r="AT391">
        <v>3.9704524469067408E-2</v>
      </c>
      <c r="AU391">
        <v>5.5401662049861496E-3</v>
      </c>
      <c r="AV391">
        <v>4.5244690674053553E-2</v>
      </c>
      <c r="AW391">
        <v>6.2788550323176359E-2</v>
      </c>
      <c r="AX391">
        <v>0.39704524469067398</v>
      </c>
      <c r="AY391">
        <v>0.4312096029547553</v>
      </c>
      <c r="AZ391">
        <v>0.33425669436749772</v>
      </c>
      <c r="BA391">
        <v>0.5</v>
      </c>
      <c r="BB391">
        <v>0.68181818181818177</v>
      </c>
      <c r="BC391">
        <v>0.46666666666666667</v>
      </c>
      <c r="BD391">
        <v>0.83391043397968601</v>
      </c>
      <c r="BE391">
        <v>4</v>
      </c>
      <c r="BF391">
        <v>0.62059882061613358</v>
      </c>
      <c r="BG391">
        <v>0.63</v>
      </c>
      <c r="BH391" t="s">
        <v>86</v>
      </c>
      <c r="BI391">
        <v>0.62</v>
      </c>
      <c r="BJ391" t="s">
        <v>86</v>
      </c>
      <c r="BK391" s="2">
        <f t="shared" si="13"/>
        <v>1.0000000000000009E-2</v>
      </c>
      <c r="BL391" t="b">
        <f t="shared" si="14"/>
        <v>1</v>
      </c>
    </row>
    <row r="392" spans="1:64" x14ac:dyDescent="0.35">
      <c r="A392" t="s">
        <v>1100</v>
      </c>
      <c r="B392" t="s">
        <v>1101</v>
      </c>
      <c r="C392">
        <v>2017</v>
      </c>
      <c r="D392" t="s">
        <v>1102</v>
      </c>
      <c r="E392" t="s">
        <v>1103</v>
      </c>
      <c r="F392" t="s">
        <v>66</v>
      </c>
      <c r="G392" t="s">
        <v>67</v>
      </c>
      <c r="H392" t="s">
        <v>68</v>
      </c>
      <c r="I392" t="s">
        <v>1104</v>
      </c>
      <c r="J392" t="s">
        <v>70</v>
      </c>
      <c r="L392">
        <v>2</v>
      </c>
      <c r="M392" t="b">
        <v>0</v>
      </c>
      <c r="N392">
        <v>1</v>
      </c>
      <c r="O392">
        <v>1</v>
      </c>
      <c r="P392">
        <v>9</v>
      </c>
      <c r="Q392">
        <v>4</v>
      </c>
      <c r="R392">
        <v>5</v>
      </c>
      <c r="S392">
        <v>5</v>
      </c>
      <c r="T392">
        <v>36</v>
      </c>
      <c r="U392">
        <v>291</v>
      </c>
      <c r="V392">
        <v>143</v>
      </c>
      <c r="W392">
        <v>26</v>
      </c>
      <c r="X392">
        <v>5.5</v>
      </c>
      <c r="Y392">
        <v>3</v>
      </c>
      <c r="Z392">
        <v>21</v>
      </c>
      <c r="AA392">
        <v>0</v>
      </c>
      <c r="AB392">
        <v>0</v>
      </c>
      <c r="AC392">
        <v>2</v>
      </c>
      <c r="AD392">
        <v>2</v>
      </c>
      <c r="AE392">
        <v>10</v>
      </c>
      <c r="AF392">
        <v>1</v>
      </c>
      <c r="AG392">
        <v>9</v>
      </c>
      <c r="AH392">
        <v>3</v>
      </c>
      <c r="AI392">
        <v>24</v>
      </c>
      <c r="AJ392">
        <v>1</v>
      </c>
      <c r="AK392">
        <v>3</v>
      </c>
      <c r="AL392">
        <v>4</v>
      </c>
      <c r="AM392">
        <v>27</v>
      </c>
      <c r="AN392">
        <v>4</v>
      </c>
      <c r="AO392">
        <v>30</v>
      </c>
      <c r="AP392">
        <v>5</v>
      </c>
      <c r="AQ392">
        <v>31</v>
      </c>
      <c r="AR392">
        <v>7.2164948453608241E-2</v>
      </c>
      <c r="AS392">
        <v>0</v>
      </c>
      <c r="AT392">
        <v>3.4364261168384883E-2</v>
      </c>
      <c r="AU392">
        <v>3.0927835051546389E-2</v>
      </c>
      <c r="AV392">
        <v>8.247422680412371E-2</v>
      </c>
      <c r="AW392">
        <v>9.2783505154639179E-2</v>
      </c>
      <c r="AX392">
        <v>0.10309278350515461</v>
      </c>
      <c r="AY392">
        <v>0.1065292096219931</v>
      </c>
      <c r="AZ392">
        <v>1.030927835051546E-2</v>
      </c>
      <c r="BA392">
        <v>0.66666666666666663</v>
      </c>
      <c r="BB392">
        <v>0.75</v>
      </c>
      <c r="BC392">
        <v>0.33333333333333331</v>
      </c>
      <c r="BD392">
        <v>0.63144329896907214</v>
      </c>
      <c r="BE392">
        <v>4</v>
      </c>
      <c r="BF392">
        <v>0.59536082474226804</v>
      </c>
      <c r="BG392">
        <v>0.61</v>
      </c>
      <c r="BH392" t="s">
        <v>86</v>
      </c>
      <c r="BI392">
        <v>0.6</v>
      </c>
      <c r="BJ392" t="s">
        <v>86</v>
      </c>
      <c r="BK392" s="2">
        <f t="shared" si="13"/>
        <v>1.0000000000000009E-2</v>
      </c>
      <c r="BL392" t="b">
        <f t="shared" si="14"/>
        <v>1</v>
      </c>
    </row>
    <row r="393" spans="1:64" x14ac:dyDescent="0.35">
      <c r="A393" t="s">
        <v>1105</v>
      </c>
      <c r="B393" t="s">
        <v>1101</v>
      </c>
      <c r="C393">
        <v>2020</v>
      </c>
      <c r="D393" t="s">
        <v>1102</v>
      </c>
      <c r="E393" t="s">
        <v>1103</v>
      </c>
      <c r="F393" t="s">
        <v>66</v>
      </c>
      <c r="G393" t="s">
        <v>67</v>
      </c>
      <c r="H393" t="s">
        <v>68</v>
      </c>
      <c r="I393" t="s">
        <v>1104</v>
      </c>
      <c r="J393" t="s">
        <v>70</v>
      </c>
      <c r="L393">
        <v>2</v>
      </c>
      <c r="M393" t="b">
        <v>0</v>
      </c>
      <c r="N393">
        <v>3</v>
      </c>
      <c r="O393">
        <v>2</v>
      </c>
      <c r="P393">
        <v>6</v>
      </c>
      <c r="Q393">
        <v>4</v>
      </c>
      <c r="R393">
        <v>2</v>
      </c>
      <c r="S393">
        <v>4</v>
      </c>
      <c r="T393">
        <v>28</v>
      </c>
      <c r="U393">
        <v>256</v>
      </c>
      <c r="V393">
        <v>111</v>
      </c>
      <c r="W393">
        <v>22</v>
      </c>
      <c r="X393">
        <v>5.0454545454545459</v>
      </c>
      <c r="Y393">
        <v>3</v>
      </c>
      <c r="Z393">
        <v>48</v>
      </c>
      <c r="AA393">
        <v>0</v>
      </c>
      <c r="AB393">
        <v>0</v>
      </c>
      <c r="AC393">
        <v>1</v>
      </c>
      <c r="AD393">
        <v>1</v>
      </c>
      <c r="AE393">
        <v>2</v>
      </c>
      <c r="AF393">
        <v>2</v>
      </c>
      <c r="AG393">
        <v>5</v>
      </c>
      <c r="AH393">
        <v>2</v>
      </c>
      <c r="AI393">
        <v>69</v>
      </c>
      <c r="AJ393">
        <v>3</v>
      </c>
      <c r="AK393">
        <v>12</v>
      </c>
      <c r="AL393">
        <v>5</v>
      </c>
      <c r="AM393">
        <v>81</v>
      </c>
      <c r="AN393">
        <v>5</v>
      </c>
      <c r="AO393">
        <v>53</v>
      </c>
      <c r="AP393">
        <v>4</v>
      </c>
      <c r="AQ393">
        <v>50</v>
      </c>
      <c r="AR393">
        <v>0.1875</v>
      </c>
      <c r="AS393">
        <v>0</v>
      </c>
      <c r="AT393">
        <v>7.8125E-3</v>
      </c>
      <c r="AU393">
        <v>1.953125E-2</v>
      </c>
      <c r="AV393">
        <v>0.26953125</v>
      </c>
      <c r="AW393">
        <v>0.31640625</v>
      </c>
      <c r="AX393">
        <v>0.20703125</v>
      </c>
      <c r="AY393">
        <v>0.1953125</v>
      </c>
      <c r="AZ393">
        <v>-0.109375</v>
      </c>
      <c r="BA393">
        <v>0.5</v>
      </c>
      <c r="BB393">
        <v>0.67424242424242431</v>
      </c>
      <c r="BC393">
        <v>0.26666666666666672</v>
      </c>
      <c r="BD393">
        <v>0.556640625</v>
      </c>
      <c r="BE393">
        <v>4</v>
      </c>
      <c r="BF393">
        <v>0.49938742897727267</v>
      </c>
      <c r="BG393">
        <v>0.54</v>
      </c>
      <c r="BH393" t="s">
        <v>71</v>
      </c>
      <c r="BI393">
        <v>0.5</v>
      </c>
      <c r="BJ393" t="s">
        <v>71</v>
      </c>
      <c r="BK393" s="2">
        <f t="shared" si="13"/>
        <v>4.0000000000000036E-2</v>
      </c>
      <c r="BL393" t="b">
        <f t="shared" si="14"/>
        <v>1</v>
      </c>
    </row>
    <row r="394" spans="1:64" x14ac:dyDescent="0.35">
      <c r="A394" t="s">
        <v>1106</v>
      </c>
      <c r="B394" t="s">
        <v>1107</v>
      </c>
      <c r="C394">
        <v>2017</v>
      </c>
      <c r="D394" t="s">
        <v>1108</v>
      </c>
      <c r="E394" t="s">
        <v>1109</v>
      </c>
      <c r="F394" t="s">
        <v>66</v>
      </c>
      <c r="G394" t="s">
        <v>67</v>
      </c>
      <c r="H394" t="s">
        <v>68</v>
      </c>
      <c r="I394" t="s">
        <v>1110</v>
      </c>
      <c r="J394" t="s">
        <v>70</v>
      </c>
      <c r="L394">
        <v>1</v>
      </c>
      <c r="M394" t="b">
        <v>0</v>
      </c>
      <c r="N394">
        <v>1</v>
      </c>
      <c r="O394">
        <v>2</v>
      </c>
      <c r="P394">
        <v>8</v>
      </c>
      <c r="Q394">
        <v>4</v>
      </c>
      <c r="R394">
        <v>4</v>
      </c>
      <c r="S394">
        <v>6</v>
      </c>
      <c r="T394">
        <v>35</v>
      </c>
      <c r="U394">
        <v>762</v>
      </c>
      <c r="V394">
        <v>134</v>
      </c>
      <c r="W394">
        <v>24</v>
      </c>
      <c r="X394">
        <v>5.583333333333333</v>
      </c>
      <c r="Y394">
        <v>2</v>
      </c>
      <c r="Z394">
        <v>3</v>
      </c>
      <c r="AA394">
        <v>0</v>
      </c>
      <c r="AB394">
        <v>0</v>
      </c>
      <c r="AC394">
        <v>2</v>
      </c>
      <c r="AD394">
        <v>2</v>
      </c>
      <c r="AE394">
        <v>30</v>
      </c>
      <c r="AF394">
        <v>0</v>
      </c>
      <c r="AG394">
        <v>0</v>
      </c>
      <c r="AH394">
        <v>2</v>
      </c>
      <c r="AI394">
        <v>89</v>
      </c>
      <c r="AJ394">
        <v>1</v>
      </c>
      <c r="AK394">
        <v>3</v>
      </c>
      <c r="AL394">
        <v>3</v>
      </c>
      <c r="AM394">
        <v>92</v>
      </c>
      <c r="AN394">
        <v>2</v>
      </c>
      <c r="AO394">
        <v>3</v>
      </c>
      <c r="AP394">
        <v>4</v>
      </c>
      <c r="AQ394">
        <v>33</v>
      </c>
      <c r="AR394">
        <v>3.937007874015748E-3</v>
      </c>
      <c r="AS394">
        <v>0</v>
      </c>
      <c r="AT394">
        <v>3.937007874015748E-2</v>
      </c>
      <c r="AU394">
        <v>0</v>
      </c>
      <c r="AV394">
        <v>0.1167979002624672</v>
      </c>
      <c r="AW394">
        <v>0.1207349081364829</v>
      </c>
      <c r="AX394">
        <v>3.937007874015748E-3</v>
      </c>
      <c r="AY394">
        <v>4.3307086614173228E-2</v>
      </c>
      <c r="AZ394">
        <v>-0.1167979002624672</v>
      </c>
      <c r="BA394">
        <v>0.83333333333333337</v>
      </c>
      <c r="BB394">
        <v>0.76388888888888884</v>
      </c>
      <c r="BC394">
        <v>0.26666666666666672</v>
      </c>
      <c r="BD394">
        <v>0.55200131233595795</v>
      </c>
      <c r="BE394">
        <v>4</v>
      </c>
      <c r="BF394">
        <v>0.60397255030621166</v>
      </c>
      <c r="BG394">
        <v>0.62</v>
      </c>
      <c r="BH394" t="s">
        <v>86</v>
      </c>
      <c r="BI394">
        <v>0.6</v>
      </c>
      <c r="BJ394" t="s">
        <v>86</v>
      </c>
      <c r="BK394" s="2">
        <f t="shared" si="13"/>
        <v>2.0000000000000018E-2</v>
      </c>
      <c r="BL394" t="b">
        <f t="shared" si="14"/>
        <v>1</v>
      </c>
    </row>
    <row r="395" spans="1:64" x14ac:dyDescent="0.35">
      <c r="A395" t="s">
        <v>1111</v>
      </c>
      <c r="B395" t="s">
        <v>1107</v>
      </c>
      <c r="C395">
        <v>2020</v>
      </c>
      <c r="D395" t="s">
        <v>1108</v>
      </c>
      <c r="E395" t="s">
        <v>1109</v>
      </c>
      <c r="F395" t="s">
        <v>66</v>
      </c>
      <c r="G395" t="s">
        <v>67</v>
      </c>
      <c r="H395" t="s">
        <v>68</v>
      </c>
      <c r="I395" t="s">
        <v>1110</v>
      </c>
      <c r="J395" t="s">
        <v>70</v>
      </c>
      <c r="L395">
        <v>1</v>
      </c>
      <c r="M395" t="b">
        <v>0</v>
      </c>
      <c r="N395">
        <v>1</v>
      </c>
      <c r="O395">
        <v>1</v>
      </c>
      <c r="P395">
        <v>7</v>
      </c>
      <c r="Q395">
        <v>5</v>
      </c>
      <c r="R395">
        <v>2</v>
      </c>
      <c r="S395">
        <v>4</v>
      </c>
      <c r="T395">
        <v>24</v>
      </c>
      <c r="U395">
        <v>1584</v>
      </c>
      <c r="V395">
        <v>106</v>
      </c>
      <c r="W395">
        <v>22</v>
      </c>
      <c r="X395">
        <v>4.8181818181818183</v>
      </c>
      <c r="Y395">
        <v>2</v>
      </c>
      <c r="Z395">
        <v>48</v>
      </c>
      <c r="AA395">
        <v>0</v>
      </c>
      <c r="AB395">
        <v>0</v>
      </c>
      <c r="AC395">
        <v>2</v>
      </c>
      <c r="AD395">
        <v>2</v>
      </c>
      <c r="AE395">
        <v>290</v>
      </c>
      <c r="AF395">
        <v>1</v>
      </c>
      <c r="AG395">
        <v>3</v>
      </c>
      <c r="AH395">
        <v>2</v>
      </c>
      <c r="AI395">
        <v>396</v>
      </c>
      <c r="AJ395">
        <v>2</v>
      </c>
      <c r="AK395">
        <v>31</v>
      </c>
      <c r="AL395">
        <v>4</v>
      </c>
      <c r="AM395">
        <v>427</v>
      </c>
      <c r="AN395">
        <v>3</v>
      </c>
      <c r="AO395">
        <v>51</v>
      </c>
      <c r="AP395">
        <v>4</v>
      </c>
      <c r="AQ395">
        <v>338</v>
      </c>
      <c r="AR395">
        <v>3.03030303030303E-2</v>
      </c>
      <c r="AS395">
        <v>0</v>
      </c>
      <c r="AT395">
        <v>0.18308080808080809</v>
      </c>
      <c r="AU395">
        <v>1.893939393939394E-3</v>
      </c>
      <c r="AV395">
        <v>0.25</v>
      </c>
      <c r="AW395">
        <v>0.26957070707070713</v>
      </c>
      <c r="AX395">
        <v>3.2196969696969703E-2</v>
      </c>
      <c r="AY395">
        <v>0.2133838383838384</v>
      </c>
      <c r="AZ395">
        <v>-0.2373737373737374</v>
      </c>
      <c r="BA395">
        <v>0.5</v>
      </c>
      <c r="BB395">
        <v>0.63636363636363635</v>
      </c>
      <c r="BC395">
        <v>0.26666666666666672</v>
      </c>
      <c r="BD395">
        <v>0.47664141414141409</v>
      </c>
      <c r="BE395">
        <v>4</v>
      </c>
      <c r="BF395">
        <v>0.4699179292929293</v>
      </c>
      <c r="BG395">
        <v>0.51</v>
      </c>
      <c r="BH395" t="s">
        <v>71</v>
      </c>
      <c r="BI395">
        <v>0.47</v>
      </c>
      <c r="BJ395" t="s">
        <v>71</v>
      </c>
      <c r="BK395" s="2">
        <f t="shared" si="13"/>
        <v>4.0000000000000036E-2</v>
      </c>
      <c r="BL395" t="b">
        <f t="shared" si="14"/>
        <v>1</v>
      </c>
    </row>
    <row r="396" spans="1:64" x14ac:dyDescent="0.35">
      <c r="A396" t="s">
        <v>1112</v>
      </c>
      <c r="B396" t="s">
        <v>1113</v>
      </c>
      <c r="C396">
        <v>2018</v>
      </c>
      <c r="D396" t="s">
        <v>1114</v>
      </c>
      <c r="E396" t="s">
        <v>1115</v>
      </c>
      <c r="F396" t="s">
        <v>66</v>
      </c>
      <c r="G396" t="s">
        <v>67</v>
      </c>
      <c r="H396" t="s">
        <v>68</v>
      </c>
      <c r="I396" t="s">
        <v>1116</v>
      </c>
      <c r="J396" t="s">
        <v>70</v>
      </c>
      <c r="L396">
        <v>1</v>
      </c>
      <c r="M396" t="b">
        <v>0</v>
      </c>
      <c r="N396">
        <v>4</v>
      </c>
      <c r="O396">
        <v>3</v>
      </c>
      <c r="P396">
        <v>4</v>
      </c>
      <c r="Q396">
        <v>4</v>
      </c>
      <c r="R396">
        <v>0</v>
      </c>
      <c r="S396">
        <v>3</v>
      </c>
      <c r="T396">
        <v>19</v>
      </c>
      <c r="U396">
        <v>177</v>
      </c>
      <c r="V396">
        <v>74</v>
      </c>
      <c r="W396">
        <v>15</v>
      </c>
      <c r="X396">
        <v>4.9333333333333336</v>
      </c>
      <c r="Y396">
        <v>2</v>
      </c>
      <c r="Z396">
        <v>4</v>
      </c>
      <c r="AA396">
        <v>0</v>
      </c>
      <c r="AB396">
        <v>0</v>
      </c>
      <c r="AC396">
        <v>2</v>
      </c>
      <c r="AD396">
        <v>1</v>
      </c>
      <c r="AE396">
        <v>20</v>
      </c>
      <c r="AF396">
        <v>1</v>
      </c>
      <c r="AG396">
        <v>2</v>
      </c>
      <c r="AH396">
        <v>2</v>
      </c>
      <c r="AI396">
        <v>61</v>
      </c>
      <c r="AJ396">
        <v>3</v>
      </c>
      <c r="AK396">
        <v>7</v>
      </c>
      <c r="AL396">
        <v>5</v>
      </c>
      <c r="AM396">
        <v>68</v>
      </c>
      <c r="AN396">
        <v>3</v>
      </c>
      <c r="AO396">
        <v>6</v>
      </c>
      <c r="AP396">
        <v>3</v>
      </c>
      <c r="AQ396">
        <v>24</v>
      </c>
      <c r="AR396">
        <v>2.2598870056497179E-2</v>
      </c>
      <c r="AS396">
        <v>0</v>
      </c>
      <c r="AT396">
        <v>0.1129943502824859</v>
      </c>
      <c r="AU396">
        <v>1.1299435028248589E-2</v>
      </c>
      <c r="AV396">
        <v>0.34463276836158191</v>
      </c>
      <c r="AW396">
        <v>0.38418079096045199</v>
      </c>
      <c r="AX396">
        <v>3.3898305084745763E-2</v>
      </c>
      <c r="AY396">
        <v>0.13559322033898311</v>
      </c>
      <c r="AZ396">
        <v>-0.35028248587570621</v>
      </c>
      <c r="BA396">
        <v>0.33333333333333331</v>
      </c>
      <c r="BB396">
        <v>0.65555555555555556</v>
      </c>
      <c r="BC396">
        <v>0.2</v>
      </c>
      <c r="BD396">
        <v>0.40607344632768361</v>
      </c>
      <c r="BE396">
        <v>4</v>
      </c>
      <c r="BF396">
        <v>0.39874058380414312</v>
      </c>
      <c r="BG396">
        <v>0.45</v>
      </c>
      <c r="BH396" t="s">
        <v>71</v>
      </c>
      <c r="BI396">
        <v>0.4</v>
      </c>
      <c r="BJ396" t="s">
        <v>71</v>
      </c>
      <c r="BK396" s="2">
        <f t="shared" si="13"/>
        <v>4.9999999999999989E-2</v>
      </c>
      <c r="BL396" t="b">
        <f t="shared" si="14"/>
        <v>1</v>
      </c>
    </row>
    <row r="397" spans="1:64" x14ac:dyDescent="0.35">
      <c r="A397" t="s">
        <v>1117</v>
      </c>
      <c r="B397" t="s">
        <v>1118</v>
      </c>
      <c r="C397">
        <v>2018</v>
      </c>
      <c r="D397" t="s">
        <v>1119</v>
      </c>
      <c r="E397" t="s">
        <v>1120</v>
      </c>
      <c r="F397" t="s">
        <v>66</v>
      </c>
      <c r="G397" t="s">
        <v>101</v>
      </c>
      <c r="H397" t="s">
        <v>184</v>
      </c>
      <c r="I397" t="s">
        <v>523</v>
      </c>
      <c r="J397" t="s">
        <v>70</v>
      </c>
      <c r="L397">
        <v>1</v>
      </c>
      <c r="M397" t="b">
        <v>0</v>
      </c>
      <c r="N397">
        <v>1</v>
      </c>
      <c r="O397">
        <v>4</v>
      </c>
      <c r="P397">
        <v>10</v>
      </c>
      <c r="Q397">
        <v>6</v>
      </c>
      <c r="R397">
        <v>4</v>
      </c>
      <c r="S397">
        <v>6</v>
      </c>
      <c r="T397">
        <v>37</v>
      </c>
      <c r="U397">
        <v>854</v>
      </c>
      <c r="V397">
        <v>158</v>
      </c>
      <c r="W397">
        <v>27</v>
      </c>
      <c r="X397">
        <v>5.8518518518518521</v>
      </c>
      <c r="Y397">
        <v>5</v>
      </c>
      <c r="Z397">
        <v>178</v>
      </c>
      <c r="AA397">
        <v>2</v>
      </c>
      <c r="AB397">
        <v>54</v>
      </c>
      <c r="AC397">
        <v>6</v>
      </c>
      <c r="AD397">
        <v>6</v>
      </c>
      <c r="AE397">
        <v>155</v>
      </c>
      <c r="AF397">
        <v>1</v>
      </c>
      <c r="AG397">
        <v>1</v>
      </c>
      <c r="AH397">
        <v>1</v>
      </c>
      <c r="AI397">
        <v>14</v>
      </c>
      <c r="AJ397">
        <v>1</v>
      </c>
      <c r="AK397">
        <v>15</v>
      </c>
      <c r="AL397">
        <v>2</v>
      </c>
      <c r="AM397">
        <v>29</v>
      </c>
      <c r="AN397">
        <v>8</v>
      </c>
      <c r="AO397">
        <v>233</v>
      </c>
      <c r="AP397">
        <v>13</v>
      </c>
      <c r="AQ397">
        <v>387</v>
      </c>
      <c r="AR397">
        <v>0.20843091334894609</v>
      </c>
      <c r="AS397">
        <v>6.323185011709602E-2</v>
      </c>
      <c r="AT397">
        <v>0.18149882903981271</v>
      </c>
      <c r="AU397">
        <v>1.17096018735363E-3</v>
      </c>
      <c r="AV397">
        <v>1.6393442622950821E-2</v>
      </c>
      <c r="AW397">
        <v>3.3957845433255272E-2</v>
      </c>
      <c r="AX397">
        <v>0.27283372365339581</v>
      </c>
      <c r="AY397">
        <v>0.4531615925058548</v>
      </c>
      <c r="AZ397">
        <v>0.2388758782201405</v>
      </c>
      <c r="BA397">
        <v>0.83333333333333337</v>
      </c>
      <c r="BB397">
        <v>0.80864197530864201</v>
      </c>
      <c r="BC397">
        <v>0.8666666666666667</v>
      </c>
      <c r="BD397">
        <v>0.77429742388758782</v>
      </c>
      <c r="BE397">
        <v>4</v>
      </c>
      <c r="BF397">
        <v>0.82073484979905742</v>
      </c>
      <c r="BG397">
        <v>0.84</v>
      </c>
      <c r="BH397" t="s">
        <v>164</v>
      </c>
      <c r="BI397">
        <v>0.82</v>
      </c>
      <c r="BJ397" t="s">
        <v>164</v>
      </c>
      <c r="BK397" s="2">
        <f t="shared" si="13"/>
        <v>2.0000000000000018E-2</v>
      </c>
      <c r="BL397" t="b">
        <f t="shared" si="14"/>
        <v>1</v>
      </c>
    </row>
    <row r="398" spans="1:64" x14ac:dyDescent="0.35">
      <c r="A398" t="s">
        <v>1121</v>
      </c>
      <c r="B398" t="s">
        <v>1122</v>
      </c>
      <c r="C398">
        <v>2017</v>
      </c>
      <c r="D398" t="s">
        <v>1123</v>
      </c>
      <c r="E398" t="s">
        <v>1124</v>
      </c>
      <c r="F398" t="s">
        <v>66</v>
      </c>
      <c r="G398" t="s">
        <v>101</v>
      </c>
      <c r="H398" t="s">
        <v>184</v>
      </c>
      <c r="I398" t="s">
        <v>1125</v>
      </c>
      <c r="J398" t="s">
        <v>70</v>
      </c>
      <c r="L398">
        <v>1</v>
      </c>
      <c r="M398" t="b">
        <v>0</v>
      </c>
      <c r="N398">
        <v>1</v>
      </c>
      <c r="O398">
        <v>1</v>
      </c>
      <c r="P398">
        <v>11</v>
      </c>
      <c r="Q398">
        <v>3</v>
      </c>
      <c r="R398">
        <v>8</v>
      </c>
      <c r="S398">
        <v>5</v>
      </c>
      <c r="T398">
        <v>37</v>
      </c>
      <c r="U398">
        <v>479</v>
      </c>
      <c r="V398">
        <v>158</v>
      </c>
      <c r="W398">
        <v>27</v>
      </c>
      <c r="X398">
        <v>5.8518518518518521</v>
      </c>
      <c r="Y398">
        <v>5</v>
      </c>
      <c r="Z398">
        <v>61</v>
      </c>
      <c r="AA398">
        <v>0</v>
      </c>
      <c r="AB398">
        <v>0</v>
      </c>
      <c r="AC398">
        <v>5</v>
      </c>
      <c r="AD398">
        <v>5</v>
      </c>
      <c r="AE398">
        <v>83</v>
      </c>
      <c r="AF398">
        <v>1</v>
      </c>
      <c r="AG398">
        <v>39</v>
      </c>
      <c r="AH398">
        <v>3</v>
      </c>
      <c r="AI398">
        <v>6</v>
      </c>
      <c r="AJ398">
        <v>2</v>
      </c>
      <c r="AK398">
        <v>7</v>
      </c>
      <c r="AL398">
        <v>6</v>
      </c>
      <c r="AM398">
        <v>27</v>
      </c>
      <c r="AN398">
        <v>6</v>
      </c>
      <c r="AO398">
        <v>100</v>
      </c>
      <c r="AP398">
        <v>10</v>
      </c>
      <c r="AQ398">
        <v>144</v>
      </c>
      <c r="AR398">
        <v>0.12734864300626311</v>
      </c>
      <c r="AS398">
        <v>0</v>
      </c>
      <c r="AT398">
        <v>0.1732776617954071</v>
      </c>
      <c r="AU398">
        <v>8.1419624217118999E-2</v>
      </c>
      <c r="AV398">
        <v>1.252609603340292E-2</v>
      </c>
      <c r="AW398">
        <v>5.6367432150313153E-2</v>
      </c>
      <c r="AX398">
        <v>0.20876826722338199</v>
      </c>
      <c r="AY398">
        <v>0.30062630480167007</v>
      </c>
      <c r="AZ398">
        <v>0.1524008350730689</v>
      </c>
      <c r="BA398">
        <v>0.66666666666666663</v>
      </c>
      <c r="BB398">
        <v>0.80864197530864201</v>
      </c>
      <c r="BC398">
        <v>0.66666666666666663</v>
      </c>
      <c r="BD398">
        <v>0.72025052192066807</v>
      </c>
      <c r="BE398">
        <v>4</v>
      </c>
      <c r="BF398">
        <v>0.71555645764066078</v>
      </c>
      <c r="BG398">
        <v>0.73</v>
      </c>
      <c r="BH398" t="s">
        <v>86</v>
      </c>
      <c r="BI398">
        <v>0.72</v>
      </c>
      <c r="BJ398" t="s">
        <v>86</v>
      </c>
      <c r="BK398" s="2">
        <f t="shared" si="13"/>
        <v>1.0000000000000009E-2</v>
      </c>
      <c r="BL398" t="b">
        <f t="shared" si="14"/>
        <v>1</v>
      </c>
    </row>
    <row r="399" spans="1:64" x14ac:dyDescent="0.35">
      <c r="A399" t="s">
        <v>1126</v>
      </c>
      <c r="B399" t="s">
        <v>1122</v>
      </c>
      <c r="C399">
        <v>2021</v>
      </c>
      <c r="D399" t="s">
        <v>1123</v>
      </c>
      <c r="E399" t="s">
        <v>1124</v>
      </c>
      <c r="F399" t="s">
        <v>66</v>
      </c>
      <c r="G399" t="s">
        <v>101</v>
      </c>
      <c r="H399" t="s">
        <v>184</v>
      </c>
      <c r="I399" t="s">
        <v>1125</v>
      </c>
      <c r="J399" t="s">
        <v>70</v>
      </c>
      <c r="L399">
        <v>1</v>
      </c>
      <c r="M399" t="b">
        <v>0</v>
      </c>
      <c r="N399">
        <v>1</v>
      </c>
      <c r="O399">
        <v>2</v>
      </c>
      <c r="P399">
        <v>8</v>
      </c>
      <c r="Q399">
        <v>0</v>
      </c>
      <c r="R399">
        <v>8</v>
      </c>
      <c r="S399">
        <v>6</v>
      </c>
      <c r="T399">
        <v>22</v>
      </c>
      <c r="U399">
        <v>513</v>
      </c>
      <c r="V399">
        <v>124</v>
      </c>
      <c r="W399">
        <v>21</v>
      </c>
      <c r="X399">
        <v>5.9047619047619051</v>
      </c>
      <c r="Y399">
        <v>3</v>
      </c>
      <c r="Z399">
        <v>44</v>
      </c>
      <c r="AA399">
        <v>1</v>
      </c>
      <c r="AB399">
        <v>5</v>
      </c>
      <c r="AC399">
        <v>1</v>
      </c>
      <c r="AD399">
        <v>1</v>
      </c>
      <c r="AE399">
        <v>5</v>
      </c>
      <c r="AF399">
        <v>1</v>
      </c>
      <c r="AG399">
        <v>168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5</v>
      </c>
      <c r="AO399">
        <v>217</v>
      </c>
      <c r="AP399">
        <v>5</v>
      </c>
      <c r="AQ399">
        <v>54</v>
      </c>
      <c r="AR399">
        <v>8.5769980506822607E-2</v>
      </c>
      <c r="AS399">
        <v>9.7465886939571145E-3</v>
      </c>
      <c r="AT399">
        <v>9.7465886939571145E-3</v>
      </c>
      <c r="AU399">
        <v>0.32748538011695899</v>
      </c>
      <c r="AV399">
        <v>0</v>
      </c>
      <c r="AW399">
        <v>0</v>
      </c>
      <c r="AX399">
        <v>0.42300194931773882</v>
      </c>
      <c r="AY399">
        <v>0.10526315789473679</v>
      </c>
      <c r="AZ399">
        <v>0.42300194931773882</v>
      </c>
      <c r="BA399">
        <v>0.83333333333333337</v>
      </c>
      <c r="BB399">
        <v>0.81746031746031755</v>
      </c>
      <c r="BC399">
        <v>0.33333333333333331</v>
      </c>
      <c r="BD399">
        <v>0.88937621832358671</v>
      </c>
      <c r="BE399">
        <v>4</v>
      </c>
      <c r="BF399">
        <v>0.71837580061264272</v>
      </c>
      <c r="BG399">
        <v>0.72</v>
      </c>
      <c r="BH399" t="s">
        <v>86</v>
      </c>
      <c r="BI399">
        <v>0.72</v>
      </c>
      <c r="BJ399" t="s">
        <v>86</v>
      </c>
      <c r="BK399" s="2">
        <f t="shared" si="13"/>
        <v>0</v>
      </c>
      <c r="BL399" t="b">
        <f t="shared" si="14"/>
        <v>1</v>
      </c>
    </row>
    <row r="400" spans="1:64" x14ac:dyDescent="0.35">
      <c r="A400" t="s">
        <v>1127</v>
      </c>
      <c r="B400" t="s">
        <v>1128</v>
      </c>
      <c r="C400">
        <v>2022</v>
      </c>
      <c r="D400" t="s">
        <v>1129</v>
      </c>
      <c r="E400" t="s">
        <v>1130</v>
      </c>
      <c r="F400" t="s">
        <v>66</v>
      </c>
      <c r="G400" t="s">
        <v>101</v>
      </c>
      <c r="H400" t="s">
        <v>184</v>
      </c>
      <c r="I400" t="s">
        <v>501</v>
      </c>
      <c r="J400" t="s">
        <v>70</v>
      </c>
      <c r="L400">
        <v>1</v>
      </c>
      <c r="M400" t="b">
        <v>0</v>
      </c>
      <c r="N400">
        <v>1</v>
      </c>
      <c r="O400">
        <v>2</v>
      </c>
      <c r="P400">
        <v>9</v>
      </c>
      <c r="Q400">
        <v>0</v>
      </c>
      <c r="R400">
        <v>9</v>
      </c>
      <c r="S400">
        <v>6</v>
      </c>
      <c r="T400">
        <v>34</v>
      </c>
      <c r="U400">
        <v>607</v>
      </c>
      <c r="V400">
        <v>141</v>
      </c>
      <c r="W400">
        <v>24</v>
      </c>
      <c r="X400">
        <v>5.875</v>
      </c>
      <c r="Y400">
        <v>5</v>
      </c>
      <c r="Z400">
        <v>158</v>
      </c>
      <c r="AA400">
        <v>1</v>
      </c>
      <c r="AB400">
        <v>9</v>
      </c>
      <c r="AC400">
        <v>5</v>
      </c>
      <c r="AD400">
        <v>4</v>
      </c>
      <c r="AE400">
        <v>75</v>
      </c>
      <c r="AF400">
        <v>3</v>
      </c>
      <c r="AG400">
        <v>65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9</v>
      </c>
      <c r="AO400">
        <v>232</v>
      </c>
      <c r="AP400">
        <v>10</v>
      </c>
      <c r="AQ400">
        <v>242</v>
      </c>
      <c r="AR400">
        <v>0.26029654036243821</v>
      </c>
      <c r="AS400">
        <v>1.4827018121911039E-2</v>
      </c>
      <c r="AT400">
        <v>0.1235584843492586</v>
      </c>
      <c r="AU400">
        <v>0.1070840197693575</v>
      </c>
      <c r="AV400">
        <v>0</v>
      </c>
      <c r="AW400">
        <v>0</v>
      </c>
      <c r="AX400">
        <v>0.38220757825370683</v>
      </c>
      <c r="AY400">
        <v>0.39868204283360792</v>
      </c>
      <c r="AZ400">
        <v>0.38220757825370683</v>
      </c>
      <c r="BA400">
        <v>0.83333333333333337</v>
      </c>
      <c r="BB400">
        <v>0.8125</v>
      </c>
      <c r="BC400">
        <v>0.66666666666666663</v>
      </c>
      <c r="BD400">
        <v>0.86387973640856675</v>
      </c>
      <c r="BE400">
        <v>4</v>
      </c>
      <c r="BF400">
        <v>0.79409493410214171</v>
      </c>
      <c r="BG400">
        <v>0.81</v>
      </c>
      <c r="BH400" t="s">
        <v>164</v>
      </c>
      <c r="BI400">
        <v>0.79</v>
      </c>
      <c r="BJ400" t="s">
        <v>86</v>
      </c>
      <c r="BK400" s="2">
        <f t="shared" si="13"/>
        <v>2.0000000000000018E-2</v>
      </c>
      <c r="BL400" t="b">
        <f t="shared" si="14"/>
        <v>0</v>
      </c>
    </row>
    <row r="401" spans="1:64" x14ac:dyDescent="0.35">
      <c r="A401" t="s">
        <v>1131</v>
      </c>
      <c r="B401" t="s">
        <v>1132</v>
      </c>
      <c r="C401">
        <v>2021</v>
      </c>
      <c r="D401" t="s">
        <v>1133</v>
      </c>
      <c r="E401" t="s">
        <v>1134</v>
      </c>
      <c r="F401" t="s">
        <v>66</v>
      </c>
      <c r="G401" t="s">
        <v>101</v>
      </c>
      <c r="H401" t="s">
        <v>184</v>
      </c>
      <c r="I401" t="s">
        <v>1135</v>
      </c>
      <c r="J401" t="s">
        <v>70</v>
      </c>
      <c r="L401">
        <v>1</v>
      </c>
      <c r="M401" t="b">
        <v>0</v>
      </c>
      <c r="N401">
        <v>1</v>
      </c>
      <c r="O401">
        <v>1</v>
      </c>
      <c r="P401">
        <v>5</v>
      </c>
      <c r="Q401">
        <v>2</v>
      </c>
      <c r="R401">
        <v>3</v>
      </c>
      <c r="S401">
        <v>4</v>
      </c>
      <c r="T401">
        <v>26</v>
      </c>
      <c r="U401">
        <v>445</v>
      </c>
      <c r="V401">
        <v>123</v>
      </c>
      <c r="W401">
        <v>21</v>
      </c>
      <c r="X401">
        <v>5.8571428571428568</v>
      </c>
      <c r="Y401">
        <v>4</v>
      </c>
      <c r="Z401">
        <v>127</v>
      </c>
      <c r="AA401">
        <v>0</v>
      </c>
      <c r="AB401">
        <v>0</v>
      </c>
      <c r="AC401">
        <v>5</v>
      </c>
      <c r="AD401">
        <v>5</v>
      </c>
      <c r="AE401">
        <v>105</v>
      </c>
      <c r="AF401">
        <v>2</v>
      </c>
      <c r="AG401">
        <v>46</v>
      </c>
      <c r="AH401">
        <v>0</v>
      </c>
      <c r="AI401">
        <v>0</v>
      </c>
      <c r="AJ401">
        <v>1</v>
      </c>
      <c r="AK401">
        <v>22</v>
      </c>
      <c r="AL401">
        <v>1</v>
      </c>
      <c r="AM401">
        <v>22</v>
      </c>
      <c r="AN401">
        <v>6</v>
      </c>
      <c r="AO401">
        <v>173</v>
      </c>
      <c r="AP401">
        <v>9</v>
      </c>
      <c r="AQ401">
        <v>232</v>
      </c>
      <c r="AR401">
        <v>0.28539325842696628</v>
      </c>
      <c r="AS401">
        <v>0</v>
      </c>
      <c r="AT401">
        <v>0.2359550561797753</v>
      </c>
      <c r="AU401">
        <v>0.1033707865168539</v>
      </c>
      <c r="AV401">
        <v>0</v>
      </c>
      <c r="AW401">
        <v>4.9438202247191011E-2</v>
      </c>
      <c r="AX401">
        <v>0.38876404494382022</v>
      </c>
      <c r="AY401">
        <v>0.52134831460674158</v>
      </c>
      <c r="AZ401">
        <v>0.33932584269662919</v>
      </c>
      <c r="BA401">
        <v>0.5</v>
      </c>
      <c r="BB401">
        <v>0.80952380952380942</v>
      </c>
      <c r="BC401">
        <v>0.6</v>
      </c>
      <c r="BD401">
        <v>0.83707865168539319</v>
      </c>
      <c r="BE401">
        <v>4</v>
      </c>
      <c r="BF401">
        <v>0.68665061530230065</v>
      </c>
      <c r="BG401">
        <v>0.69</v>
      </c>
      <c r="BH401" t="s">
        <v>86</v>
      </c>
      <c r="BI401">
        <v>0.69</v>
      </c>
      <c r="BJ401" t="s">
        <v>86</v>
      </c>
      <c r="BK401" s="2">
        <f t="shared" si="13"/>
        <v>0</v>
      </c>
      <c r="BL401" t="b">
        <f t="shared" si="14"/>
        <v>1</v>
      </c>
    </row>
    <row r="402" spans="1:64" x14ac:dyDescent="0.35">
      <c r="A402" t="s">
        <v>1136</v>
      </c>
      <c r="B402" t="s">
        <v>1137</v>
      </c>
      <c r="C402">
        <v>2020</v>
      </c>
      <c r="D402" t="s">
        <v>1138</v>
      </c>
      <c r="E402" t="s">
        <v>1139</v>
      </c>
      <c r="F402" t="s">
        <v>66</v>
      </c>
      <c r="G402" t="s">
        <v>101</v>
      </c>
      <c r="H402" t="s">
        <v>184</v>
      </c>
      <c r="I402" t="s">
        <v>1140</v>
      </c>
      <c r="J402" t="s">
        <v>70</v>
      </c>
      <c r="L402">
        <v>1</v>
      </c>
      <c r="M402" t="b">
        <v>0</v>
      </c>
      <c r="N402">
        <v>1</v>
      </c>
      <c r="O402">
        <v>3</v>
      </c>
      <c r="P402">
        <v>8</v>
      </c>
      <c r="Q402">
        <v>6</v>
      </c>
      <c r="R402">
        <v>2</v>
      </c>
      <c r="S402">
        <v>5</v>
      </c>
      <c r="T402">
        <v>37</v>
      </c>
      <c r="U402">
        <v>788</v>
      </c>
      <c r="V402">
        <v>106</v>
      </c>
      <c r="W402">
        <v>21</v>
      </c>
      <c r="X402">
        <v>5.0476190476190466</v>
      </c>
      <c r="Y402">
        <v>6</v>
      </c>
      <c r="Z402">
        <v>115</v>
      </c>
      <c r="AA402">
        <v>0</v>
      </c>
      <c r="AB402">
        <v>0</v>
      </c>
      <c r="AC402">
        <v>5</v>
      </c>
      <c r="AD402">
        <v>5</v>
      </c>
      <c r="AE402">
        <v>149</v>
      </c>
      <c r="AF402">
        <v>0</v>
      </c>
      <c r="AG402">
        <v>0</v>
      </c>
      <c r="AH402">
        <v>1</v>
      </c>
      <c r="AI402">
        <v>14</v>
      </c>
      <c r="AJ402">
        <v>4</v>
      </c>
      <c r="AK402">
        <v>27</v>
      </c>
      <c r="AL402">
        <v>5</v>
      </c>
      <c r="AM402">
        <v>41</v>
      </c>
      <c r="AN402">
        <v>6</v>
      </c>
      <c r="AO402">
        <v>115</v>
      </c>
      <c r="AP402">
        <v>11</v>
      </c>
      <c r="AQ402">
        <v>264</v>
      </c>
      <c r="AR402">
        <v>0.14593908629441621</v>
      </c>
      <c r="AS402">
        <v>0</v>
      </c>
      <c r="AT402">
        <v>0.18908629441624369</v>
      </c>
      <c r="AU402">
        <v>0</v>
      </c>
      <c r="AV402">
        <v>1.7766497461928939E-2</v>
      </c>
      <c r="AW402">
        <v>5.2030456852791881E-2</v>
      </c>
      <c r="AX402">
        <v>0.14593908629441621</v>
      </c>
      <c r="AY402">
        <v>0.3350253807106599</v>
      </c>
      <c r="AZ402">
        <v>9.3908629441624356E-2</v>
      </c>
      <c r="BA402">
        <v>0.66666666666666663</v>
      </c>
      <c r="BB402">
        <v>0.67460317460317443</v>
      </c>
      <c r="BC402">
        <v>0.73333333333333328</v>
      </c>
      <c r="BD402">
        <v>0.68369289340101513</v>
      </c>
      <c r="BE402">
        <v>4</v>
      </c>
      <c r="BF402">
        <v>0.68957401700104737</v>
      </c>
      <c r="BG402">
        <v>0.69</v>
      </c>
      <c r="BH402" t="s">
        <v>86</v>
      </c>
      <c r="BI402">
        <v>0.69</v>
      </c>
      <c r="BJ402" t="s">
        <v>86</v>
      </c>
      <c r="BK402" s="2">
        <f t="shared" si="13"/>
        <v>0</v>
      </c>
      <c r="BL402" t="b">
        <f t="shared" si="14"/>
        <v>1</v>
      </c>
    </row>
    <row r="403" spans="1:64" x14ac:dyDescent="0.35">
      <c r="A403" t="s">
        <v>1141</v>
      </c>
      <c r="B403" t="s">
        <v>1142</v>
      </c>
      <c r="C403">
        <v>2017</v>
      </c>
      <c r="D403" t="s">
        <v>1143</v>
      </c>
      <c r="E403" t="s">
        <v>1144</v>
      </c>
      <c r="F403" t="s">
        <v>66</v>
      </c>
      <c r="G403" t="s">
        <v>101</v>
      </c>
      <c r="H403" t="s">
        <v>184</v>
      </c>
      <c r="I403" t="s">
        <v>1145</v>
      </c>
      <c r="J403" t="s">
        <v>70</v>
      </c>
      <c r="L403">
        <v>1</v>
      </c>
      <c r="M403" t="b">
        <v>0</v>
      </c>
      <c r="N403">
        <v>1</v>
      </c>
      <c r="O403">
        <v>4</v>
      </c>
      <c r="P403">
        <v>10</v>
      </c>
      <c r="Q403">
        <v>3</v>
      </c>
      <c r="R403">
        <v>7</v>
      </c>
      <c r="S403">
        <v>6</v>
      </c>
      <c r="T403">
        <v>27</v>
      </c>
      <c r="U403">
        <v>745</v>
      </c>
      <c r="V403">
        <v>119</v>
      </c>
      <c r="W403">
        <v>21</v>
      </c>
      <c r="X403">
        <v>5.666666666666667</v>
      </c>
      <c r="Y403">
        <v>6</v>
      </c>
      <c r="Z403">
        <v>175</v>
      </c>
      <c r="AA403">
        <v>1</v>
      </c>
      <c r="AB403">
        <v>19</v>
      </c>
      <c r="AC403">
        <v>3</v>
      </c>
      <c r="AD403">
        <v>3</v>
      </c>
      <c r="AE403">
        <v>83</v>
      </c>
      <c r="AF403">
        <v>0</v>
      </c>
      <c r="AG403">
        <v>0</v>
      </c>
      <c r="AH403">
        <v>2</v>
      </c>
      <c r="AI403">
        <v>55</v>
      </c>
      <c r="AJ403">
        <v>1</v>
      </c>
      <c r="AK403">
        <v>4</v>
      </c>
      <c r="AL403">
        <v>4</v>
      </c>
      <c r="AM403">
        <v>85</v>
      </c>
      <c r="AN403">
        <v>7</v>
      </c>
      <c r="AO403">
        <v>194</v>
      </c>
      <c r="AP403">
        <v>10</v>
      </c>
      <c r="AQ403">
        <v>277</v>
      </c>
      <c r="AR403">
        <v>0.2348993288590604</v>
      </c>
      <c r="AS403">
        <v>2.5503355704697989E-2</v>
      </c>
      <c r="AT403">
        <v>0.1114093959731544</v>
      </c>
      <c r="AU403">
        <v>0</v>
      </c>
      <c r="AV403">
        <v>7.3825503355704702E-2</v>
      </c>
      <c r="AW403">
        <v>0.1140939597315436</v>
      </c>
      <c r="AX403">
        <v>0.26040268456375842</v>
      </c>
      <c r="AY403">
        <v>0.37181208053691273</v>
      </c>
      <c r="AZ403">
        <v>0.14630872483221469</v>
      </c>
      <c r="BA403">
        <v>0.83333333333333337</v>
      </c>
      <c r="BB403">
        <v>0.77777777777777779</v>
      </c>
      <c r="BC403">
        <v>0.66666666666666663</v>
      </c>
      <c r="BD403">
        <v>0.71644295302013405</v>
      </c>
      <c r="BE403">
        <v>4</v>
      </c>
      <c r="BF403">
        <v>0.74855518269947796</v>
      </c>
      <c r="BG403">
        <v>0.76</v>
      </c>
      <c r="BH403" t="s">
        <v>86</v>
      </c>
      <c r="BI403">
        <v>0.75</v>
      </c>
      <c r="BJ403" t="s">
        <v>86</v>
      </c>
      <c r="BK403" s="2">
        <f t="shared" si="13"/>
        <v>1.0000000000000009E-2</v>
      </c>
      <c r="BL403" t="b">
        <f t="shared" si="14"/>
        <v>1</v>
      </c>
    </row>
    <row r="404" spans="1:64" x14ac:dyDescent="0.35">
      <c r="A404" t="s">
        <v>1146</v>
      </c>
      <c r="B404" t="s">
        <v>1142</v>
      </c>
      <c r="C404">
        <v>2020</v>
      </c>
      <c r="D404" t="s">
        <v>1143</v>
      </c>
      <c r="E404" t="s">
        <v>1144</v>
      </c>
      <c r="F404" t="s">
        <v>66</v>
      </c>
      <c r="G404" t="s">
        <v>101</v>
      </c>
      <c r="H404" t="s">
        <v>184</v>
      </c>
      <c r="I404" t="s">
        <v>1145</v>
      </c>
      <c r="J404" t="s">
        <v>70</v>
      </c>
      <c r="L404">
        <v>1</v>
      </c>
      <c r="M404" t="b">
        <v>0</v>
      </c>
      <c r="N404">
        <v>1</v>
      </c>
      <c r="O404">
        <v>4</v>
      </c>
      <c r="P404">
        <v>13</v>
      </c>
      <c r="Q404">
        <v>2</v>
      </c>
      <c r="R404">
        <v>11</v>
      </c>
      <c r="S404">
        <v>7</v>
      </c>
      <c r="T404">
        <v>31</v>
      </c>
      <c r="U404">
        <v>1419</v>
      </c>
      <c r="V404">
        <v>143</v>
      </c>
      <c r="W404">
        <v>24</v>
      </c>
      <c r="X404">
        <v>5.958333333333333</v>
      </c>
      <c r="Y404">
        <v>6</v>
      </c>
      <c r="Z404">
        <v>288</v>
      </c>
      <c r="AA404">
        <v>3</v>
      </c>
      <c r="AB404">
        <v>243</v>
      </c>
      <c r="AC404">
        <v>5</v>
      </c>
      <c r="AD404">
        <v>5</v>
      </c>
      <c r="AE404">
        <v>260</v>
      </c>
      <c r="AF404">
        <v>0</v>
      </c>
      <c r="AG404">
        <v>0</v>
      </c>
      <c r="AH404">
        <v>2</v>
      </c>
      <c r="AI404">
        <v>206</v>
      </c>
      <c r="AJ404">
        <v>3</v>
      </c>
      <c r="AK404">
        <v>26</v>
      </c>
      <c r="AL404">
        <v>5</v>
      </c>
      <c r="AM404">
        <v>232</v>
      </c>
      <c r="AN404">
        <v>9</v>
      </c>
      <c r="AO404">
        <v>531</v>
      </c>
      <c r="AP404">
        <v>14</v>
      </c>
      <c r="AQ404">
        <v>791</v>
      </c>
      <c r="AR404">
        <v>0.20295983086680761</v>
      </c>
      <c r="AS404">
        <v>0.17124735729386889</v>
      </c>
      <c r="AT404">
        <v>0.18322762508809021</v>
      </c>
      <c r="AU404">
        <v>0</v>
      </c>
      <c r="AV404">
        <v>0.14517265680056379</v>
      </c>
      <c r="AW404">
        <v>0.16349541930937281</v>
      </c>
      <c r="AX404">
        <v>0.37420718816067661</v>
      </c>
      <c r="AY404">
        <v>0.55743481324876676</v>
      </c>
      <c r="AZ404">
        <v>0.21071176885130369</v>
      </c>
      <c r="BA404">
        <v>1</v>
      </c>
      <c r="BB404">
        <v>0.82638888888888884</v>
      </c>
      <c r="BC404">
        <v>0.93333333333333335</v>
      </c>
      <c r="BD404">
        <v>0.75669485553206473</v>
      </c>
      <c r="BE404">
        <v>4</v>
      </c>
      <c r="BF404">
        <v>0.87910426943857178</v>
      </c>
      <c r="BG404">
        <v>0.91</v>
      </c>
      <c r="BH404" t="s">
        <v>164</v>
      </c>
      <c r="BI404">
        <v>0.88</v>
      </c>
      <c r="BJ404" t="s">
        <v>164</v>
      </c>
      <c r="BK404" s="2">
        <f t="shared" si="13"/>
        <v>3.0000000000000027E-2</v>
      </c>
      <c r="BL404" t="b">
        <f t="shared" si="14"/>
        <v>1</v>
      </c>
    </row>
    <row r="405" spans="1:64" x14ac:dyDescent="0.35">
      <c r="A405" t="s">
        <v>1147</v>
      </c>
      <c r="B405" t="s">
        <v>1148</v>
      </c>
      <c r="C405">
        <v>2020</v>
      </c>
      <c r="D405" t="s">
        <v>1149</v>
      </c>
      <c r="E405" t="s">
        <v>1150</v>
      </c>
      <c r="F405" t="s">
        <v>66</v>
      </c>
      <c r="G405" t="s">
        <v>101</v>
      </c>
      <c r="H405" t="s">
        <v>184</v>
      </c>
      <c r="I405" t="s">
        <v>1151</v>
      </c>
      <c r="J405" t="s">
        <v>70</v>
      </c>
      <c r="L405">
        <v>3</v>
      </c>
      <c r="M405" t="b">
        <v>0</v>
      </c>
      <c r="N405">
        <v>1</v>
      </c>
      <c r="O405">
        <v>2</v>
      </c>
      <c r="P405">
        <v>8</v>
      </c>
      <c r="Q405">
        <v>3</v>
      </c>
      <c r="R405">
        <v>5</v>
      </c>
      <c r="S405">
        <v>6</v>
      </c>
      <c r="T405">
        <v>37</v>
      </c>
      <c r="U405">
        <v>481</v>
      </c>
      <c r="V405">
        <v>148</v>
      </c>
      <c r="W405">
        <v>25</v>
      </c>
      <c r="X405">
        <v>5.92</v>
      </c>
      <c r="Y405">
        <v>1</v>
      </c>
      <c r="Z405">
        <v>2</v>
      </c>
      <c r="AA405">
        <v>0</v>
      </c>
      <c r="AB405">
        <v>0</v>
      </c>
      <c r="AC405">
        <v>3</v>
      </c>
      <c r="AD405">
        <v>3</v>
      </c>
      <c r="AE405">
        <v>43</v>
      </c>
      <c r="AF405">
        <v>2</v>
      </c>
      <c r="AG405">
        <v>28</v>
      </c>
      <c r="AH405">
        <v>1</v>
      </c>
      <c r="AI405">
        <v>12</v>
      </c>
      <c r="AJ405">
        <v>0</v>
      </c>
      <c r="AK405">
        <v>0</v>
      </c>
      <c r="AL405">
        <v>1</v>
      </c>
      <c r="AM405">
        <v>12</v>
      </c>
      <c r="AN405">
        <v>3</v>
      </c>
      <c r="AO405">
        <v>30</v>
      </c>
      <c r="AP405">
        <v>4</v>
      </c>
      <c r="AQ405">
        <v>45</v>
      </c>
      <c r="AR405">
        <v>4.1580041580041582E-3</v>
      </c>
      <c r="AS405">
        <v>0</v>
      </c>
      <c r="AT405">
        <v>8.9397089397089402E-2</v>
      </c>
      <c r="AU405">
        <v>5.8212058212058222E-2</v>
      </c>
      <c r="AV405">
        <v>2.4948024948024949E-2</v>
      </c>
      <c r="AW405">
        <v>2.4948024948024949E-2</v>
      </c>
      <c r="AX405">
        <v>6.2370062370062367E-2</v>
      </c>
      <c r="AY405">
        <v>9.355509355509356E-2</v>
      </c>
      <c r="AZ405">
        <v>3.7422037422037417E-2</v>
      </c>
      <c r="BA405">
        <v>0.83333333333333337</v>
      </c>
      <c r="BB405">
        <v>0.82</v>
      </c>
      <c r="BC405">
        <v>0.26666666666666672</v>
      </c>
      <c r="BD405">
        <v>0.64838877338877332</v>
      </c>
      <c r="BE405">
        <v>4</v>
      </c>
      <c r="BF405">
        <v>0.64209719334719328</v>
      </c>
      <c r="BG405">
        <v>0.65</v>
      </c>
      <c r="BH405" t="s">
        <v>86</v>
      </c>
      <c r="BI405">
        <v>0.64</v>
      </c>
      <c r="BJ405" t="s">
        <v>86</v>
      </c>
      <c r="BK405" s="2">
        <f t="shared" si="13"/>
        <v>1.0000000000000009E-2</v>
      </c>
      <c r="BL405" t="b">
        <f t="shared" si="14"/>
        <v>1</v>
      </c>
    </row>
    <row r="406" spans="1:64" x14ac:dyDescent="0.35">
      <c r="A406" t="s">
        <v>1152</v>
      </c>
      <c r="B406" t="s">
        <v>1153</v>
      </c>
      <c r="C406">
        <v>2017</v>
      </c>
      <c r="D406" t="s">
        <v>1154</v>
      </c>
      <c r="E406" t="s">
        <v>1155</v>
      </c>
      <c r="F406" t="s">
        <v>66</v>
      </c>
      <c r="G406" t="s">
        <v>101</v>
      </c>
      <c r="H406" t="s">
        <v>184</v>
      </c>
      <c r="I406" t="s">
        <v>1156</v>
      </c>
      <c r="J406" t="s">
        <v>70</v>
      </c>
      <c r="L406">
        <v>1</v>
      </c>
      <c r="M406" t="b">
        <v>0</v>
      </c>
      <c r="N406">
        <v>1</v>
      </c>
      <c r="O406">
        <v>4</v>
      </c>
      <c r="P406">
        <v>9</v>
      </c>
      <c r="Q406">
        <v>5</v>
      </c>
      <c r="R406">
        <v>4</v>
      </c>
      <c r="S406">
        <v>6</v>
      </c>
      <c r="T406">
        <v>33</v>
      </c>
      <c r="U406">
        <v>684</v>
      </c>
      <c r="V406">
        <v>121</v>
      </c>
      <c r="W406">
        <v>22</v>
      </c>
      <c r="X406">
        <v>5.5</v>
      </c>
      <c r="Y406">
        <v>3</v>
      </c>
      <c r="Z406">
        <v>55</v>
      </c>
      <c r="AA406">
        <v>1</v>
      </c>
      <c r="AB406">
        <v>11</v>
      </c>
      <c r="AC406">
        <v>4</v>
      </c>
      <c r="AD406">
        <v>4</v>
      </c>
      <c r="AE406">
        <v>120</v>
      </c>
      <c r="AF406">
        <v>0</v>
      </c>
      <c r="AG406">
        <v>0</v>
      </c>
      <c r="AH406">
        <v>1</v>
      </c>
      <c r="AI406">
        <v>2</v>
      </c>
      <c r="AJ406">
        <v>1</v>
      </c>
      <c r="AK406">
        <v>2</v>
      </c>
      <c r="AL406">
        <v>2</v>
      </c>
      <c r="AM406">
        <v>4</v>
      </c>
      <c r="AN406">
        <v>4</v>
      </c>
      <c r="AO406">
        <v>66</v>
      </c>
      <c r="AP406">
        <v>8</v>
      </c>
      <c r="AQ406">
        <v>186</v>
      </c>
      <c r="AR406">
        <v>8.0409356725146194E-2</v>
      </c>
      <c r="AS406">
        <v>1.6081871345029239E-2</v>
      </c>
      <c r="AT406">
        <v>0.17543859649122809</v>
      </c>
      <c r="AU406">
        <v>0</v>
      </c>
      <c r="AV406">
        <v>2.9239766081871339E-3</v>
      </c>
      <c r="AW406">
        <v>5.8479532163742687E-3</v>
      </c>
      <c r="AX406">
        <v>9.6491228070175433E-2</v>
      </c>
      <c r="AY406">
        <v>0.27192982456140352</v>
      </c>
      <c r="AZ406">
        <v>9.0643274853801165E-2</v>
      </c>
      <c r="BA406">
        <v>0.83333333333333337</v>
      </c>
      <c r="BB406">
        <v>0.75</v>
      </c>
      <c r="BC406">
        <v>0.53333333333333333</v>
      </c>
      <c r="BD406">
        <v>0.68165204678362568</v>
      </c>
      <c r="BE406">
        <v>4</v>
      </c>
      <c r="BF406">
        <v>0.69957967836257307</v>
      </c>
      <c r="BG406">
        <v>0.7</v>
      </c>
      <c r="BH406" t="s">
        <v>86</v>
      </c>
      <c r="BI406">
        <v>0.7</v>
      </c>
      <c r="BJ406" t="s">
        <v>86</v>
      </c>
      <c r="BK406" s="2">
        <f t="shared" si="13"/>
        <v>0</v>
      </c>
      <c r="BL406" t="b">
        <f t="shared" si="14"/>
        <v>1</v>
      </c>
    </row>
    <row r="407" spans="1:64" x14ac:dyDescent="0.35">
      <c r="A407" t="s">
        <v>1157</v>
      </c>
      <c r="B407" t="s">
        <v>1153</v>
      </c>
      <c r="C407">
        <v>2020</v>
      </c>
      <c r="D407" t="s">
        <v>1154</v>
      </c>
      <c r="E407" t="s">
        <v>1155</v>
      </c>
      <c r="F407" t="s">
        <v>66</v>
      </c>
      <c r="G407" t="s">
        <v>101</v>
      </c>
      <c r="H407" t="s">
        <v>184</v>
      </c>
      <c r="I407" t="s">
        <v>1156</v>
      </c>
      <c r="J407" t="s">
        <v>70</v>
      </c>
      <c r="L407">
        <v>1</v>
      </c>
      <c r="M407" t="b">
        <v>0</v>
      </c>
      <c r="N407">
        <v>3</v>
      </c>
      <c r="O407">
        <v>1</v>
      </c>
      <c r="P407">
        <v>1</v>
      </c>
      <c r="Q407">
        <v>6</v>
      </c>
      <c r="R407">
        <v>-5</v>
      </c>
      <c r="S407">
        <v>3</v>
      </c>
      <c r="T407">
        <v>27</v>
      </c>
      <c r="U407">
        <v>588</v>
      </c>
      <c r="V407">
        <v>62</v>
      </c>
      <c r="W407">
        <v>15</v>
      </c>
      <c r="X407">
        <v>4.1333333333333337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18</v>
      </c>
      <c r="AF407">
        <v>0</v>
      </c>
      <c r="AG407">
        <v>0</v>
      </c>
      <c r="AH407">
        <v>1</v>
      </c>
      <c r="AI407">
        <v>5</v>
      </c>
      <c r="AJ407">
        <v>2</v>
      </c>
      <c r="AK407">
        <v>5</v>
      </c>
      <c r="AL407">
        <v>3</v>
      </c>
      <c r="AM407">
        <v>10</v>
      </c>
      <c r="AN407">
        <v>0</v>
      </c>
      <c r="AO407">
        <v>0</v>
      </c>
      <c r="AP407">
        <v>1</v>
      </c>
      <c r="AQ407">
        <v>18</v>
      </c>
      <c r="AR407">
        <v>0</v>
      </c>
      <c r="AS407">
        <v>0</v>
      </c>
      <c r="AT407">
        <v>3.0612244897959179E-2</v>
      </c>
      <c r="AU407">
        <v>0</v>
      </c>
      <c r="AV407">
        <v>8.5034013605442185E-3</v>
      </c>
      <c r="AW407">
        <v>1.700680272108844E-2</v>
      </c>
      <c r="AX407">
        <v>0</v>
      </c>
      <c r="AY407">
        <v>3.0612244897959179E-2</v>
      </c>
      <c r="AZ407">
        <v>-1.700680272108844E-2</v>
      </c>
      <c r="BA407">
        <v>0.33333333333333331</v>
      </c>
      <c r="BB407">
        <v>0.52222222222222225</v>
      </c>
      <c r="BC407">
        <v>6.6666666666666666E-2</v>
      </c>
      <c r="BD407">
        <v>0.6143707482993197</v>
      </c>
      <c r="BE407">
        <v>4</v>
      </c>
      <c r="BF407">
        <v>0.38414824263038549</v>
      </c>
      <c r="BG407">
        <v>0.39</v>
      </c>
      <c r="BH407" t="s">
        <v>104</v>
      </c>
      <c r="BI407">
        <v>0.38</v>
      </c>
      <c r="BJ407" t="s">
        <v>104</v>
      </c>
      <c r="BK407" s="2">
        <f t="shared" si="13"/>
        <v>1.0000000000000009E-2</v>
      </c>
      <c r="BL407" t="b">
        <f t="shared" si="14"/>
        <v>1</v>
      </c>
    </row>
    <row r="408" spans="1:64" x14ac:dyDescent="0.35">
      <c r="A408" t="s">
        <v>1158</v>
      </c>
      <c r="B408" t="s">
        <v>1159</v>
      </c>
      <c r="C408">
        <v>2017</v>
      </c>
      <c r="D408" t="s">
        <v>1160</v>
      </c>
      <c r="E408" t="s">
        <v>1161</v>
      </c>
      <c r="F408" t="s">
        <v>66</v>
      </c>
      <c r="G408" t="s">
        <v>101</v>
      </c>
      <c r="H408" t="s">
        <v>184</v>
      </c>
      <c r="I408" t="s">
        <v>1162</v>
      </c>
      <c r="J408" t="s">
        <v>70</v>
      </c>
      <c r="L408">
        <v>1</v>
      </c>
      <c r="M408" t="b">
        <v>0</v>
      </c>
      <c r="N408">
        <v>1</v>
      </c>
      <c r="O408">
        <v>1</v>
      </c>
      <c r="P408">
        <v>6</v>
      </c>
      <c r="Q408">
        <v>2</v>
      </c>
      <c r="R408">
        <v>4</v>
      </c>
      <c r="S408">
        <v>5</v>
      </c>
      <c r="T408">
        <v>18</v>
      </c>
      <c r="U408">
        <v>296</v>
      </c>
      <c r="V408">
        <v>68</v>
      </c>
      <c r="W408">
        <v>13</v>
      </c>
      <c r="X408">
        <v>5.2307692307692308</v>
      </c>
      <c r="Y408">
        <v>2</v>
      </c>
      <c r="Z408">
        <v>38</v>
      </c>
      <c r="AA408">
        <v>1</v>
      </c>
      <c r="AB408">
        <v>10</v>
      </c>
      <c r="AC408">
        <v>4</v>
      </c>
      <c r="AD408">
        <v>4</v>
      </c>
      <c r="AE408">
        <v>183</v>
      </c>
      <c r="AF408">
        <v>0</v>
      </c>
      <c r="AG408">
        <v>0</v>
      </c>
      <c r="AH408">
        <v>1</v>
      </c>
      <c r="AI408">
        <v>4</v>
      </c>
      <c r="AJ408">
        <v>0</v>
      </c>
      <c r="AK408">
        <v>0</v>
      </c>
      <c r="AL408">
        <v>1</v>
      </c>
      <c r="AM408">
        <v>4</v>
      </c>
      <c r="AN408">
        <v>3</v>
      </c>
      <c r="AO408">
        <v>48</v>
      </c>
      <c r="AP408">
        <v>7</v>
      </c>
      <c r="AQ408">
        <v>231</v>
      </c>
      <c r="AR408">
        <v>0.1283783783783784</v>
      </c>
      <c r="AS408">
        <v>3.3783783783783793E-2</v>
      </c>
      <c r="AT408">
        <v>0.6182432432432432</v>
      </c>
      <c r="AU408">
        <v>0</v>
      </c>
      <c r="AV408">
        <v>1.3513513513513511E-2</v>
      </c>
      <c r="AW408">
        <v>1.3513513513513511E-2</v>
      </c>
      <c r="AX408">
        <v>0.1621621621621622</v>
      </c>
      <c r="AY408">
        <v>0.78040540540540537</v>
      </c>
      <c r="AZ408">
        <v>0.14864864864864871</v>
      </c>
      <c r="BA408">
        <v>0.66666666666666663</v>
      </c>
      <c r="BB408">
        <v>0.70512820512820518</v>
      </c>
      <c r="BC408">
        <v>0.46666666666666667</v>
      </c>
      <c r="BD408">
        <v>0.71790540540540537</v>
      </c>
      <c r="BE408">
        <v>4</v>
      </c>
      <c r="BF408">
        <v>0.63909173596673596</v>
      </c>
      <c r="BG408">
        <v>0.64</v>
      </c>
      <c r="BH408" t="s">
        <v>86</v>
      </c>
      <c r="BI408">
        <v>0.64</v>
      </c>
      <c r="BJ408" t="s">
        <v>86</v>
      </c>
      <c r="BK408" s="2">
        <f t="shared" si="13"/>
        <v>0</v>
      </c>
      <c r="BL408" t="b">
        <f t="shared" si="14"/>
        <v>1</v>
      </c>
    </row>
    <row r="409" spans="1:64" x14ac:dyDescent="0.35">
      <c r="A409" t="s">
        <v>1163</v>
      </c>
      <c r="B409" t="s">
        <v>1164</v>
      </c>
      <c r="C409">
        <v>2017</v>
      </c>
      <c r="D409" t="s">
        <v>1165</v>
      </c>
      <c r="E409" t="s">
        <v>1166</v>
      </c>
      <c r="F409" t="s">
        <v>66</v>
      </c>
      <c r="G409" t="s">
        <v>101</v>
      </c>
      <c r="H409" t="s">
        <v>184</v>
      </c>
      <c r="I409" t="s">
        <v>1167</v>
      </c>
      <c r="J409" t="s">
        <v>70</v>
      </c>
      <c r="L409">
        <v>1</v>
      </c>
      <c r="M409" t="b">
        <v>0</v>
      </c>
      <c r="N409">
        <v>1</v>
      </c>
      <c r="O409">
        <v>1</v>
      </c>
      <c r="P409">
        <v>6</v>
      </c>
      <c r="Q409">
        <v>2</v>
      </c>
      <c r="R409">
        <v>4</v>
      </c>
      <c r="S409">
        <v>5</v>
      </c>
      <c r="T409">
        <v>23</v>
      </c>
      <c r="U409">
        <v>524</v>
      </c>
      <c r="V409">
        <v>80</v>
      </c>
      <c r="W409">
        <v>15</v>
      </c>
      <c r="X409">
        <v>5.333333333333333</v>
      </c>
      <c r="Y409">
        <v>2</v>
      </c>
      <c r="Z409">
        <v>166</v>
      </c>
      <c r="AA409">
        <v>1</v>
      </c>
      <c r="AB409">
        <v>23</v>
      </c>
      <c r="AC409">
        <v>3</v>
      </c>
      <c r="AD409">
        <v>3</v>
      </c>
      <c r="AE409">
        <v>33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9</v>
      </c>
      <c r="AL409">
        <v>1</v>
      </c>
      <c r="AM409">
        <v>9</v>
      </c>
      <c r="AN409">
        <v>3</v>
      </c>
      <c r="AO409">
        <v>189</v>
      </c>
      <c r="AP409">
        <v>6</v>
      </c>
      <c r="AQ409">
        <v>222</v>
      </c>
      <c r="AR409">
        <v>0.31679389312977102</v>
      </c>
      <c r="AS409">
        <v>4.3893129770992363E-2</v>
      </c>
      <c r="AT409">
        <v>6.2977099236641215E-2</v>
      </c>
      <c r="AU409">
        <v>0</v>
      </c>
      <c r="AV409">
        <v>0</v>
      </c>
      <c r="AW409">
        <v>1.717557251908397E-2</v>
      </c>
      <c r="AX409">
        <v>0.36068702290076338</v>
      </c>
      <c r="AY409">
        <v>0.42366412213740462</v>
      </c>
      <c r="AZ409">
        <v>0.34351145038167941</v>
      </c>
      <c r="BA409">
        <v>0.66666666666666663</v>
      </c>
      <c r="BB409">
        <v>0.72222222222222221</v>
      </c>
      <c r="BC409">
        <v>0.4</v>
      </c>
      <c r="BD409">
        <v>0.83969465648854957</v>
      </c>
      <c r="BE409">
        <v>4</v>
      </c>
      <c r="BF409">
        <v>0.65714588634435955</v>
      </c>
      <c r="BG409">
        <v>0.66</v>
      </c>
      <c r="BH409" t="s">
        <v>86</v>
      </c>
      <c r="BI409">
        <v>0.66</v>
      </c>
      <c r="BJ409" t="s">
        <v>86</v>
      </c>
      <c r="BK409" s="2">
        <f t="shared" si="13"/>
        <v>0</v>
      </c>
      <c r="BL409" t="b">
        <f t="shared" si="14"/>
        <v>1</v>
      </c>
    </row>
    <row r="410" spans="1:64" x14ac:dyDescent="0.35">
      <c r="A410" t="s">
        <v>1168</v>
      </c>
      <c r="B410" t="s">
        <v>1164</v>
      </c>
      <c r="C410">
        <v>2022</v>
      </c>
      <c r="D410" t="s">
        <v>1165</v>
      </c>
      <c r="E410" t="s">
        <v>1166</v>
      </c>
      <c r="F410" t="s">
        <v>66</v>
      </c>
      <c r="G410" t="s">
        <v>101</v>
      </c>
      <c r="H410" t="s">
        <v>184</v>
      </c>
      <c r="I410" t="s">
        <v>1167</v>
      </c>
      <c r="J410" t="s">
        <v>70</v>
      </c>
      <c r="L410">
        <v>1</v>
      </c>
      <c r="M410" t="b">
        <v>0</v>
      </c>
      <c r="N410">
        <v>3</v>
      </c>
      <c r="O410">
        <v>1</v>
      </c>
      <c r="P410">
        <v>3</v>
      </c>
      <c r="Q410">
        <v>3</v>
      </c>
      <c r="R410">
        <v>0</v>
      </c>
      <c r="S410">
        <v>4</v>
      </c>
      <c r="T410">
        <v>30</v>
      </c>
      <c r="U410">
        <v>453</v>
      </c>
      <c r="V410">
        <v>94</v>
      </c>
      <c r="W410">
        <v>20</v>
      </c>
      <c r="X410">
        <v>4.7</v>
      </c>
      <c r="Y410">
        <v>2</v>
      </c>
      <c r="Z410">
        <v>117</v>
      </c>
      <c r="AA410">
        <v>0</v>
      </c>
      <c r="AB410">
        <v>0</v>
      </c>
      <c r="AC410">
        <v>3</v>
      </c>
      <c r="AD410">
        <v>3</v>
      </c>
      <c r="AE410">
        <v>53</v>
      </c>
      <c r="AF410">
        <v>3</v>
      </c>
      <c r="AG410">
        <v>14</v>
      </c>
      <c r="AH410">
        <v>2</v>
      </c>
      <c r="AI410">
        <v>44</v>
      </c>
      <c r="AJ410">
        <v>2</v>
      </c>
      <c r="AK410">
        <v>27</v>
      </c>
      <c r="AL410">
        <v>4</v>
      </c>
      <c r="AM410">
        <v>71</v>
      </c>
      <c r="AN410">
        <v>5</v>
      </c>
      <c r="AO410">
        <v>131</v>
      </c>
      <c r="AP410">
        <v>5</v>
      </c>
      <c r="AQ410">
        <v>170</v>
      </c>
      <c r="AR410">
        <v>0.25827814569536423</v>
      </c>
      <c r="AS410">
        <v>0</v>
      </c>
      <c r="AT410">
        <v>0.1169977924944812</v>
      </c>
      <c r="AU410">
        <v>3.0905077262693158E-2</v>
      </c>
      <c r="AV410">
        <v>9.713024282560706E-2</v>
      </c>
      <c r="AW410">
        <v>0.1567328918322296</v>
      </c>
      <c r="AX410">
        <v>0.28918322295805737</v>
      </c>
      <c r="AY410">
        <v>0.37527593818984539</v>
      </c>
      <c r="AZ410">
        <v>0.1324503311258278</v>
      </c>
      <c r="BA410">
        <v>0.5</v>
      </c>
      <c r="BB410">
        <v>0.6166666666666667</v>
      </c>
      <c r="BC410">
        <v>0.33333333333333331</v>
      </c>
      <c r="BD410">
        <v>0.70778145695364236</v>
      </c>
      <c r="BE410">
        <v>4</v>
      </c>
      <c r="BF410">
        <v>0.53944536423841061</v>
      </c>
      <c r="BG410">
        <v>0.55000000000000004</v>
      </c>
      <c r="BH410" t="s">
        <v>71</v>
      </c>
      <c r="BI410">
        <v>0.54</v>
      </c>
      <c r="BJ410" t="s">
        <v>71</v>
      </c>
      <c r="BK410" s="2">
        <f t="shared" si="13"/>
        <v>1.0000000000000009E-2</v>
      </c>
      <c r="BL410" t="b">
        <f t="shared" si="14"/>
        <v>1</v>
      </c>
    </row>
    <row r="411" spans="1:64" x14ac:dyDescent="0.35">
      <c r="A411" t="s">
        <v>1169</v>
      </c>
      <c r="B411" t="s">
        <v>1170</v>
      </c>
      <c r="C411">
        <v>2014</v>
      </c>
      <c r="D411" t="s">
        <v>1171</v>
      </c>
      <c r="E411" t="s">
        <v>1172</v>
      </c>
      <c r="F411" t="s">
        <v>66</v>
      </c>
      <c r="G411" t="s">
        <v>101</v>
      </c>
      <c r="H411" t="s">
        <v>211</v>
      </c>
      <c r="I411" t="s">
        <v>211</v>
      </c>
      <c r="J411" t="s">
        <v>70</v>
      </c>
      <c r="L411">
        <v>2</v>
      </c>
      <c r="M411" t="b">
        <v>0</v>
      </c>
      <c r="N411">
        <v>1</v>
      </c>
      <c r="O411">
        <v>3</v>
      </c>
      <c r="P411">
        <v>7</v>
      </c>
      <c r="Q411">
        <v>4</v>
      </c>
      <c r="R411">
        <v>3</v>
      </c>
      <c r="S411">
        <v>5</v>
      </c>
      <c r="T411">
        <v>32</v>
      </c>
      <c r="U411">
        <v>855</v>
      </c>
      <c r="V411">
        <v>129</v>
      </c>
      <c r="W411">
        <v>23</v>
      </c>
      <c r="X411">
        <v>5.6086956521739131</v>
      </c>
      <c r="Y411">
        <v>2</v>
      </c>
      <c r="Z411">
        <v>28</v>
      </c>
      <c r="AA411">
        <v>0</v>
      </c>
      <c r="AB411">
        <v>0</v>
      </c>
      <c r="AC411">
        <v>3</v>
      </c>
      <c r="AD411">
        <v>3</v>
      </c>
      <c r="AE411">
        <v>65</v>
      </c>
      <c r="AF411">
        <v>3</v>
      </c>
      <c r="AG411">
        <v>42</v>
      </c>
      <c r="AH411">
        <v>0</v>
      </c>
      <c r="AI411">
        <v>0</v>
      </c>
      <c r="AJ411">
        <v>1</v>
      </c>
      <c r="AK411">
        <v>18</v>
      </c>
      <c r="AL411">
        <v>2</v>
      </c>
      <c r="AM411">
        <v>42</v>
      </c>
      <c r="AN411">
        <v>5</v>
      </c>
      <c r="AO411">
        <v>70</v>
      </c>
      <c r="AP411">
        <v>5</v>
      </c>
      <c r="AQ411">
        <v>93</v>
      </c>
      <c r="AR411">
        <v>3.2748538011695909E-2</v>
      </c>
      <c r="AS411">
        <v>0</v>
      </c>
      <c r="AT411">
        <v>7.6023391812865493E-2</v>
      </c>
      <c r="AU411">
        <v>4.912280701754386E-2</v>
      </c>
      <c r="AV411">
        <v>0</v>
      </c>
      <c r="AW411">
        <v>4.912280701754386E-2</v>
      </c>
      <c r="AX411">
        <v>8.1871345029239762E-2</v>
      </c>
      <c r="AY411">
        <v>0.10877192982456139</v>
      </c>
      <c r="AZ411">
        <v>3.2748538011695902E-2</v>
      </c>
      <c r="BA411">
        <v>0.66666666666666663</v>
      </c>
      <c r="BB411">
        <v>0.76811594202898548</v>
      </c>
      <c r="BC411">
        <v>0.33333333333333331</v>
      </c>
      <c r="BD411">
        <v>0.64546783625730986</v>
      </c>
      <c r="BE411">
        <v>4</v>
      </c>
      <c r="BF411">
        <v>0.60339594457157386</v>
      </c>
      <c r="BG411">
        <v>0.61</v>
      </c>
      <c r="BH411" t="s">
        <v>86</v>
      </c>
      <c r="BI411">
        <v>0.6</v>
      </c>
      <c r="BJ411" t="s">
        <v>86</v>
      </c>
      <c r="BK411" s="2">
        <f t="shared" si="13"/>
        <v>1.0000000000000009E-2</v>
      </c>
      <c r="BL411" t="b">
        <f t="shared" si="14"/>
        <v>1</v>
      </c>
    </row>
    <row r="412" spans="1:64" x14ac:dyDescent="0.35">
      <c r="A412" t="s">
        <v>1173</v>
      </c>
      <c r="B412" t="s">
        <v>1170</v>
      </c>
      <c r="C412">
        <v>2015</v>
      </c>
      <c r="D412" t="s">
        <v>1171</v>
      </c>
      <c r="E412" t="s">
        <v>1172</v>
      </c>
      <c r="F412" t="s">
        <v>66</v>
      </c>
      <c r="G412" t="s">
        <v>101</v>
      </c>
      <c r="H412" t="s">
        <v>211</v>
      </c>
      <c r="I412" t="s">
        <v>211</v>
      </c>
      <c r="J412" t="s">
        <v>70</v>
      </c>
      <c r="L412">
        <v>2</v>
      </c>
      <c r="M412" t="b">
        <v>0</v>
      </c>
      <c r="N412">
        <v>1</v>
      </c>
      <c r="O412">
        <v>2</v>
      </c>
      <c r="P412">
        <v>11</v>
      </c>
      <c r="Q412">
        <v>4</v>
      </c>
      <c r="R412">
        <v>7</v>
      </c>
      <c r="S412">
        <v>6</v>
      </c>
      <c r="T412">
        <v>38</v>
      </c>
      <c r="U412">
        <v>1540</v>
      </c>
      <c r="V412">
        <v>159</v>
      </c>
      <c r="W412">
        <v>26</v>
      </c>
      <c r="X412">
        <v>6.115384615384615</v>
      </c>
      <c r="Y412">
        <v>8</v>
      </c>
      <c r="Z412">
        <v>194</v>
      </c>
      <c r="AA412">
        <v>1</v>
      </c>
      <c r="AB412">
        <v>5</v>
      </c>
      <c r="AC412">
        <v>3</v>
      </c>
      <c r="AD412">
        <v>3</v>
      </c>
      <c r="AE412">
        <v>202</v>
      </c>
      <c r="AF412">
        <v>2</v>
      </c>
      <c r="AG412">
        <v>56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11</v>
      </c>
      <c r="AO412">
        <v>255</v>
      </c>
      <c r="AP412">
        <v>12</v>
      </c>
      <c r="AQ412">
        <v>401</v>
      </c>
      <c r="AR412">
        <v>0.12597402597402599</v>
      </c>
      <c r="AS412">
        <v>3.246753246753247E-3</v>
      </c>
      <c r="AT412">
        <v>0.13116883116883121</v>
      </c>
      <c r="AU412">
        <v>3.6363636363636362E-2</v>
      </c>
      <c r="AV412">
        <v>0</v>
      </c>
      <c r="AW412">
        <v>0</v>
      </c>
      <c r="AX412">
        <v>0.16558441558441561</v>
      </c>
      <c r="AY412">
        <v>0.26038961038961039</v>
      </c>
      <c r="AZ412">
        <v>0.16558441558441561</v>
      </c>
      <c r="BA412">
        <v>0.83333333333333337</v>
      </c>
      <c r="BB412">
        <v>0.85256410256410253</v>
      </c>
      <c r="BC412">
        <v>0.8</v>
      </c>
      <c r="BD412">
        <v>0.72849025974025983</v>
      </c>
      <c r="BE412">
        <v>4</v>
      </c>
      <c r="BF412">
        <v>0.80359692390942394</v>
      </c>
      <c r="BG412">
        <v>0.84</v>
      </c>
      <c r="BH412" t="s">
        <v>164</v>
      </c>
      <c r="BI412">
        <v>0.8</v>
      </c>
      <c r="BJ412" t="s">
        <v>164</v>
      </c>
      <c r="BK412" s="2">
        <f t="shared" si="13"/>
        <v>3.9999999999999925E-2</v>
      </c>
      <c r="BL412" t="b">
        <f t="shared" si="14"/>
        <v>1</v>
      </c>
    </row>
    <row r="413" spans="1:64" x14ac:dyDescent="0.35">
      <c r="A413" t="s">
        <v>1174</v>
      </c>
      <c r="B413" t="s">
        <v>1170</v>
      </c>
      <c r="C413">
        <v>2016</v>
      </c>
      <c r="D413" t="s">
        <v>1171</v>
      </c>
      <c r="E413" t="s">
        <v>1172</v>
      </c>
      <c r="F413" t="s">
        <v>66</v>
      </c>
      <c r="G413" t="s">
        <v>101</v>
      </c>
      <c r="H413" t="s">
        <v>211</v>
      </c>
      <c r="I413" t="s">
        <v>211</v>
      </c>
      <c r="J413" t="s">
        <v>70</v>
      </c>
      <c r="L413">
        <v>2</v>
      </c>
      <c r="M413" t="b">
        <v>0</v>
      </c>
      <c r="N413">
        <v>1</v>
      </c>
      <c r="O413">
        <v>2</v>
      </c>
      <c r="P413">
        <v>5</v>
      </c>
      <c r="Q413">
        <v>5</v>
      </c>
      <c r="R413">
        <v>0</v>
      </c>
      <c r="S413">
        <v>5</v>
      </c>
      <c r="T413">
        <v>32</v>
      </c>
      <c r="U413">
        <v>822</v>
      </c>
      <c r="V413">
        <v>104</v>
      </c>
      <c r="W413">
        <v>21</v>
      </c>
      <c r="X413">
        <v>4.9523809523809534</v>
      </c>
      <c r="Y413">
        <v>7</v>
      </c>
      <c r="Z413">
        <v>131</v>
      </c>
      <c r="AA413">
        <v>0</v>
      </c>
      <c r="AB413">
        <v>0</v>
      </c>
      <c r="AC413">
        <v>5</v>
      </c>
      <c r="AD413">
        <v>5</v>
      </c>
      <c r="AE413">
        <v>64</v>
      </c>
      <c r="AF413">
        <v>2</v>
      </c>
      <c r="AG413">
        <v>17</v>
      </c>
      <c r="AH413">
        <v>1</v>
      </c>
      <c r="AI413">
        <v>9</v>
      </c>
      <c r="AJ413">
        <v>2</v>
      </c>
      <c r="AK413">
        <v>17</v>
      </c>
      <c r="AL413">
        <v>3</v>
      </c>
      <c r="AM413">
        <v>26</v>
      </c>
      <c r="AN413">
        <v>9</v>
      </c>
      <c r="AO413">
        <v>148</v>
      </c>
      <c r="AP413">
        <v>12</v>
      </c>
      <c r="AQ413">
        <v>195</v>
      </c>
      <c r="AR413">
        <v>0.15936739659367399</v>
      </c>
      <c r="AS413">
        <v>0</v>
      </c>
      <c r="AT413">
        <v>7.785888077858881E-2</v>
      </c>
      <c r="AU413">
        <v>2.0681265206812651E-2</v>
      </c>
      <c r="AV413">
        <v>1.094890510948905E-2</v>
      </c>
      <c r="AW413">
        <v>3.1630170316301713E-2</v>
      </c>
      <c r="AX413">
        <v>0.18004866180048659</v>
      </c>
      <c r="AY413">
        <v>0.23722627737226279</v>
      </c>
      <c r="AZ413">
        <v>0.1484184914841849</v>
      </c>
      <c r="BA413">
        <v>0.66666666666666663</v>
      </c>
      <c r="BB413">
        <v>0.65873015873015894</v>
      </c>
      <c r="BC413">
        <v>0.8</v>
      </c>
      <c r="BD413">
        <v>0.71776155717761547</v>
      </c>
      <c r="BE413">
        <v>4</v>
      </c>
      <c r="BF413">
        <v>0.71078959564361033</v>
      </c>
      <c r="BG413">
        <v>0.71</v>
      </c>
      <c r="BH413" t="s">
        <v>86</v>
      </c>
      <c r="BI413">
        <v>0.71</v>
      </c>
      <c r="BJ413" t="s">
        <v>86</v>
      </c>
      <c r="BK413" s="2">
        <f t="shared" si="13"/>
        <v>0</v>
      </c>
      <c r="BL413" t="b">
        <f t="shared" si="14"/>
        <v>1</v>
      </c>
    </row>
    <row r="414" spans="1:64" x14ac:dyDescent="0.35">
      <c r="A414" t="s">
        <v>1175</v>
      </c>
      <c r="B414" t="s">
        <v>1170</v>
      </c>
      <c r="C414">
        <v>2017</v>
      </c>
      <c r="D414" t="s">
        <v>1171</v>
      </c>
      <c r="E414" t="s">
        <v>1172</v>
      </c>
      <c r="F414" t="s">
        <v>66</v>
      </c>
      <c r="G414" t="s">
        <v>101</v>
      </c>
      <c r="H414" t="s">
        <v>211</v>
      </c>
      <c r="I414" t="s">
        <v>211</v>
      </c>
      <c r="J414" t="s">
        <v>70</v>
      </c>
      <c r="L414">
        <v>2</v>
      </c>
      <c r="M414" t="b">
        <v>0</v>
      </c>
      <c r="N414">
        <v>1</v>
      </c>
      <c r="O414">
        <v>4</v>
      </c>
      <c r="P414">
        <v>15</v>
      </c>
      <c r="Q414">
        <v>4</v>
      </c>
      <c r="R414">
        <v>11</v>
      </c>
      <c r="S414">
        <v>7</v>
      </c>
      <c r="T414">
        <v>51</v>
      </c>
      <c r="U414">
        <v>1411</v>
      </c>
      <c r="V414">
        <v>181</v>
      </c>
      <c r="W414">
        <v>29</v>
      </c>
      <c r="X414">
        <v>6.2413793103448274</v>
      </c>
      <c r="Y414">
        <v>11</v>
      </c>
      <c r="Z414">
        <v>211</v>
      </c>
      <c r="AA414">
        <v>2</v>
      </c>
      <c r="AB414">
        <v>45</v>
      </c>
      <c r="AC414">
        <v>2</v>
      </c>
      <c r="AD414">
        <v>2</v>
      </c>
      <c r="AE414">
        <v>108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7</v>
      </c>
      <c r="AL414">
        <v>1</v>
      </c>
      <c r="AM414">
        <v>7</v>
      </c>
      <c r="AN414">
        <v>13</v>
      </c>
      <c r="AO414">
        <v>256</v>
      </c>
      <c r="AP414">
        <v>15</v>
      </c>
      <c r="AQ414">
        <v>364</v>
      </c>
      <c r="AR414">
        <v>0.1495393338058115</v>
      </c>
      <c r="AS414">
        <v>3.1892274982282073E-2</v>
      </c>
      <c r="AT414">
        <v>7.6541459957476965E-2</v>
      </c>
      <c r="AU414">
        <v>0</v>
      </c>
      <c r="AV414">
        <v>0</v>
      </c>
      <c r="AW414">
        <v>4.961020552799433E-3</v>
      </c>
      <c r="AX414">
        <v>0.18143160878809361</v>
      </c>
      <c r="AY414">
        <v>0.25797306874557052</v>
      </c>
      <c r="AZ414">
        <v>0.1764705882352941</v>
      </c>
      <c r="BA414">
        <v>1</v>
      </c>
      <c r="BB414">
        <v>0.87356321839080453</v>
      </c>
      <c r="BC414">
        <v>1</v>
      </c>
      <c r="BD414">
        <v>0.73529411764705876</v>
      </c>
      <c r="BE414">
        <v>4</v>
      </c>
      <c r="BF414">
        <v>0.90221433400946582</v>
      </c>
      <c r="BG414">
        <v>0.94</v>
      </c>
      <c r="BH414" t="s">
        <v>164</v>
      </c>
      <c r="BI414">
        <v>0.9</v>
      </c>
      <c r="BJ414" t="s">
        <v>164</v>
      </c>
      <c r="BK414" s="2">
        <f t="shared" si="13"/>
        <v>3.9999999999999925E-2</v>
      </c>
      <c r="BL414" t="b">
        <f t="shared" si="14"/>
        <v>1</v>
      </c>
    </row>
    <row r="415" spans="1:64" x14ac:dyDescent="0.35">
      <c r="A415" t="s">
        <v>1176</v>
      </c>
      <c r="B415" t="s">
        <v>1170</v>
      </c>
      <c r="C415">
        <v>2020</v>
      </c>
      <c r="D415" t="s">
        <v>1171</v>
      </c>
      <c r="E415" t="s">
        <v>1172</v>
      </c>
      <c r="F415" t="s">
        <v>66</v>
      </c>
      <c r="G415" t="s">
        <v>101</v>
      </c>
      <c r="H415" t="s">
        <v>211</v>
      </c>
      <c r="I415" t="s">
        <v>211</v>
      </c>
      <c r="J415" t="s">
        <v>70</v>
      </c>
      <c r="L415">
        <v>2</v>
      </c>
      <c r="M415" t="b">
        <v>0</v>
      </c>
      <c r="N415">
        <v>1</v>
      </c>
      <c r="O415">
        <v>1</v>
      </c>
      <c r="P415">
        <v>4</v>
      </c>
      <c r="Q415">
        <v>5</v>
      </c>
      <c r="R415">
        <v>-1</v>
      </c>
      <c r="S415">
        <v>4</v>
      </c>
      <c r="T415">
        <v>30</v>
      </c>
      <c r="U415">
        <v>695</v>
      </c>
      <c r="V415">
        <v>129</v>
      </c>
      <c r="W415">
        <v>24</v>
      </c>
      <c r="X415">
        <v>5.375</v>
      </c>
      <c r="Y415">
        <v>1</v>
      </c>
      <c r="Z415">
        <v>78</v>
      </c>
      <c r="AA415">
        <v>0</v>
      </c>
      <c r="AB415">
        <v>0</v>
      </c>
      <c r="AC415">
        <v>2</v>
      </c>
      <c r="AD415">
        <v>2</v>
      </c>
      <c r="AE415">
        <v>57</v>
      </c>
      <c r="AF415">
        <v>2</v>
      </c>
      <c r="AG415">
        <v>10</v>
      </c>
      <c r="AH415">
        <v>1</v>
      </c>
      <c r="AI415">
        <v>12</v>
      </c>
      <c r="AJ415">
        <v>1</v>
      </c>
      <c r="AK415">
        <v>9</v>
      </c>
      <c r="AL415">
        <v>2</v>
      </c>
      <c r="AM415">
        <v>21</v>
      </c>
      <c r="AN415">
        <v>3</v>
      </c>
      <c r="AO415">
        <v>88</v>
      </c>
      <c r="AP415">
        <v>3</v>
      </c>
      <c r="AQ415">
        <v>135</v>
      </c>
      <c r="AR415">
        <v>0.1122302158273381</v>
      </c>
      <c r="AS415">
        <v>0</v>
      </c>
      <c r="AT415">
        <v>8.2014388489208639E-2</v>
      </c>
      <c r="AU415">
        <v>1.4388489208633091E-2</v>
      </c>
      <c r="AV415">
        <v>1.7266187050359708E-2</v>
      </c>
      <c r="AW415">
        <v>3.0215827338129501E-2</v>
      </c>
      <c r="AX415">
        <v>0.1266187050359712</v>
      </c>
      <c r="AY415">
        <v>0.1942446043165468</v>
      </c>
      <c r="AZ415">
        <v>9.6402877697841727E-2</v>
      </c>
      <c r="BA415">
        <v>0.5</v>
      </c>
      <c r="BB415">
        <v>0.72916666666666663</v>
      </c>
      <c r="BC415">
        <v>0.2</v>
      </c>
      <c r="BD415">
        <v>0.68525179856115115</v>
      </c>
      <c r="BE415">
        <v>4</v>
      </c>
      <c r="BF415">
        <v>0.52860461630695443</v>
      </c>
      <c r="BG415">
        <v>0.56000000000000005</v>
      </c>
      <c r="BH415" t="s">
        <v>71</v>
      </c>
      <c r="BI415">
        <v>0.53</v>
      </c>
      <c r="BJ415" t="s">
        <v>71</v>
      </c>
      <c r="BK415" s="2">
        <f t="shared" si="13"/>
        <v>3.0000000000000027E-2</v>
      </c>
      <c r="BL415" t="b">
        <f t="shared" si="14"/>
        <v>1</v>
      </c>
    </row>
    <row r="416" spans="1:64" x14ac:dyDescent="0.35">
      <c r="A416" t="s">
        <v>1177</v>
      </c>
      <c r="B416" t="s">
        <v>1178</v>
      </c>
      <c r="C416">
        <v>2017</v>
      </c>
      <c r="D416" t="s">
        <v>1179</v>
      </c>
      <c r="E416" t="s">
        <v>1180</v>
      </c>
      <c r="F416" t="s">
        <v>66</v>
      </c>
      <c r="G416" t="s">
        <v>101</v>
      </c>
      <c r="H416" t="s">
        <v>184</v>
      </c>
      <c r="I416" t="s">
        <v>1181</v>
      </c>
      <c r="J416" t="s">
        <v>70</v>
      </c>
      <c r="L416">
        <v>1</v>
      </c>
      <c r="M416" t="b">
        <v>0</v>
      </c>
      <c r="N416">
        <v>3</v>
      </c>
      <c r="O416">
        <v>2</v>
      </c>
      <c r="P416">
        <v>5</v>
      </c>
      <c r="Q416">
        <v>4</v>
      </c>
      <c r="R416">
        <v>1</v>
      </c>
      <c r="S416">
        <v>4</v>
      </c>
      <c r="T416">
        <v>29</v>
      </c>
      <c r="U416">
        <v>321</v>
      </c>
      <c r="V416">
        <v>114</v>
      </c>
      <c r="W416">
        <v>23</v>
      </c>
      <c r="X416">
        <v>4.9565217391304346</v>
      </c>
      <c r="Y416">
        <v>3</v>
      </c>
      <c r="Z416">
        <v>32</v>
      </c>
      <c r="AA416">
        <v>0</v>
      </c>
      <c r="AB416">
        <v>0</v>
      </c>
      <c r="AC416">
        <v>3</v>
      </c>
      <c r="AD416">
        <v>3</v>
      </c>
      <c r="AE416">
        <v>12</v>
      </c>
      <c r="AF416">
        <v>2</v>
      </c>
      <c r="AG416">
        <v>24</v>
      </c>
      <c r="AH416">
        <v>2</v>
      </c>
      <c r="AI416">
        <v>28</v>
      </c>
      <c r="AJ416">
        <v>1</v>
      </c>
      <c r="AK416">
        <v>3</v>
      </c>
      <c r="AL416">
        <v>3</v>
      </c>
      <c r="AM416">
        <v>31</v>
      </c>
      <c r="AN416">
        <v>5</v>
      </c>
      <c r="AO416">
        <v>56</v>
      </c>
      <c r="AP416">
        <v>6</v>
      </c>
      <c r="AQ416">
        <v>44</v>
      </c>
      <c r="AR416">
        <v>9.9688473520249218E-2</v>
      </c>
      <c r="AS416">
        <v>0</v>
      </c>
      <c r="AT416">
        <v>3.7383177570093462E-2</v>
      </c>
      <c r="AU416">
        <v>7.476635514018691E-2</v>
      </c>
      <c r="AV416">
        <v>8.7227414330218064E-2</v>
      </c>
      <c r="AW416">
        <v>9.657320872274143E-2</v>
      </c>
      <c r="AX416">
        <v>0.1744548286604361</v>
      </c>
      <c r="AY416">
        <v>0.13707165109034269</v>
      </c>
      <c r="AZ416">
        <v>7.7881619937694699E-2</v>
      </c>
      <c r="BA416">
        <v>0.5</v>
      </c>
      <c r="BB416">
        <v>0.65942028985507239</v>
      </c>
      <c r="BC416">
        <v>0.4</v>
      </c>
      <c r="BD416">
        <v>0.67367601246105913</v>
      </c>
      <c r="BE416">
        <v>4</v>
      </c>
      <c r="BF416">
        <v>0.55827407557903286</v>
      </c>
      <c r="BG416">
        <v>0.53</v>
      </c>
      <c r="BH416" t="s">
        <v>71</v>
      </c>
      <c r="BI416">
        <v>0.56000000000000005</v>
      </c>
      <c r="BJ416" t="s">
        <v>71</v>
      </c>
      <c r="BK416" s="2">
        <f t="shared" si="13"/>
        <v>-3.0000000000000027E-2</v>
      </c>
      <c r="BL416" t="b">
        <f t="shared" si="14"/>
        <v>1</v>
      </c>
    </row>
    <row r="417" spans="1:64" x14ac:dyDescent="0.35">
      <c r="A417" t="s">
        <v>1182</v>
      </c>
      <c r="B417" t="s">
        <v>1178</v>
      </c>
      <c r="C417">
        <v>2022</v>
      </c>
      <c r="D417" t="s">
        <v>1179</v>
      </c>
      <c r="E417" t="s">
        <v>1180</v>
      </c>
      <c r="F417" t="s">
        <v>66</v>
      </c>
      <c r="G417" t="s">
        <v>101</v>
      </c>
      <c r="H417" t="s">
        <v>184</v>
      </c>
      <c r="I417" t="s">
        <v>1181</v>
      </c>
      <c r="J417" t="s">
        <v>70</v>
      </c>
      <c r="L417">
        <v>1</v>
      </c>
      <c r="M417" t="b">
        <v>0</v>
      </c>
      <c r="N417">
        <v>3</v>
      </c>
      <c r="O417">
        <v>1</v>
      </c>
      <c r="P417">
        <v>1</v>
      </c>
      <c r="Q417">
        <v>1</v>
      </c>
      <c r="R417">
        <v>0</v>
      </c>
      <c r="S417">
        <v>4</v>
      </c>
      <c r="T417">
        <v>10</v>
      </c>
      <c r="U417">
        <v>58</v>
      </c>
      <c r="V417">
        <v>47</v>
      </c>
      <c r="W417">
        <v>10</v>
      </c>
      <c r="X417">
        <v>4.7</v>
      </c>
      <c r="Y417">
        <v>1</v>
      </c>
      <c r="Z417">
        <v>2</v>
      </c>
      <c r="AA417">
        <v>0</v>
      </c>
      <c r="AB417">
        <v>0</v>
      </c>
      <c r="AC417">
        <v>1</v>
      </c>
      <c r="AD417">
        <v>1</v>
      </c>
      <c r="AE417">
        <v>29</v>
      </c>
      <c r="AF417">
        <v>2</v>
      </c>
      <c r="AG417">
        <v>7</v>
      </c>
      <c r="AH417">
        <v>0</v>
      </c>
      <c r="AI417">
        <v>0</v>
      </c>
      <c r="AJ417">
        <v>1</v>
      </c>
      <c r="AK417">
        <v>10</v>
      </c>
      <c r="AL417">
        <v>1</v>
      </c>
      <c r="AM417">
        <v>10</v>
      </c>
      <c r="AN417">
        <v>3</v>
      </c>
      <c r="AO417">
        <v>9</v>
      </c>
      <c r="AP417">
        <v>2</v>
      </c>
      <c r="AQ417">
        <v>31</v>
      </c>
      <c r="AR417">
        <v>3.4482758620689648E-2</v>
      </c>
      <c r="AS417">
        <v>0</v>
      </c>
      <c r="AT417">
        <v>0.5</v>
      </c>
      <c r="AU417">
        <v>0.1206896551724138</v>
      </c>
      <c r="AV417">
        <v>0</v>
      </c>
      <c r="AW417">
        <v>0.17241379310344829</v>
      </c>
      <c r="AX417">
        <v>0.15517241379310351</v>
      </c>
      <c r="AY417">
        <v>0.53448275862068961</v>
      </c>
      <c r="AZ417">
        <v>-1.7241379310344831E-2</v>
      </c>
      <c r="BA417">
        <v>0.5</v>
      </c>
      <c r="BB417">
        <v>0.6166666666666667</v>
      </c>
      <c r="BC417">
        <v>0.1333333333333333</v>
      </c>
      <c r="BD417">
        <v>0.61422413793103448</v>
      </c>
      <c r="BE417">
        <v>4</v>
      </c>
      <c r="BF417">
        <v>0.46605603448275862</v>
      </c>
      <c r="BG417">
        <v>0.47</v>
      </c>
      <c r="BH417" t="s">
        <v>71</v>
      </c>
      <c r="BI417">
        <v>0.47</v>
      </c>
      <c r="BJ417" t="s">
        <v>71</v>
      </c>
      <c r="BK417" s="2">
        <f t="shared" si="13"/>
        <v>0</v>
      </c>
      <c r="BL417" t="b">
        <f t="shared" si="14"/>
        <v>1</v>
      </c>
    </row>
    <row r="418" spans="1:64" x14ac:dyDescent="0.35">
      <c r="A418" t="s">
        <v>1183</v>
      </c>
      <c r="B418" t="s">
        <v>1184</v>
      </c>
      <c r="C418">
        <v>2017</v>
      </c>
      <c r="D418" t="s">
        <v>1185</v>
      </c>
      <c r="E418" t="s">
        <v>1186</v>
      </c>
      <c r="F418" t="s">
        <v>66</v>
      </c>
      <c r="G418" t="s">
        <v>101</v>
      </c>
      <c r="H418" t="s">
        <v>184</v>
      </c>
      <c r="I418" t="s">
        <v>710</v>
      </c>
      <c r="J418" t="s">
        <v>70</v>
      </c>
      <c r="L418">
        <v>3</v>
      </c>
      <c r="M418" t="b">
        <v>0</v>
      </c>
      <c r="N418">
        <v>1</v>
      </c>
      <c r="O418">
        <v>3</v>
      </c>
      <c r="P418">
        <v>9</v>
      </c>
      <c r="Q418">
        <v>1</v>
      </c>
      <c r="R418">
        <v>8</v>
      </c>
      <c r="S418">
        <v>6</v>
      </c>
      <c r="T418">
        <v>18</v>
      </c>
      <c r="U418">
        <v>289</v>
      </c>
      <c r="V418">
        <v>92</v>
      </c>
      <c r="W418">
        <v>13</v>
      </c>
      <c r="X418">
        <v>7.0769230769230766</v>
      </c>
      <c r="Y418">
        <v>4</v>
      </c>
      <c r="Z418">
        <v>71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9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6</v>
      </c>
      <c r="AO418">
        <v>81</v>
      </c>
      <c r="AP418">
        <v>6</v>
      </c>
      <c r="AQ418">
        <v>73</v>
      </c>
      <c r="AR418">
        <v>0.24567474048442911</v>
      </c>
      <c r="AS418">
        <v>3.4602076124567479E-3</v>
      </c>
      <c r="AT418">
        <v>3.4602076124567479E-3</v>
      </c>
      <c r="AU418">
        <v>3.1141868512110722E-2</v>
      </c>
      <c r="AV418">
        <v>0</v>
      </c>
      <c r="AW418">
        <v>0</v>
      </c>
      <c r="AX418">
        <v>0.28027681660899662</v>
      </c>
      <c r="AY418">
        <v>0.25259515570934249</v>
      </c>
      <c r="AZ418">
        <v>0.28027681660899662</v>
      </c>
      <c r="BA418">
        <v>0.83333333333333337</v>
      </c>
      <c r="BB418">
        <v>1.012820512820513</v>
      </c>
      <c r="BC418">
        <v>0.4</v>
      </c>
      <c r="BD418">
        <v>0.80017301038062283</v>
      </c>
      <c r="BE418">
        <v>4</v>
      </c>
      <c r="BF418">
        <v>0.76158171413361719</v>
      </c>
      <c r="BG418">
        <v>0.76</v>
      </c>
      <c r="BH418" t="s">
        <v>86</v>
      </c>
      <c r="BI418">
        <v>0.76</v>
      </c>
      <c r="BJ418" t="s">
        <v>86</v>
      </c>
      <c r="BK418" s="2">
        <f t="shared" si="13"/>
        <v>0</v>
      </c>
      <c r="BL418" t="b">
        <f t="shared" si="14"/>
        <v>1</v>
      </c>
    </row>
    <row r="419" spans="1:64" x14ac:dyDescent="0.35">
      <c r="A419" t="s">
        <v>1187</v>
      </c>
      <c r="B419" t="s">
        <v>1184</v>
      </c>
      <c r="C419">
        <v>2020</v>
      </c>
      <c r="D419" t="s">
        <v>1185</v>
      </c>
      <c r="E419" t="s">
        <v>1186</v>
      </c>
      <c r="F419" t="s">
        <v>66</v>
      </c>
      <c r="G419" t="s">
        <v>101</v>
      </c>
      <c r="H419" t="s">
        <v>184</v>
      </c>
      <c r="I419" t="s">
        <v>710</v>
      </c>
      <c r="J419" t="s">
        <v>70</v>
      </c>
      <c r="L419">
        <v>3</v>
      </c>
      <c r="M419" t="b">
        <v>0</v>
      </c>
      <c r="N419">
        <v>4</v>
      </c>
      <c r="O419">
        <v>1</v>
      </c>
      <c r="P419">
        <v>0</v>
      </c>
      <c r="Q419">
        <v>3</v>
      </c>
      <c r="R419">
        <v>-3</v>
      </c>
      <c r="S419">
        <v>2</v>
      </c>
      <c r="T419">
        <v>12</v>
      </c>
      <c r="U419">
        <v>108</v>
      </c>
      <c r="V419">
        <v>45</v>
      </c>
      <c r="W419">
        <v>12</v>
      </c>
      <c r="X419">
        <v>3.75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  <c r="AE419">
        <v>7</v>
      </c>
      <c r="AF419">
        <v>3</v>
      </c>
      <c r="AG419">
        <v>5</v>
      </c>
      <c r="AH419">
        <v>0</v>
      </c>
      <c r="AI419">
        <v>0</v>
      </c>
      <c r="AJ419">
        <v>1</v>
      </c>
      <c r="AK419">
        <v>4</v>
      </c>
      <c r="AL419">
        <v>1</v>
      </c>
      <c r="AM419">
        <v>4</v>
      </c>
      <c r="AN419">
        <v>3</v>
      </c>
      <c r="AO419">
        <v>5</v>
      </c>
      <c r="AP419">
        <v>1</v>
      </c>
      <c r="AQ419">
        <v>7</v>
      </c>
      <c r="AR419">
        <v>0</v>
      </c>
      <c r="AS419">
        <v>0</v>
      </c>
      <c r="AT419">
        <v>6.4814814814814811E-2</v>
      </c>
      <c r="AU419">
        <v>4.6296296296296287E-2</v>
      </c>
      <c r="AV419">
        <v>0</v>
      </c>
      <c r="AW419">
        <v>3.7037037037037028E-2</v>
      </c>
      <c r="AX419">
        <v>4.6296296296296287E-2</v>
      </c>
      <c r="AY419">
        <v>6.4814814814814811E-2</v>
      </c>
      <c r="AZ419">
        <v>9.2592592592592587E-3</v>
      </c>
      <c r="BA419">
        <v>0.16666666666666671</v>
      </c>
      <c r="BB419">
        <v>0.45833333333333331</v>
      </c>
      <c r="BC419">
        <v>6.6666666666666666E-2</v>
      </c>
      <c r="BD419">
        <v>0.63078703703703698</v>
      </c>
      <c r="BE419">
        <v>4</v>
      </c>
      <c r="BF419">
        <v>0.33061342592592591</v>
      </c>
      <c r="BG419">
        <v>0.33</v>
      </c>
      <c r="BH419" t="s">
        <v>104</v>
      </c>
      <c r="BI419">
        <v>0.33</v>
      </c>
      <c r="BJ419" t="s">
        <v>104</v>
      </c>
      <c r="BK419" s="2">
        <f t="shared" si="13"/>
        <v>0</v>
      </c>
      <c r="BL419" t="b">
        <f t="shared" si="14"/>
        <v>1</v>
      </c>
    </row>
    <row r="420" spans="1:64" x14ac:dyDescent="0.35">
      <c r="A420" t="s">
        <v>1188</v>
      </c>
      <c r="B420" t="s">
        <v>1189</v>
      </c>
      <c r="C420">
        <v>2017</v>
      </c>
      <c r="D420" t="s">
        <v>1190</v>
      </c>
      <c r="E420" t="s">
        <v>1191</v>
      </c>
      <c r="F420" t="s">
        <v>66</v>
      </c>
      <c r="G420" t="s">
        <v>101</v>
      </c>
      <c r="H420" t="s">
        <v>184</v>
      </c>
      <c r="I420" t="s">
        <v>1192</v>
      </c>
      <c r="J420" t="s">
        <v>70</v>
      </c>
      <c r="L420">
        <v>1</v>
      </c>
      <c r="M420" t="b">
        <v>0</v>
      </c>
      <c r="N420">
        <v>1</v>
      </c>
      <c r="O420">
        <v>1</v>
      </c>
      <c r="P420">
        <v>3</v>
      </c>
      <c r="Q420">
        <v>1</v>
      </c>
      <c r="R420">
        <v>2</v>
      </c>
      <c r="S420">
        <v>4</v>
      </c>
      <c r="T420">
        <v>8</v>
      </c>
      <c r="U420">
        <v>84</v>
      </c>
      <c r="V420">
        <v>39</v>
      </c>
      <c r="W420">
        <v>6</v>
      </c>
      <c r="X420">
        <v>6.5</v>
      </c>
      <c r="Y420">
        <v>2</v>
      </c>
      <c r="Z420">
        <v>34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7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</v>
      </c>
      <c r="AO420">
        <v>41</v>
      </c>
      <c r="AP420">
        <v>2</v>
      </c>
      <c r="AQ420">
        <v>34</v>
      </c>
      <c r="AR420">
        <v>0.40476190476190482</v>
      </c>
      <c r="AS420">
        <v>0</v>
      </c>
      <c r="AT420">
        <v>0</v>
      </c>
      <c r="AU420">
        <v>8.3333333333333329E-2</v>
      </c>
      <c r="AV420">
        <v>0</v>
      </c>
      <c r="AW420">
        <v>0</v>
      </c>
      <c r="AX420">
        <v>0.48809523809523808</v>
      </c>
      <c r="AY420">
        <v>0.40476190476190482</v>
      </c>
      <c r="AZ420">
        <v>0.48809523809523808</v>
      </c>
      <c r="BA420">
        <v>0.5</v>
      </c>
      <c r="BB420">
        <v>0.91666666666666663</v>
      </c>
      <c r="BC420">
        <v>0.1333333333333333</v>
      </c>
      <c r="BD420">
        <v>0.93005952380952384</v>
      </c>
      <c r="BE420">
        <v>4</v>
      </c>
      <c r="BF420">
        <v>0.620014880952381</v>
      </c>
      <c r="BG420">
        <v>0.62</v>
      </c>
      <c r="BH420" t="s">
        <v>86</v>
      </c>
      <c r="BI420">
        <v>0.62</v>
      </c>
      <c r="BJ420" t="s">
        <v>86</v>
      </c>
      <c r="BK420" s="2">
        <f t="shared" si="13"/>
        <v>0</v>
      </c>
      <c r="BL420" t="b">
        <f t="shared" si="14"/>
        <v>1</v>
      </c>
    </row>
    <row r="421" spans="1:64" x14ac:dyDescent="0.35">
      <c r="A421" t="s">
        <v>1193</v>
      </c>
      <c r="B421" t="s">
        <v>1189</v>
      </c>
      <c r="C421">
        <v>2022</v>
      </c>
      <c r="D421" t="s">
        <v>1190</v>
      </c>
      <c r="E421" t="s">
        <v>1191</v>
      </c>
      <c r="F421" t="s">
        <v>66</v>
      </c>
      <c r="G421" t="s">
        <v>101</v>
      </c>
      <c r="H421" t="s">
        <v>184</v>
      </c>
      <c r="I421" t="s">
        <v>1192</v>
      </c>
      <c r="J421" t="s">
        <v>70</v>
      </c>
      <c r="L421">
        <v>1</v>
      </c>
      <c r="M421" t="b">
        <v>0</v>
      </c>
      <c r="N421">
        <v>1</v>
      </c>
      <c r="O421">
        <v>2</v>
      </c>
      <c r="P421">
        <v>8</v>
      </c>
      <c r="Q421">
        <v>0</v>
      </c>
      <c r="R421">
        <v>8</v>
      </c>
      <c r="S421">
        <v>6</v>
      </c>
      <c r="T421">
        <v>22</v>
      </c>
      <c r="U421">
        <v>274</v>
      </c>
      <c r="V421">
        <v>91</v>
      </c>
      <c r="W421">
        <v>16</v>
      </c>
      <c r="X421">
        <v>5.6875</v>
      </c>
      <c r="Y421">
        <v>6</v>
      </c>
      <c r="Z421">
        <v>123</v>
      </c>
      <c r="AA421">
        <v>0</v>
      </c>
      <c r="AB421">
        <v>0</v>
      </c>
      <c r="AC421">
        <v>6</v>
      </c>
      <c r="AD421">
        <v>6</v>
      </c>
      <c r="AE421">
        <v>23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6</v>
      </c>
      <c r="AO421">
        <v>123</v>
      </c>
      <c r="AP421">
        <v>12</v>
      </c>
      <c r="AQ421">
        <v>146</v>
      </c>
      <c r="AR421">
        <v>0.4489051094890511</v>
      </c>
      <c r="AS421">
        <v>0</v>
      </c>
      <c r="AT421">
        <v>8.3941605839416053E-2</v>
      </c>
      <c r="AU421">
        <v>0</v>
      </c>
      <c r="AV421">
        <v>0</v>
      </c>
      <c r="AW421">
        <v>0</v>
      </c>
      <c r="AX421">
        <v>0.4489051094890511</v>
      </c>
      <c r="AY421">
        <v>0.53284671532846717</v>
      </c>
      <c r="AZ421">
        <v>0.4489051094890511</v>
      </c>
      <c r="BA421">
        <v>0.83333333333333337</v>
      </c>
      <c r="BB421">
        <v>0.78125</v>
      </c>
      <c r="BC421">
        <v>0.8</v>
      </c>
      <c r="BD421">
        <v>0.90556569343065685</v>
      </c>
      <c r="BE421">
        <v>4</v>
      </c>
      <c r="BF421">
        <v>0.83003725669099759</v>
      </c>
      <c r="BG421">
        <v>0.83</v>
      </c>
      <c r="BH421" t="s">
        <v>164</v>
      </c>
      <c r="BI421">
        <v>0.83</v>
      </c>
      <c r="BJ421" t="s">
        <v>164</v>
      </c>
      <c r="BK421" s="2">
        <f t="shared" si="13"/>
        <v>0</v>
      </c>
      <c r="BL421" t="b">
        <f t="shared" si="14"/>
        <v>1</v>
      </c>
    </row>
    <row r="422" spans="1:64" x14ac:dyDescent="0.35">
      <c r="A422" t="s">
        <v>1194</v>
      </c>
      <c r="B422" t="s">
        <v>1195</v>
      </c>
      <c r="C422">
        <v>2017</v>
      </c>
      <c r="D422" t="s">
        <v>1196</v>
      </c>
      <c r="E422" t="s">
        <v>1197</v>
      </c>
      <c r="F422" t="s">
        <v>66</v>
      </c>
      <c r="G422" t="s">
        <v>101</v>
      </c>
      <c r="H422" t="s">
        <v>184</v>
      </c>
      <c r="I422" t="s">
        <v>1198</v>
      </c>
      <c r="J422" t="s">
        <v>70</v>
      </c>
      <c r="L422">
        <v>1</v>
      </c>
      <c r="M422" t="b">
        <v>0</v>
      </c>
      <c r="N422">
        <v>1</v>
      </c>
      <c r="O422">
        <v>2</v>
      </c>
      <c r="P422">
        <v>2</v>
      </c>
      <c r="Q422">
        <v>2</v>
      </c>
      <c r="R422">
        <v>0</v>
      </c>
      <c r="S422">
        <v>5</v>
      </c>
      <c r="T422">
        <v>9</v>
      </c>
      <c r="U422">
        <v>50</v>
      </c>
      <c r="V422">
        <v>46</v>
      </c>
      <c r="W422">
        <v>9</v>
      </c>
      <c r="X422">
        <v>5.1111111111111107</v>
      </c>
      <c r="Y422">
        <v>1</v>
      </c>
      <c r="Z422">
        <v>10</v>
      </c>
      <c r="AA422">
        <v>0</v>
      </c>
      <c r="AB422">
        <v>0</v>
      </c>
      <c r="AC422">
        <v>2</v>
      </c>
      <c r="AD422">
        <v>2</v>
      </c>
      <c r="AE422">
        <v>9</v>
      </c>
      <c r="AF422">
        <v>0</v>
      </c>
      <c r="AG422">
        <v>0</v>
      </c>
      <c r="AH422">
        <v>1</v>
      </c>
      <c r="AI422">
        <v>2</v>
      </c>
      <c r="AJ422">
        <v>1</v>
      </c>
      <c r="AK422">
        <v>2</v>
      </c>
      <c r="AL422">
        <v>2</v>
      </c>
      <c r="AM422">
        <v>4</v>
      </c>
      <c r="AN422">
        <v>1</v>
      </c>
      <c r="AO422">
        <v>10</v>
      </c>
      <c r="AP422">
        <v>3</v>
      </c>
      <c r="AQ422">
        <v>19</v>
      </c>
      <c r="AR422">
        <v>0.2</v>
      </c>
      <c r="AS422">
        <v>0</v>
      </c>
      <c r="AT422">
        <v>0.18</v>
      </c>
      <c r="AU422">
        <v>0</v>
      </c>
      <c r="AV422">
        <v>0.04</v>
      </c>
      <c r="AW422">
        <v>0.08</v>
      </c>
      <c r="AX422">
        <v>0.2</v>
      </c>
      <c r="AY422">
        <v>0.38</v>
      </c>
      <c r="AZ422">
        <v>0.12</v>
      </c>
      <c r="BA422">
        <v>0.66666666666666663</v>
      </c>
      <c r="BB422">
        <v>0.68518518518518512</v>
      </c>
      <c r="BC422">
        <v>0.2</v>
      </c>
      <c r="BD422">
        <v>0.70000000000000007</v>
      </c>
      <c r="BE422">
        <v>4</v>
      </c>
      <c r="BF422">
        <v>0.562962962962963</v>
      </c>
      <c r="BG422">
        <v>0.56999999999999995</v>
      </c>
      <c r="BH422" t="s">
        <v>71</v>
      </c>
      <c r="BI422">
        <v>0.56000000000000005</v>
      </c>
      <c r="BJ422" t="s">
        <v>71</v>
      </c>
      <c r="BK422" s="2">
        <f t="shared" si="13"/>
        <v>9.9999999999998979E-3</v>
      </c>
      <c r="BL422" t="b">
        <f t="shared" si="14"/>
        <v>1</v>
      </c>
    </row>
    <row r="423" spans="1:64" x14ac:dyDescent="0.35">
      <c r="A423" t="s">
        <v>1199</v>
      </c>
      <c r="B423" t="s">
        <v>1195</v>
      </c>
      <c r="C423">
        <v>2020</v>
      </c>
      <c r="D423" t="s">
        <v>1196</v>
      </c>
      <c r="E423" t="s">
        <v>1197</v>
      </c>
      <c r="F423" t="s">
        <v>66</v>
      </c>
      <c r="G423" t="s">
        <v>101</v>
      </c>
      <c r="H423" t="s">
        <v>184</v>
      </c>
      <c r="I423" t="s">
        <v>1198</v>
      </c>
      <c r="J423" t="s">
        <v>70</v>
      </c>
      <c r="L423">
        <v>1</v>
      </c>
      <c r="M423" t="b">
        <v>0</v>
      </c>
      <c r="N423">
        <v>1</v>
      </c>
      <c r="O423">
        <v>2</v>
      </c>
      <c r="P423">
        <v>7</v>
      </c>
      <c r="Q423">
        <v>1</v>
      </c>
      <c r="R423">
        <v>6</v>
      </c>
      <c r="S423">
        <v>6</v>
      </c>
      <c r="T423">
        <v>18</v>
      </c>
      <c r="U423">
        <v>308</v>
      </c>
      <c r="V423">
        <v>86</v>
      </c>
      <c r="W423">
        <v>15</v>
      </c>
      <c r="X423">
        <v>5.7333333333333334</v>
      </c>
      <c r="Y423">
        <v>4</v>
      </c>
      <c r="Z423">
        <v>92</v>
      </c>
      <c r="AA423">
        <v>1</v>
      </c>
      <c r="AB423">
        <v>14</v>
      </c>
      <c r="AC423">
        <v>2</v>
      </c>
      <c r="AD423">
        <v>2</v>
      </c>
      <c r="AE423">
        <v>25</v>
      </c>
      <c r="AF423">
        <v>0</v>
      </c>
      <c r="AG423">
        <v>0</v>
      </c>
      <c r="AH423">
        <v>2</v>
      </c>
      <c r="AI423">
        <v>21</v>
      </c>
      <c r="AJ423">
        <v>0</v>
      </c>
      <c r="AK423">
        <v>0</v>
      </c>
      <c r="AL423">
        <v>3</v>
      </c>
      <c r="AM423">
        <v>32</v>
      </c>
      <c r="AN423">
        <v>5</v>
      </c>
      <c r="AO423">
        <v>106</v>
      </c>
      <c r="AP423">
        <v>7</v>
      </c>
      <c r="AQ423">
        <v>131</v>
      </c>
      <c r="AR423">
        <v>0.29870129870129869</v>
      </c>
      <c r="AS423">
        <v>4.5454545454545463E-2</v>
      </c>
      <c r="AT423">
        <v>8.1168831168831168E-2</v>
      </c>
      <c r="AU423">
        <v>0</v>
      </c>
      <c r="AV423">
        <v>6.8181818181818177E-2</v>
      </c>
      <c r="AW423">
        <v>0.1038961038961039</v>
      </c>
      <c r="AX423">
        <v>0.34415584415584421</v>
      </c>
      <c r="AY423">
        <v>0.42532467532467533</v>
      </c>
      <c r="AZ423">
        <v>0.24025974025974031</v>
      </c>
      <c r="BA423">
        <v>0.83333333333333337</v>
      </c>
      <c r="BB423">
        <v>0.78888888888888886</v>
      </c>
      <c r="BC423">
        <v>0.46666666666666667</v>
      </c>
      <c r="BD423">
        <v>0.77516233766233766</v>
      </c>
      <c r="BE423">
        <v>4</v>
      </c>
      <c r="BF423">
        <v>0.71601280663780664</v>
      </c>
      <c r="BG423">
        <v>0.75</v>
      </c>
      <c r="BH423" t="s">
        <v>86</v>
      </c>
      <c r="BI423">
        <v>0.72</v>
      </c>
      <c r="BJ423" t="s">
        <v>86</v>
      </c>
      <c r="BK423" s="2">
        <f t="shared" si="13"/>
        <v>3.0000000000000027E-2</v>
      </c>
      <c r="BL423" t="b">
        <f t="shared" si="14"/>
        <v>1</v>
      </c>
    </row>
    <row r="424" spans="1:64" x14ac:dyDescent="0.35">
      <c r="A424" t="s">
        <v>1200</v>
      </c>
      <c r="B424" t="s">
        <v>1201</v>
      </c>
      <c r="C424">
        <v>2016</v>
      </c>
      <c r="D424" t="s">
        <v>1202</v>
      </c>
      <c r="E424" t="s">
        <v>1203</v>
      </c>
      <c r="F424" t="s">
        <v>66</v>
      </c>
      <c r="G424" t="s">
        <v>101</v>
      </c>
      <c r="H424" t="s">
        <v>184</v>
      </c>
      <c r="I424" t="s">
        <v>1204</v>
      </c>
      <c r="J424" t="s">
        <v>70</v>
      </c>
      <c r="L424">
        <v>1</v>
      </c>
      <c r="M424" t="b">
        <v>0</v>
      </c>
      <c r="N424">
        <v>1</v>
      </c>
      <c r="O424">
        <v>2</v>
      </c>
      <c r="P424">
        <v>10</v>
      </c>
      <c r="Q424">
        <v>6</v>
      </c>
      <c r="R424">
        <v>4</v>
      </c>
      <c r="S424">
        <v>6</v>
      </c>
      <c r="T424">
        <v>39</v>
      </c>
      <c r="U424">
        <v>1824</v>
      </c>
      <c r="V424">
        <v>142</v>
      </c>
      <c r="W424">
        <v>27</v>
      </c>
      <c r="X424">
        <v>5.2592592592592604</v>
      </c>
      <c r="Y424">
        <v>3</v>
      </c>
      <c r="Z424">
        <v>276</v>
      </c>
      <c r="AA424">
        <v>1</v>
      </c>
      <c r="AB424">
        <v>10</v>
      </c>
      <c r="AC424">
        <v>2</v>
      </c>
      <c r="AD424">
        <v>2</v>
      </c>
      <c r="AE424">
        <v>125</v>
      </c>
      <c r="AF424">
        <v>2</v>
      </c>
      <c r="AG424">
        <v>22</v>
      </c>
      <c r="AH424">
        <v>1</v>
      </c>
      <c r="AI424">
        <v>62</v>
      </c>
      <c r="AJ424">
        <v>2</v>
      </c>
      <c r="AK424">
        <v>51</v>
      </c>
      <c r="AL424">
        <v>4</v>
      </c>
      <c r="AM424">
        <v>135</v>
      </c>
      <c r="AN424">
        <v>6</v>
      </c>
      <c r="AO424">
        <v>308</v>
      </c>
      <c r="AP424">
        <v>6</v>
      </c>
      <c r="AQ424">
        <v>411</v>
      </c>
      <c r="AR424">
        <v>0.15131578947368421</v>
      </c>
      <c r="AS424">
        <v>5.4824561403508769E-3</v>
      </c>
      <c r="AT424">
        <v>6.853070175438597E-2</v>
      </c>
      <c r="AU424">
        <v>1.2061403508771929E-2</v>
      </c>
      <c r="AV424">
        <v>3.399122807017544E-2</v>
      </c>
      <c r="AW424">
        <v>7.4013157894736836E-2</v>
      </c>
      <c r="AX424">
        <v>0.16885964912280699</v>
      </c>
      <c r="AY424">
        <v>0.22532894736842099</v>
      </c>
      <c r="AZ424">
        <v>9.4846491228070179E-2</v>
      </c>
      <c r="BA424">
        <v>0.83333333333333337</v>
      </c>
      <c r="BB424">
        <v>0.7098765432098767</v>
      </c>
      <c r="BC424">
        <v>0.4</v>
      </c>
      <c r="BD424">
        <v>0.68427905701754388</v>
      </c>
      <c r="BE424">
        <v>4</v>
      </c>
      <c r="BF424">
        <v>0.65687223339018852</v>
      </c>
      <c r="BG424">
        <v>0.66</v>
      </c>
      <c r="BH424" t="s">
        <v>86</v>
      </c>
      <c r="BI424">
        <v>0.66</v>
      </c>
      <c r="BJ424" t="s">
        <v>86</v>
      </c>
      <c r="BK424" s="2">
        <f t="shared" si="13"/>
        <v>0</v>
      </c>
      <c r="BL424" t="b">
        <f t="shared" si="14"/>
        <v>1</v>
      </c>
    </row>
    <row r="425" spans="1:64" x14ac:dyDescent="0.35">
      <c r="A425" t="s">
        <v>1205</v>
      </c>
      <c r="B425" t="s">
        <v>1201</v>
      </c>
      <c r="C425">
        <v>2017</v>
      </c>
      <c r="D425" t="s">
        <v>1202</v>
      </c>
      <c r="E425" t="s">
        <v>1203</v>
      </c>
      <c r="F425" t="s">
        <v>66</v>
      </c>
      <c r="G425" t="s">
        <v>101</v>
      </c>
      <c r="H425" t="s">
        <v>184</v>
      </c>
      <c r="I425" t="s">
        <v>1204</v>
      </c>
      <c r="J425" t="s">
        <v>70</v>
      </c>
      <c r="L425">
        <v>1</v>
      </c>
      <c r="M425" t="b">
        <v>0</v>
      </c>
      <c r="N425">
        <v>1</v>
      </c>
      <c r="O425">
        <v>1</v>
      </c>
      <c r="P425">
        <v>6</v>
      </c>
      <c r="Q425">
        <v>2</v>
      </c>
      <c r="R425">
        <v>4</v>
      </c>
      <c r="S425">
        <v>5</v>
      </c>
      <c r="T425">
        <v>23</v>
      </c>
      <c r="U425">
        <v>248</v>
      </c>
      <c r="V425">
        <v>83</v>
      </c>
      <c r="W425">
        <v>16</v>
      </c>
      <c r="X425">
        <v>5.1875</v>
      </c>
      <c r="Y425">
        <v>2</v>
      </c>
      <c r="Z425">
        <v>28</v>
      </c>
      <c r="AA425">
        <v>2</v>
      </c>
      <c r="AB425">
        <v>19</v>
      </c>
      <c r="AC425">
        <v>2</v>
      </c>
      <c r="AD425">
        <v>2</v>
      </c>
      <c r="AE425">
        <v>41</v>
      </c>
      <c r="AF425">
        <v>0</v>
      </c>
      <c r="AG425">
        <v>0</v>
      </c>
      <c r="AH425">
        <v>2</v>
      </c>
      <c r="AI425">
        <v>15</v>
      </c>
      <c r="AJ425">
        <v>0</v>
      </c>
      <c r="AK425">
        <v>0</v>
      </c>
      <c r="AL425">
        <v>2</v>
      </c>
      <c r="AM425">
        <v>15</v>
      </c>
      <c r="AN425">
        <v>4</v>
      </c>
      <c r="AO425">
        <v>47</v>
      </c>
      <c r="AP425">
        <v>6</v>
      </c>
      <c r="AQ425">
        <v>88</v>
      </c>
      <c r="AR425">
        <v>0.1129032258064516</v>
      </c>
      <c r="AS425">
        <v>7.6612903225806453E-2</v>
      </c>
      <c r="AT425">
        <v>0.16532258064516131</v>
      </c>
      <c r="AU425">
        <v>0</v>
      </c>
      <c r="AV425">
        <v>6.0483870967741937E-2</v>
      </c>
      <c r="AW425">
        <v>6.0483870967741937E-2</v>
      </c>
      <c r="AX425">
        <v>0.18951612903225809</v>
      </c>
      <c r="AY425">
        <v>0.35483870967741937</v>
      </c>
      <c r="AZ425">
        <v>0.1290322580645161</v>
      </c>
      <c r="BA425">
        <v>0.66666666666666663</v>
      </c>
      <c r="BB425">
        <v>0.69791666666666663</v>
      </c>
      <c r="BC425">
        <v>0.4</v>
      </c>
      <c r="BD425">
        <v>0.70564516129032251</v>
      </c>
      <c r="BE425">
        <v>4</v>
      </c>
      <c r="BF425">
        <v>0.61755712365591398</v>
      </c>
      <c r="BG425">
        <v>0.68</v>
      </c>
      <c r="BH425" t="s">
        <v>86</v>
      </c>
      <c r="BI425">
        <v>0.62</v>
      </c>
      <c r="BJ425" t="s">
        <v>86</v>
      </c>
      <c r="BK425" s="2">
        <f t="shared" si="13"/>
        <v>6.0000000000000053E-2</v>
      </c>
      <c r="BL425" t="b">
        <f t="shared" si="14"/>
        <v>1</v>
      </c>
    </row>
    <row r="426" spans="1:64" x14ac:dyDescent="0.35">
      <c r="A426" t="s">
        <v>1206</v>
      </c>
      <c r="B426" t="s">
        <v>1201</v>
      </c>
      <c r="C426">
        <v>2021</v>
      </c>
      <c r="D426" t="s">
        <v>1202</v>
      </c>
      <c r="E426" t="s">
        <v>1203</v>
      </c>
      <c r="F426" t="s">
        <v>66</v>
      </c>
      <c r="G426" t="s">
        <v>101</v>
      </c>
      <c r="H426" t="s">
        <v>184</v>
      </c>
      <c r="I426" t="s">
        <v>1204</v>
      </c>
      <c r="J426" t="s">
        <v>70</v>
      </c>
      <c r="L426">
        <v>1</v>
      </c>
      <c r="M426" t="b">
        <v>0</v>
      </c>
      <c r="N426">
        <v>1</v>
      </c>
      <c r="O426">
        <v>1</v>
      </c>
      <c r="P426">
        <v>7</v>
      </c>
      <c r="Q426">
        <v>3</v>
      </c>
      <c r="R426">
        <v>4</v>
      </c>
      <c r="S426">
        <v>5</v>
      </c>
      <c r="T426">
        <v>23</v>
      </c>
      <c r="U426">
        <v>162</v>
      </c>
      <c r="V426">
        <v>115</v>
      </c>
      <c r="W426">
        <v>21</v>
      </c>
      <c r="X426">
        <v>5.4761904761904763</v>
      </c>
      <c r="Y426">
        <v>3</v>
      </c>
      <c r="Z426">
        <v>19</v>
      </c>
      <c r="AA426">
        <v>1</v>
      </c>
      <c r="AB426">
        <v>1</v>
      </c>
      <c r="AC426">
        <v>3</v>
      </c>
      <c r="AD426">
        <v>3</v>
      </c>
      <c r="AE426">
        <v>31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10</v>
      </c>
      <c r="AL426">
        <v>2</v>
      </c>
      <c r="AM426">
        <v>10</v>
      </c>
      <c r="AN426">
        <v>4</v>
      </c>
      <c r="AO426">
        <v>20</v>
      </c>
      <c r="AP426">
        <v>7</v>
      </c>
      <c r="AQ426">
        <v>51</v>
      </c>
      <c r="AR426">
        <v>0.1172839506172839</v>
      </c>
      <c r="AS426">
        <v>6.1728395061728392E-3</v>
      </c>
      <c r="AT426">
        <v>0.19135802469135799</v>
      </c>
      <c r="AU426">
        <v>0</v>
      </c>
      <c r="AV426">
        <v>0</v>
      </c>
      <c r="AW426">
        <v>6.1728395061728392E-2</v>
      </c>
      <c r="AX426">
        <v>0.1234567901234568</v>
      </c>
      <c r="AY426">
        <v>0.31481481481481483</v>
      </c>
      <c r="AZ426">
        <v>6.1728395061728392E-2</v>
      </c>
      <c r="BA426">
        <v>0.66666666666666663</v>
      </c>
      <c r="BB426">
        <v>0.74603174603174605</v>
      </c>
      <c r="BC426">
        <v>0.46666666666666667</v>
      </c>
      <c r="BD426">
        <v>0.6635802469135802</v>
      </c>
      <c r="BE426">
        <v>4</v>
      </c>
      <c r="BF426">
        <v>0.63573633156966491</v>
      </c>
      <c r="BG426">
        <v>0.64</v>
      </c>
      <c r="BH426" t="s">
        <v>86</v>
      </c>
      <c r="BI426">
        <v>0.64</v>
      </c>
      <c r="BJ426" t="s">
        <v>86</v>
      </c>
      <c r="BK426" s="2">
        <f t="shared" si="13"/>
        <v>0</v>
      </c>
      <c r="BL426" t="b">
        <f t="shared" si="14"/>
        <v>1</v>
      </c>
    </row>
    <row r="427" spans="1:64" x14ac:dyDescent="0.35">
      <c r="A427" t="s">
        <v>1207</v>
      </c>
      <c r="B427" t="s">
        <v>1208</v>
      </c>
      <c r="C427">
        <v>2017</v>
      </c>
      <c r="D427" t="s">
        <v>1209</v>
      </c>
      <c r="E427" t="s">
        <v>1210</v>
      </c>
      <c r="F427" t="s">
        <v>66</v>
      </c>
      <c r="G427" t="s">
        <v>101</v>
      </c>
      <c r="H427" t="s">
        <v>184</v>
      </c>
      <c r="I427" t="s">
        <v>311</v>
      </c>
      <c r="J427" t="s">
        <v>70</v>
      </c>
      <c r="L427">
        <v>1</v>
      </c>
      <c r="M427" t="b">
        <v>0</v>
      </c>
      <c r="N427">
        <v>1</v>
      </c>
      <c r="O427">
        <v>1</v>
      </c>
      <c r="P427">
        <v>4</v>
      </c>
      <c r="Q427">
        <v>2</v>
      </c>
      <c r="R427">
        <v>2</v>
      </c>
      <c r="S427">
        <v>4</v>
      </c>
      <c r="T427">
        <v>15</v>
      </c>
      <c r="U427">
        <v>337</v>
      </c>
      <c r="V427">
        <v>60</v>
      </c>
      <c r="W427">
        <v>11</v>
      </c>
      <c r="X427">
        <v>5.4545454545454541</v>
      </c>
      <c r="Y427">
        <v>4</v>
      </c>
      <c r="Z427">
        <v>63</v>
      </c>
      <c r="AA427">
        <v>0</v>
      </c>
      <c r="AB427">
        <v>0</v>
      </c>
      <c r="AC427">
        <v>1</v>
      </c>
      <c r="AD427">
        <v>1</v>
      </c>
      <c r="AE427">
        <v>19</v>
      </c>
      <c r="AF427">
        <v>0</v>
      </c>
      <c r="AG427">
        <v>0</v>
      </c>
      <c r="AH427">
        <v>1</v>
      </c>
      <c r="AI427">
        <v>19</v>
      </c>
      <c r="AJ427">
        <v>1</v>
      </c>
      <c r="AK427">
        <v>9</v>
      </c>
      <c r="AL427">
        <v>2</v>
      </c>
      <c r="AM427">
        <v>28</v>
      </c>
      <c r="AN427">
        <v>4</v>
      </c>
      <c r="AO427">
        <v>63</v>
      </c>
      <c r="AP427">
        <v>5</v>
      </c>
      <c r="AQ427">
        <v>82</v>
      </c>
      <c r="AR427">
        <v>0.1869436201780415</v>
      </c>
      <c r="AS427">
        <v>0</v>
      </c>
      <c r="AT427">
        <v>5.637982195845697E-2</v>
      </c>
      <c r="AU427">
        <v>0</v>
      </c>
      <c r="AV427">
        <v>5.637982195845697E-2</v>
      </c>
      <c r="AW427">
        <v>8.3086053412462904E-2</v>
      </c>
      <c r="AX427">
        <v>0.1869436201780415</v>
      </c>
      <c r="AY427">
        <v>0.24332344213649851</v>
      </c>
      <c r="AZ427">
        <v>0.1038575667655786</v>
      </c>
      <c r="BA427">
        <v>0.5</v>
      </c>
      <c r="BB427">
        <v>0.74242424242424232</v>
      </c>
      <c r="BC427">
        <v>0.33333333333333331</v>
      </c>
      <c r="BD427">
        <v>0.68991097922848654</v>
      </c>
      <c r="BE427">
        <v>4</v>
      </c>
      <c r="BF427">
        <v>0.56641713874651556</v>
      </c>
      <c r="BG427">
        <v>0.57999999999999996</v>
      </c>
      <c r="BH427" t="s">
        <v>71</v>
      </c>
      <c r="BI427">
        <v>0.56999999999999995</v>
      </c>
      <c r="BJ427" t="s">
        <v>71</v>
      </c>
      <c r="BK427" s="2">
        <f t="shared" si="13"/>
        <v>1.0000000000000009E-2</v>
      </c>
      <c r="BL427" t="b">
        <f t="shared" si="14"/>
        <v>1</v>
      </c>
    </row>
    <row r="428" spans="1:64" x14ac:dyDescent="0.35">
      <c r="A428" t="s">
        <v>1211</v>
      </c>
      <c r="B428" t="s">
        <v>1208</v>
      </c>
      <c r="C428">
        <v>2021</v>
      </c>
      <c r="D428" t="s">
        <v>1209</v>
      </c>
      <c r="E428" t="s">
        <v>1210</v>
      </c>
      <c r="F428" t="s">
        <v>66</v>
      </c>
      <c r="G428" t="s">
        <v>101</v>
      </c>
      <c r="H428" t="s">
        <v>184</v>
      </c>
      <c r="I428" t="s">
        <v>311</v>
      </c>
      <c r="J428" t="s">
        <v>70</v>
      </c>
      <c r="L428">
        <v>1</v>
      </c>
      <c r="M428" t="b">
        <v>0</v>
      </c>
      <c r="N428">
        <v>3</v>
      </c>
      <c r="O428">
        <v>1</v>
      </c>
      <c r="P428">
        <v>2</v>
      </c>
      <c r="Q428">
        <v>2</v>
      </c>
      <c r="R428">
        <v>0</v>
      </c>
      <c r="S428">
        <v>4</v>
      </c>
      <c r="T428">
        <v>21</v>
      </c>
      <c r="U428">
        <v>441</v>
      </c>
      <c r="V428">
        <v>73</v>
      </c>
      <c r="W428">
        <v>17</v>
      </c>
      <c r="X428">
        <v>4.2941176470588234</v>
      </c>
      <c r="Y428">
        <v>1</v>
      </c>
      <c r="Z428">
        <v>241</v>
      </c>
      <c r="AA428">
        <v>0</v>
      </c>
      <c r="AB428">
        <v>0</v>
      </c>
      <c r="AC428">
        <v>3</v>
      </c>
      <c r="AD428">
        <v>3</v>
      </c>
      <c r="AE428">
        <v>55</v>
      </c>
      <c r="AF428">
        <v>3</v>
      </c>
      <c r="AG428">
        <v>15</v>
      </c>
      <c r="AH428">
        <v>0</v>
      </c>
      <c r="AI428">
        <v>0</v>
      </c>
      <c r="AJ428">
        <v>2</v>
      </c>
      <c r="AK428">
        <v>14</v>
      </c>
      <c r="AL428">
        <v>2</v>
      </c>
      <c r="AM428">
        <v>14</v>
      </c>
      <c r="AN428">
        <v>4</v>
      </c>
      <c r="AO428">
        <v>256</v>
      </c>
      <c r="AP428">
        <v>4</v>
      </c>
      <c r="AQ428">
        <v>296</v>
      </c>
      <c r="AR428">
        <v>0.54648526077097503</v>
      </c>
      <c r="AS428">
        <v>0</v>
      </c>
      <c r="AT428">
        <v>0.1247165532879819</v>
      </c>
      <c r="AU428">
        <v>3.4013605442176867E-2</v>
      </c>
      <c r="AV428">
        <v>0</v>
      </c>
      <c r="AW428">
        <v>3.1746031746031737E-2</v>
      </c>
      <c r="AX428">
        <v>0.58049886621315194</v>
      </c>
      <c r="AY428">
        <v>0.67120181405895696</v>
      </c>
      <c r="AZ428">
        <v>0.5487528344671202</v>
      </c>
      <c r="BA428">
        <v>0.5</v>
      </c>
      <c r="BB428">
        <v>0.54901960784313719</v>
      </c>
      <c r="BC428">
        <v>0.26666666666666672</v>
      </c>
      <c r="BD428">
        <v>0.96797052154195007</v>
      </c>
      <c r="BE428">
        <v>4</v>
      </c>
      <c r="BF428">
        <v>0.57091419901293849</v>
      </c>
      <c r="BG428">
        <v>0.56999999999999995</v>
      </c>
      <c r="BH428" t="s">
        <v>71</v>
      </c>
      <c r="BI428">
        <v>0.56999999999999995</v>
      </c>
      <c r="BJ428" t="s">
        <v>71</v>
      </c>
      <c r="BK428" s="2">
        <f t="shared" si="13"/>
        <v>0</v>
      </c>
      <c r="BL428" t="b">
        <f t="shared" si="14"/>
        <v>1</v>
      </c>
    </row>
    <row r="429" spans="1:64" x14ac:dyDescent="0.35">
      <c r="A429" t="s">
        <v>1212</v>
      </c>
      <c r="B429" t="s">
        <v>1213</v>
      </c>
      <c r="C429">
        <v>2017</v>
      </c>
      <c r="D429" t="s">
        <v>1214</v>
      </c>
      <c r="E429" t="s">
        <v>1215</v>
      </c>
      <c r="F429" t="s">
        <v>66</v>
      </c>
      <c r="G429" t="s">
        <v>101</v>
      </c>
      <c r="H429" t="s">
        <v>184</v>
      </c>
      <c r="I429" t="s">
        <v>311</v>
      </c>
      <c r="J429" t="s">
        <v>70</v>
      </c>
      <c r="L429">
        <v>1</v>
      </c>
      <c r="M429" t="b">
        <v>0</v>
      </c>
      <c r="N429">
        <v>1</v>
      </c>
      <c r="O429">
        <v>1</v>
      </c>
      <c r="P429">
        <v>3</v>
      </c>
      <c r="Q429">
        <v>4</v>
      </c>
      <c r="R429">
        <v>-1</v>
      </c>
      <c r="S429">
        <v>4</v>
      </c>
      <c r="T429">
        <v>20</v>
      </c>
      <c r="U429">
        <v>269</v>
      </c>
      <c r="V429">
        <v>59</v>
      </c>
      <c r="W429">
        <v>13</v>
      </c>
      <c r="X429">
        <v>4.5384615384615383</v>
      </c>
      <c r="Y429">
        <v>4</v>
      </c>
      <c r="Z429">
        <v>37</v>
      </c>
      <c r="AA429">
        <v>0</v>
      </c>
      <c r="AB429">
        <v>0</v>
      </c>
      <c r="AC429">
        <v>1</v>
      </c>
      <c r="AD429">
        <v>1</v>
      </c>
      <c r="AE429">
        <v>19</v>
      </c>
      <c r="AF429">
        <v>0</v>
      </c>
      <c r="AG429">
        <v>0</v>
      </c>
      <c r="AH429">
        <v>1</v>
      </c>
      <c r="AI429">
        <v>7</v>
      </c>
      <c r="AJ429">
        <v>1</v>
      </c>
      <c r="AK429">
        <v>5</v>
      </c>
      <c r="AL429">
        <v>2</v>
      </c>
      <c r="AM429">
        <v>12</v>
      </c>
      <c r="AN429">
        <v>4</v>
      </c>
      <c r="AO429">
        <v>37</v>
      </c>
      <c r="AP429">
        <v>5</v>
      </c>
      <c r="AQ429">
        <v>56</v>
      </c>
      <c r="AR429">
        <v>0.13754646840148699</v>
      </c>
      <c r="AS429">
        <v>0</v>
      </c>
      <c r="AT429">
        <v>7.0631970260223054E-2</v>
      </c>
      <c r="AU429">
        <v>0</v>
      </c>
      <c r="AV429">
        <v>2.6022304832713759E-2</v>
      </c>
      <c r="AW429">
        <v>4.4609665427509292E-2</v>
      </c>
      <c r="AX429">
        <v>0.13754646840148699</v>
      </c>
      <c r="AY429">
        <v>0.20817843866171001</v>
      </c>
      <c r="AZ429">
        <v>9.2936802973977689E-2</v>
      </c>
      <c r="BA429">
        <v>0.5</v>
      </c>
      <c r="BB429">
        <v>0.58974358974358976</v>
      </c>
      <c r="BC429">
        <v>0.33333333333333331</v>
      </c>
      <c r="BD429">
        <v>0.68308550185873596</v>
      </c>
      <c r="BE429">
        <v>4</v>
      </c>
      <c r="BF429">
        <v>0.52654060623391474</v>
      </c>
      <c r="BG429">
        <v>0.53</v>
      </c>
      <c r="BH429" t="s">
        <v>71</v>
      </c>
      <c r="BI429">
        <v>0.53</v>
      </c>
      <c r="BJ429" t="s">
        <v>71</v>
      </c>
      <c r="BK429" s="2">
        <f t="shared" si="13"/>
        <v>0</v>
      </c>
      <c r="BL429" t="b">
        <f t="shared" si="14"/>
        <v>1</v>
      </c>
    </row>
    <row r="430" spans="1:64" x14ac:dyDescent="0.35">
      <c r="A430" t="s">
        <v>1216</v>
      </c>
      <c r="B430" t="s">
        <v>1213</v>
      </c>
      <c r="C430">
        <v>2020</v>
      </c>
      <c r="D430" t="s">
        <v>1214</v>
      </c>
      <c r="E430" t="s">
        <v>1215</v>
      </c>
      <c r="F430" t="s">
        <v>66</v>
      </c>
      <c r="G430" t="s">
        <v>101</v>
      </c>
      <c r="H430" t="s">
        <v>184</v>
      </c>
      <c r="I430" t="s">
        <v>311</v>
      </c>
      <c r="J430" t="s">
        <v>70</v>
      </c>
      <c r="L430">
        <v>1</v>
      </c>
      <c r="M430" t="b">
        <v>0</v>
      </c>
      <c r="N430">
        <v>1</v>
      </c>
      <c r="O430">
        <v>2</v>
      </c>
      <c r="P430">
        <v>7</v>
      </c>
      <c r="Q430">
        <v>4</v>
      </c>
      <c r="R430">
        <v>3</v>
      </c>
      <c r="S430">
        <v>5</v>
      </c>
      <c r="T430">
        <v>26</v>
      </c>
      <c r="U430">
        <v>299</v>
      </c>
      <c r="V430">
        <v>119</v>
      </c>
      <c r="W430">
        <v>21</v>
      </c>
      <c r="X430">
        <v>5.666666666666667</v>
      </c>
      <c r="Y430">
        <v>2</v>
      </c>
      <c r="Z430">
        <v>25</v>
      </c>
      <c r="AA430">
        <v>0</v>
      </c>
      <c r="AB430">
        <v>0</v>
      </c>
      <c r="AC430">
        <v>2</v>
      </c>
      <c r="AD430">
        <v>2</v>
      </c>
      <c r="AE430">
        <v>76</v>
      </c>
      <c r="AF430">
        <v>0</v>
      </c>
      <c r="AG430">
        <v>0</v>
      </c>
      <c r="AH430">
        <v>0</v>
      </c>
      <c r="AI430">
        <v>0</v>
      </c>
      <c r="AJ430">
        <v>2</v>
      </c>
      <c r="AK430">
        <v>32</v>
      </c>
      <c r="AL430">
        <v>2</v>
      </c>
      <c r="AM430">
        <v>32</v>
      </c>
      <c r="AN430">
        <v>2</v>
      </c>
      <c r="AO430">
        <v>25</v>
      </c>
      <c r="AP430">
        <v>4</v>
      </c>
      <c r="AQ430">
        <v>101</v>
      </c>
      <c r="AR430">
        <v>8.3612040133779264E-2</v>
      </c>
      <c r="AS430">
        <v>0</v>
      </c>
      <c r="AT430">
        <v>0.25418060200668902</v>
      </c>
      <c r="AU430">
        <v>0</v>
      </c>
      <c r="AV430">
        <v>0</v>
      </c>
      <c r="AW430">
        <v>0.1070234113712375</v>
      </c>
      <c r="AX430">
        <v>8.3612040133779264E-2</v>
      </c>
      <c r="AY430">
        <v>0.33779264214046822</v>
      </c>
      <c r="AZ430">
        <v>-2.3411371237458189E-2</v>
      </c>
      <c r="BA430">
        <v>0.66666666666666663</v>
      </c>
      <c r="BB430">
        <v>0.77777777777777779</v>
      </c>
      <c r="BC430">
        <v>0.26666666666666672</v>
      </c>
      <c r="BD430">
        <v>0.61036789297658856</v>
      </c>
      <c r="BE430">
        <v>4</v>
      </c>
      <c r="BF430">
        <v>0.5803697510219249</v>
      </c>
      <c r="BG430">
        <v>0.57999999999999996</v>
      </c>
      <c r="BH430" t="s">
        <v>71</v>
      </c>
      <c r="BI430">
        <v>0.57999999999999996</v>
      </c>
      <c r="BJ430" t="s">
        <v>71</v>
      </c>
      <c r="BK430" s="2">
        <f t="shared" si="13"/>
        <v>0</v>
      </c>
      <c r="BL430" t="b">
        <f t="shared" si="14"/>
        <v>1</v>
      </c>
    </row>
    <row r="431" spans="1:64" x14ac:dyDescent="0.35">
      <c r="A431" t="s">
        <v>1217</v>
      </c>
      <c r="B431" t="s">
        <v>1218</v>
      </c>
      <c r="C431">
        <v>2017</v>
      </c>
      <c r="D431" t="s">
        <v>1219</v>
      </c>
      <c r="E431" t="s">
        <v>1220</v>
      </c>
      <c r="F431" t="s">
        <v>66</v>
      </c>
      <c r="G431" t="s">
        <v>101</v>
      </c>
      <c r="H431" t="s">
        <v>184</v>
      </c>
      <c r="I431" t="s">
        <v>1221</v>
      </c>
      <c r="J431" t="s">
        <v>70</v>
      </c>
      <c r="L431">
        <v>1</v>
      </c>
      <c r="M431" t="b">
        <v>0</v>
      </c>
      <c r="N431">
        <v>1</v>
      </c>
      <c r="O431">
        <v>2</v>
      </c>
      <c r="P431">
        <v>14</v>
      </c>
      <c r="Q431">
        <v>2</v>
      </c>
      <c r="R431">
        <v>12</v>
      </c>
      <c r="S431">
        <v>7</v>
      </c>
      <c r="T431">
        <v>46</v>
      </c>
      <c r="U431">
        <v>844</v>
      </c>
      <c r="V431">
        <v>160</v>
      </c>
      <c r="W431">
        <v>24</v>
      </c>
      <c r="X431">
        <v>6.666666666666667</v>
      </c>
      <c r="Y431">
        <v>8</v>
      </c>
      <c r="Z431">
        <v>120</v>
      </c>
      <c r="AA431">
        <v>0</v>
      </c>
      <c r="AB431">
        <v>0</v>
      </c>
      <c r="AC431">
        <v>1</v>
      </c>
      <c r="AD431">
        <v>1</v>
      </c>
      <c r="AE431">
        <v>16</v>
      </c>
      <c r="AF431">
        <v>0</v>
      </c>
      <c r="AG431">
        <v>0</v>
      </c>
      <c r="AH431">
        <v>2</v>
      </c>
      <c r="AI431">
        <v>9</v>
      </c>
      <c r="AJ431">
        <v>1</v>
      </c>
      <c r="AK431">
        <v>1</v>
      </c>
      <c r="AL431">
        <v>3</v>
      </c>
      <c r="AM431">
        <v>10</v>
      </c>
      <c r="AN431">
        <v>8</v>
      </c>
      <c r="AO431">
        <v>120</v>
      </c>
      <c r="AP431">
        <v>9</v>
      </c>
      <c r="AQ431">
        <v>136</v>
      </c>
      <c r="AR431">
        <v>0.14218009478672991</v>
      </c>
      <c r="AS431">
        <v>0</v>
      </c>
      <c r="AT431">
        <v>1.8957345971563979E-2</v>
      </c>
      <c r="AU431">
        <v>0</v>
      </c>
      <c r="AV431">
        <v>1.066350710900474E-2</v>
      </c>
      <c r="AW431">
        <v>1.1848341232227491E-2</v>
      </c>
      <c r="AX431">
        <v>0.14218009478672991</v>
      </c>
      <c r="AY431">
        <v>0.16113744075829381</v>
      </c>
      <c r="AZ431">
        <v>0.13033175355450241</v>
      </c>
      <c r="BA431">
        <v>1</v>
      </c>
      <c r="BB431">
        <v>0.94444444444444453</v>
      </c>
      <c r="BC431">
        <v>0.6</v>
      </c>
      <c r="BD431">
        <v>0.70645734597156395</v>
      </c>
      <c r="BE431">
        <v>4</v>
      </c>
      <c r="BF431">
        <v>0.81272544760400212</v>
      </c>
      <c r="BG431">
        <v>0.82</v>
      </c>
      <c r="BH431" t="s">
        <v>164</v>
      </c>
      <c r="BI431">
        <v>0.81</v>
      </c>
      <c r="BJ431" t="s">
        <v>164</v>
      </c>
      <c r="BK431" s="2">
        <f t="shared" si="13"/>
        <v>9.9999999999998979E-3</v>
      </c>
      <c r="BL431" t="b">
        <f t="shared" si="14"/>
        <v>1</v>
      </c>
    </row>
    <row r="432" spans="1:64" x14ac:dyDescent="0.35">
      <c r="A432" t="s">
        <v>1222</v>
      </c>
      <c r="B432" t="s">
        <v>1218</v>
      </c>
      <c r="C432">
        <v>2020</v>
      </c>
      <c r="D432" t="s">
        <v>1219</v>
      </c>
      <c r="E432" t="s">
        <v>1220</v>
      </c>
      <c r="F432" t="s">
        <v>66</v>
      </c>
      <c r="G432" t="s">
        <v>101</v>
      </c>
      <c r="H432" t="s">
        <v>184</v>
      </c>
      <c r="I432" t="s">
        <v>1221</v>
      </c>
      <c r="J432" t="s">
        <v>70</v>
      </c>
      <c r="L432">
        <v>1</v>
      </c>
      <c r="M432" t="b">
        <v>0</v>
      </c>
      <c r="N432">
        <v>1</v>
      </c>
      <c r="O432">
        <v>1</v>
      </c>
      <c r="P432">
        <v>7</v>
      </c>
      <c r="Q432">
        <v>4</v>
      </c>
      <c r="R432">
        <v>3</v>
      </c>
      <c r="S432">
        <v>4</v>
      </c>
      <c r="T432">
        <v>22</v>
      </c>
      <c r="U432">
        <v>367</v>
      </c>
      <c r="V432">
        <v>94</v>
      </c>
      <c r="W432">
        <v>18</v>
      </c>
      <c r="X432">
        <v>5.2222222222222223</v>
      </c>
      <c r="Y432">
        <v>3</v>
      </c>
      <c r="Z432">
        <v>68</v>
      </c>
      <c r="AA432">
        <v>0</v>
      </c>
      <c r="AB432">
        <v>0</v>
      </c>
      <c r="AC432">
        <v>2</v>
      </c>
      <c r="AD432">
        <v>2</v>
      </c>
      <c r="AE432">
        <v>56</v>
      </c>
      <c r="AF432">
        <v>1</v>
      </c>
      <c r="AG432">
        <v>1</v>
      </c>
      <c r="AH432">
        <v>2</v>
      </c>
      <c r="AI432">
        <v>53</v>
      </c>
      <c r="AJ432">
        <v>1</v>
      </c>
      <c r="AK432">
        <v>7</v>
      </c>
      <c r="AL432">
        <v>3</v>
      </c>
      <c r="AM432">
        <v>60</v>
      </c>
      <c r="AN432">
        <v>4</v>
      </c>
      <c r="AO432">
        <v>69</v>
      </c>
      <c r="AP432">
        <v>5</v>
      </c>
      <c r="AQ432">
        <v>124</v>
      </c>
      <c r="AR432">
        <v>0.18528610354223429</v>
      </c>
      <c r="AS432">
        <v>0</v>
      </c>
      <c r="AT432">
        <v>0.1525885558583106</v>
      </c>
      <c r="AU432">
        <v>2.7247956403269749E-3</v>
      </c>
      <c r="AV432">
        <v>0.1444141689373297</v>
      </c>
      <c r="AW432">
        <v>0.1634877384196185</v>
      </c>
      <c r="AX432">
        <v>0.18801089918256131</v>
      </c>
      <c r="AY432">
        <v>0.33787465940054501</v>
      </c>
      <c r="AZ432">
        <v>2.4523160762942781E-2</v>
      </c>
      <c r="BA432">
        <v>0.5</v>
      </c>
      <c r="BB432">
        <v>0.70370370370370372</v>
      </c>
      <c r="BC432">
        <v>0.33333333333333331</v>
      </c>
      <c r="BD432">
        <v>0.64032697547683926</v>
      </c>
      <c r="BE432">
        <v>4</v>
      </c>
      <c r="BF432">
        <v>0.54434100312846911</v>
      </c>
      <c r="BG432">
        <v>0.56999999999999995</v>
      </c>
      <c r="BH432" t="s">
        <v>71</v>
      </c>
      <c r="BI432">
        <v>0.54</v>
      </c>
      <c r="BJ432" t="s">
        <v>71</v>
      </c>
      <c r="BK432" s="2">
        <f t="shared" si="13"/>
        <v>2.9999999999999916E-2</v>
      </c>
      <c r="BL432" t="b">
        <f t="shared" si="14"/>
        <v>1</v>
      </c>
    </row>
    <row r="433" spans="1:64" x14ac:dyDescent="0.35">
      <c r="A433" t="s">
        <v>1223</v>
      </c>
      <c r="B433" t="s">
        <v>1224</v>
      </c>
      <c r="C433">
        <v>2017</v>
      </c>
      <c r="D433" t="s">
        <v>1225</v>
      </c>
      <c r="E433" t="s">
        <v>1226</v>
      </c>
      <c r="F433" t="s">
        <v>66</v>
      </c>
      <c r="G433" t="s">
        <v>101</v>
      </c>
      <c r="H433" t="s">
        <v>184</v>
      </c>
      <c r="I433" t="s">
        <v>150</v>
      </c>
      <c r="J433" t="s">
        <v>70</v>
      </c>
      <c r="L433">
        <v>1</v>
      </c>
      <c r="M433" t="b">
        <v>0</v>
      </c>
      <c r="N433">
        <v>1</v>
      </c>
      <c r="O433">
        <v>3</v>
      </c>
      <c r="P433">
        <v>9</v>
      </c>
      <c r="Q433">
        <v>2</v>
      </c>
      <c r="R433">
        <v>7</v>
      </c>
      <c r="S433">
        <v>6</v>
      </c>
      <c r="T433">
        <v>28</v>
      </c>
      <c r="U433">
        <v>313</v>
      </c>
      <c r="V433">
        <v>107</v>
      </c>
      <c r="W433">
        <v>19</v>
      </c>
      <c r="X433">
        <v>5.6315789473684212</v>
      </c>
      <c r="Y433">
        <v>3</v>
      </c>
      <c r="Z433">
        <v>30</v>
      </c>
      <c r="AA433">
        <v>0</v>
      </c>
      <c r="AB433">
        <v>0</v>
      </c>
      <c r="AC433">
        <v>3</v>
      </c>
      <c r="AD433">
        <v>3</v>
      </c>
      <c r="AE433">
        <v>37</v>
      </c>
      <c r="AF433">
        <v>0</v>
      </c>
      <c r="AG433">
        <v>0</v>
      </c>
      <c r="AH433">
        <v>2</v>
      </c>
      <c r="AI433">
        <v>21</v>
      </c>
      <c r="AJ433">
        <v>1</v>
      </c>
      <c r="AK433">
        <v>4</v>
      </c>
      <c r="AL433">
        <v>3</v>
      </c>
      <c r="AM433">
        <v>25</v>
      </c>
      <c r="AN433">
        <v>3</v>
      </c>
      <c r="AO433">
        <v>30</v>
      </c>
      <c r="AP433">
        <v>6</v>
      </c>
      <c r="AQ433">
        <v>67</v>
      </c>
      <c r="AR433">
        <v>9.5846645367412137E-2</v>
      </c>
      <c r="AS433">
        <v>0</v>
      </c>
      <c r="AT433">
        <v>0.1182108626198083</v>
      </c>
      <c r="AU433">
        <v>0</v>
      </c>
      <c r="AV433">
        <v>6.7092651757188496E-2</v>
      </c>
      <c r="AW433">
        <v>7.9872204472843447E-2</v>
      </c>
      <c r="AX433">
        <v>9.5846645367412137E-2</v>
      </c>
      <c r="AY433">
        <v>0.21405750798722051</v>
      </c>
      <c r="AZ433">
        <v>1.5974440894568689E-2</v>
      </c>
      <c r="BA433">
        <v>0.83333333333333337</v>
      </c>
      <c r="BB433">
        <v>0.77192982456140358</v>
      </c>
      <c r="BC433">
        <v>0.4</v>
      </c>
      <c r="BD433">
        <v>0.63498402555910549</v>
      </c>
      <c r="BE433">
        <v>4</v>
      </c>
      <c r="BF433">
        <v>0.66006179586346059</v>
      </c>
      <c r="BG433">
        <v>0.67</v>
      </c>
      <c r="BH433" t="s">
        <v>86</v>
      </c>
      <c r="BI433">
        <v>0.66</v>
      </c>
      <c r="BJ433" t="s">
        <v>86</v>
      </c>
      <c r="BK433" s="2">
        <f t="shared" si="13"/>
        <v>1.0000000000000009E-2</v>
      </c>
      <c r="BL433" t="b">
        <f t="shared" si="14"/>
        <v>1</v>
      </c>
    </row>
    <row r="434" spans="1:64" x14ac:dyDescent="0.35">
      <c r="A434" t="s">
        <v>1227</v>
      </c>
      <c r="B434" t="s">
        <v>1224</v>
      </c>
      <c r="C434">
        <v>2022</v>
      </c>
      <c r="D434" t="s">
        <v>1225</v>
      </c>
      <c r="E434" t="s">
        <v>1226</v>
      </c>
      <c r="F434" t="s">
        <v>66</v>
      </c>
      <c r="G434" t="s">
        <v>101</v>
      </c>
      <c r="H434" t="s">
        <v>184</v>
      </c>
      <c r="I434" t="s">
        <v>150</v>
      </c>
      <c r="J434" t="s">
        <v>70</v>
      </c>
      <c r="L434">
        <v>1</v>
      </c>
      <c r="M434" t="b">
        <v>0</v>
      </c>
      <c r="N434">
        <v>3</v>
      </c>
      <c r="O434">
        <v>2</v>
      </c>
      <c r="P434">
        <v>6</v>
      </c>
      <c r="Q434">
        <v>3</v>
      </c>
      <c r="R434">
        <v>3</v>
      </c>
      <c r="S434">
        <v>4</v>
      </c>
      <c r="T434">
        <v>28</v>
      </c>
      <c r="U434">
        <v>1825</v>
      </c>
      <c r="V434">
        <v>112</v>
      </c>
      <c r="W434">
        <v>22</v>
      </c>
      <c r="X434">
        <v>5.0909090909090908</v>
      </c>
      <c r="Y434">
        <v>6</v>
      </c>
      <c r="Z434">
        <v>245</v>
      </c>
      <c r="AA434">
        <v>1</v>
      </c>
      <c r="AB434">
        <v>1</v>
      </c>
      <c r="AC434">
        <v>5</v>
      </c>
      <c r="AD434">
        <v>5</v>
      </c>
      <c r="AE434">
        <v>1398</v>
      </c>
      <c r="AF434">
        <v>2</v>
      </c>
      <c r="AG434">
        <v>4</v>
      </c>
      <c r="AH434">
        <v>2</v>
      </c>
      <c r="AI434">
        <v>70</v>
      </c>
      <c r="AJ434">
        <v>2</v>
      </c>
      <c r="AK434">
        <v>6</v>
      </c>
      <c r="AL434">
        <v>4</v>
      </c>
      <c r="AM434">
        <v>76</v>
      </c>
      <c r="AN434">
        <v>9</v>
      </c>
      <c r="AO434">
        <v>250</v>
      </c>
      <c r="AP434">
        <v>12</v>
      </c>
      <c r="AQ434">
        <v>1644</v>
      </c>
      <c r="AR434">
        <v>0.13424657534246581</v>
      </c>
      <c r="AS434">
        <v>5.4794520547945202E-4</v>
      </c>
      <c r="AT434">
        <v>0.76602739726027402</v>
      </c>
      <c r="AU434">
        <v>2.1917808219178081E-3</v>
      </c>
      <c r="AV434">
        <v>3.8356164383561653E-2</v>
      </c>
      <c r="AW434">
        <v>4.1643835616438363E-2</v>
      </c>
      <c r="AX434">
        <v>0.13698630136986301</v>
      </c>
      <c r="AY434">
        <v>0.90082191780821919</v>
      </c>
      <c r="AZ434">
        <v>9.5342465753424643E-2</v>
      </c>
      <c r="BA434">
        <v>0.5</v>
      </c>
      <c r="BB434">
        <v>0.68181818181818177</v>
      </c>
      <c r="BC434">
        <v>0.8</v>
      </c>
      <c r="BD434">
        <v>0.68458904109589047</v>
      </c>
      <c r="BE434">
        <v>4</v>
      </c>
      <c r="BF434">
        <v>0.66660180572851813</v>
      </c>
      <c r="BG434">
        <v>0.69</v>
      </c>
      <c r="BH434" t="s">
        <v>86</v>
      </c>
      <c r="BI434">
        <v>0.67</v>
      </c>
      <c r="BJ434" t="s">
        <v>86</v>
      </c>
      <c r="BK434" s="2">
        <f t="shared" si="13"/>
        <v>1.9999999999999907E-2</v>
      </c>
      <c r="BL434" t="b">
        <f t="shared" si="14"/>
        <v>1</v>
      </c>
    </row>
    <row r="435" spans="1:64" x14ac:dyDescent="0.35">
      <c r="A435" t="s">
        <v>1228</v>
      </c>
      <c r="B435" t="s">
        <v>1229</v>
      </c>
      <c r="C435">
        <v>2014</v>
      </c>
      <c r="D435" t="s">
        <v>1230</v>
      </c>
      <c r="E435" t="s">
        <v>1231</v>
      </c>
      <c r="F435" t="s">
        <v>66</v>
      </c>
      <c r="G435" t="s">
        <v>101</v>
      </c>
      <c r="H435" t="s">
        <v>211</v>
      </c>
      <c r="I435" t="s">
        <v>591</v>
      </c>
      <c r="J435" t="s">
        <v>70</v>
      </c>
      <c r="L435">
        <v>1</v>
      </c>
      <c r="M435" t="b">
        <v>0</v>
      </c>
      <c r="N435">
        <v>2</v>
      </c>
      <c r="O435">
        <v>2</v>
      </c>
      <c r="P435">
        <v>5</v>
      </c>
      <c r="Q435">
        <v>4</v>
      </c>
      <c r="R435">
        <v>1</v>
      </c>
      <c r="S435">
        <v>4</v>
      </c>
      <c r="T435">
        <v>22</v>
      </c>
      <c r="U435">
        <v>1071</v>
      </c>
      <c r="V435">
        <v>106</v>
      </c>
      <c r="W435">
        <v>20</v>
      </c>
      <c r="X435">
        <v>5.3</v>
      </c>
      <c r="Y435">
        <v>2</v>
      </c>
      <c r="Z435">
        <v>48</v>
      </c>
      <c r="AA435">
        <v>0</v>
      </c>
      <c r="AB435">
        <v>0</v>
      </c>
      <c r="AC435">
        <v>2</v>
      </c>
      <c r="AD435">
        <v>2</v>
      </c>
      <c r="AE435">
        <v>35</v>
      </c>
      <c r="AF435">
        <v>1</v>
      </c>
      <c r="AG435">
        <v>87</v>
      </c>
      <c r="AH435">
        <v>0</v>
      </c>
      <c r="AI435">
        <v>0</v>
      </c>
      <c r="AJ435">
        <v>1</v>
      </c>
      <c r="AK435">
        <v>5</v>
      </c>
      <c r="AL435">
        <v>1</v>
      </c>
      <c r="AM435">
        <v>5</v>
      </c>
      <c r="AN435">
        <v>3</v>
      </c>
      <c r="AO435">
        <v>135</v>
      </c>
      <c r="AP435">
        <v>4</v>
      </c>
      <c r="AQ435">
        <v>83</v>
      </c>
      <c r="AR435">
        <v>4.4817927170868348E-2</v>
      </c>
      <c r="AS435">
        <v>0</v>
      </c>
      <c r="AT435">
        <v>3.2679738562091512E-2</v>
      </c>
      <c r="AU435">
        <v>8.1232492997198882E-2</v>
      </c>
      <c r="AV435">
        <v>0</v>
      </c>
      <c r="AW435">
        <v>4.6685340802987861E-3</v>
      </c>
      <c r="AX435">
        <v>0.1260504201680672</v>
      </c>
      <c r="AY435">
        <v>7.7497665732959853E-2</v>
      </c>
      <c r="AZ435">
        <v>0.1213818860877684</v>
      </c>
      <c r="BA435">
        <v>0.5</v>
      </c>
      <c r="BB435">
        <v>0.71666666666666667</v>
      </c>
      <c r="BC435">
        <v>0.26666666666666672</v>
      </c>
      <c r="BD435">
        <v>0.70086367880485523</v>
      </c>
      <c r="BE435">
        <v>4</v>
      </c>
      <c r="BF435">
        <v>0.5460492530345471</v>
      </c>
      <c r="BG435">
        <v>0.54</v>
      </c>
      <c r="BH435" t="s">
        <v>71</v>
      </c>
      <c r="BI435">
        <v>0.55000000000000004</v>
      </c>
      <c r="BJ435" t="s">
        <v>71</v>
      </c>
      <c r="BK435" s="2">
        <f t="shared" si="13"/>
        <v>-1.0000000000000009E-2</v>
      </c>
      <c r="BL435" t="b">
        <f t="shared" si="14"/>
        <v>1</v>
      </c>
    </row>
    <row r="436" spans="1:64" x14ac:dyDescent="0.35">
      <c r="A436" t="s">
        <v>1232</v>
      </c>
      <c r="B436" t="s">
        <v>1229</v>
      </c>
      <c r="C436">
        <v>2019</v>
      </c>
      <c r="D436" t="s">
        <v>1230</v>
      </c>
      <c r="E436" t="s">
        <v>1231</v>
      </c>
      <c r="F436" t="s">
        <v>66</v>
      </c>
      <c r="G436" t="s">
        <v>101</v>
      </c>
      <c r="H436" t="s">
        <v>211</v>
      </c>
      <c r="I436" t="s">
        <v>591</v>
      </c>
      <c r="J436" t="s">
        <v>70</v>
      </c>
      <c r="L436">
        <v>1</v>
      </c>
      <c r="M436" t="b">
        <v>0</v>
      </c>
      <c r="N436">
        <v>3</v>
      </c>
      <c r="O436">
        <v>1</v>
      </c>
      <c r="P436">
        <v>1</v>
      </c>
      <c r="Q436">
        <v>2</v>
      </c>
      <c r="R436">
        <v>-1</v>
      </c>
      <c r="S436">
        <v>4</v>
      </c>
      <c r="T436">
        <v>16</v>
      </c>
      <c r="U436">
        <v>209</v>
      </c>
      <c r="V436">
        <v>65</v>
      </c>
      <c r="W436">
        <v>14</v>
      </c>
      <c r="X436">
        <v>4.6428571428571432</v>
      </c>
      <c r="Y436">
        <v>0</v>
      </c>
      <c r="Z436">
        <v>0</v>
      </c>
      <c r="AA436">
        <v>0</v>
      </c>
      <c r="AB436">
        <v>0</v>
      </c>
      <c r="AC436">
        <v>3</v>
      </c>
      <c r="AD436">
        <v>3</v>
      </c>
      <c r="AE436">
        <v>48</v>
      </c>
      <c r="AF436">
        <v>1</v>
      </c>
      <c r="AG436">
        <v>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4</v>
      </c>
      <c r="AP436">
        <v>3</v>
      </c>
      <c r="AQ436">
        <v>48</v>
      </c>
      <c r="AR436">
        <v>0</v>
      </c>
      <c r="AS436">
        <v>0</v>
      </c>
      <c r="AT436">
        <v>0.22966507177033491</v>
      </c>
      <c r="AU436">
        <v>1.913875598086124E-2</v>
      </c>
      <c r="AV436">
        <v>0</v>
      </c>
      <c r="AW436">
        <v>0</v>
      </c>
      <c r="AX436">
        <v>1.913875598086124E-2</v>
      </c>
      <c r="AY436">
        <v>0.22966507177033491</v>
      </c>
      <c r="AZ436">
        <v>1.913875598086124E-2</v>
      </c>
      <c r="BA436">
        <v>0.5</v>
      </c>
      <c r="BB436">
        <v>0.60714285714285721</v>
      </c>
      <c r="BC436">
        <v>0.2</v>
      </c>
      <c r="BD436">
        <v>0.63696172248803828</v>
      </c>
      <c r="BE436">
        <v>4</v>
      </c>
      <c r="BF436">
        <v>0.48602614490772389</v>
      </c>
      <c r="BG436">
        <v>0.49</v>
      </c>
      <c r="BH436" t="s">
        <v>71</v>
      </c>
      <c r="BI436">
        <v>0.49</v>
      </c>
      <c r="BJ436" t="s">
        <v>71</v>
      </c>
      <c r="BK436" s="2">
        <f t="shared" si="13"/>
        <v>0</v>
      </c>
      <c r="BL436" t="b">
        <f t="shared" si="14"/>
        <v>1</v>
      </c>
    </row>
    <row r="437" spans="1:64" x14ac:dyDescent="0.35">
      <c r="A437" t="s">
        <v>1233</v>
      </c>
      <c r="B437" t="s">
        <v>1229</v>
      </c>
      <c r="C437">
        <v>2022</v>
      </c>
      <c r="D437" t="s">
        <v>1230</v>
      </c>
      <c r="E437" t="s">
        <v>1231</v>
      </c>
      <c r="F437" t="s">
        <v>66</v>
      </c>
      <c r="G437" t="s">
        <v>101</v>
      </c>
      <c r="H437" t="s">
        <v>211</v>
      </c>
      <c r="I437" t="s">
        <v>591</v>
      </c>
      <c r="J437" t="s">
        <v>70</v>
      </c>
      <c r="L437">
        <v>1</v>
      </c>
      <c r="M437" t="b">
        <v>0</v>
      </c>
      <c r="N437">
        <v>1</v>
      </c>
      <c r="O437">
        <v>2</v>
      </c>
      <c r="P437">
        <v>8</v>
      </c>
      <c r="Q437">
        <v>1</v>
      </c>
      <c r="R437">
        <v>7</v>
      </c>
      <c r="S437">
        <v>6</v>
      </c>
      <c r="T437">
        <v>23</v>
      </c>
      <c r="U437">
        <v>527</v>
      </c>
      <c r="V437">
        <v>108</v>
      </c>
      <c r="W437">
        <v>17</v>
      </c>
      <c r="X437">
        <v>6.3529411764705879</v>
      </c>
      <c r="Y437">
        <v>2</v>
      </c>
      <c r="Z437">
        <v>106</v>
      </c>
      <c r="AA437">
        <v>2</v>
      </c>
      <c r="AB437">
        <v>15</v>
      </c>
      <c r="AC437">
        <v>3</v>
      </c>
      <c r="AD437">
        <v>2</v>
      </c>
      <c r="AE437">
        <v>17</v>
      </c>
      <c r="AF437">
        <v>1</v>
      </c>
      <c r="AG437">
        <v>123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5</v>
      </c>
      <c r="AO437">
        <v>244</v>
      </c>
      <c r="AP437">
        <v>6</v>
      </c>
      <c r="AQ437">
        <v>138</v>
      </c>
      <c r="AR437">
        <v>0.2011385199240987</v>
      </c>
      <c r="AS437">
        <v>2.8462998102466788E-2</v>
      </c>
      <c r="AT437">
        <v>3.2258064516129031E-2</v>
      </c>
      <c r="AU437">
        <v>0.23339658444022771</v>
      </c>
      <c r="AV437">
        <v>0</v>
      </c>
      <c r="AW437">
        <v>0</v>
      </c>
      <c r="AX437">
        <v>0.46299810246679318</v>
      </c>
      <c r="AY437">
        <v>0.26185958254269448</v>
      </c>
      <c r="AZ437">
        <v>0.46299810246679318</v>
      </c>
      <c r="BA437">
        <v>0.83333333333333337</v>
      </c>
      <c r="BB437">
        <v>0.89215686274509798</v>
      </c>
      <c r="BC437">
        <v>0.4</v>
      </c>
      <c r="BD437">
        <v>0.91437381404174567</v>
      </c>
      <c r="BE437">
        <v>4</v>
      </c>
      <c r="BF437">
        <v>0.75996600253004432</v>
      </c>
      <c r="BG437">
        <v>0.75</v>
      </c>
      <c r="BH437" t="s">
        <v>86</v>
      </c>
      <c r="BI437">
        <v>0.76</v>
      </c>
      <c r="BJ437" t="s">
        <v>86</v>
      </c>
      <c r="BK437" s="2">
        <f t="shared" si="13"/>
        <v>-1.0000000000000009E-2</v>
      </c>
      <c r="BL437" t="b">
        <f t="shared" si="14"/>
        <v>1</v>
      </c>
    </row>
    <row r="438" spans="1:64" x14ac:dyDescent="0.35">
      <c r="A438" t="s">
        <v>1234</v>
      </c>
      <c r="B438" t="s">
        <v>1235</v>
      </c>
      <c r="C438">
        <v>2017</v>
      </c>
      <c r="D438" t="s">
        <v>1236</v>
      </c>
      <c r="E438" t="s">
        <v>1237</v>
      </c>
      <c r="F438" t="s">
        <v>66</v>
      </c>
      <c r="G438" t="s">
        <v>101</v>
      </c>
      <c r="H438" t="s">
        <v>184</v>
      </c>
      <c r="I438" t="s">
        <v>1238</v>
      </c>
      <c r="J438" t="s">
        <v>70</v>
      </c>
      <c r="L438">
        <v>1</v>
      </c>
      <c r="M438" t="b">
        <v>0</v>
      </c>
      <c r="N438">
        <v>3</v>
      </c>
      <c r="O438">
        <v>1</v>
      </c>
      <c r="P438">
        <v>3</v>
      </c>
      <c r="Q438">
        <v>0</v>
      </c>
      <c r="R438">
        <v>3</v>
      </c>
      <c r="S438">
        <v>4</v>
      </c>
      <c r="T438">
        <v>13</v>
      </c>
      <c r="U438">
        <v>702</v>
      </c>
      <c r="V438">
        <v>51</v>
      </c>
      <c r="W438">
        <v>11</v>
      </c>
      <c r="X438">
        <v>4.6363636363636367</v>
      </c>
      <c r="Y438">
        <v>1</v>
      </c>
      <c r="Z438">
        <v>90</v>
      </c>
      <c r="AA438">
        <v>0</v>
      </c>
      <c r="AB438">
        <v>0</v>
      </c>
      <c r="AC438">
        <v>3</v>
      </c>
      <c r="AD438">
        <v>3</v>
      </c>
      <c r="AE438">
        <v>348</v>
      </c>
      <c r="AF438">
        <v>2</v>
      </c>
      <c r="AG438">
        <v>12</v>
      </c>
      <c r="AH438">
        <v>1</v>
      </c>
      <c r="AI438">
        <v>143</v>
      </c>
      <c r="AJ438">
        <v>0</v>
      </c>
      <c r="AK438">
        <v>0</v>
      </c>
      <c r="AL438">
        <v>1</v>
      </c>
      <c r="AM438">
        <v>143</v>
      </c>
      <c r="AN438">
        <v>3</v>
      </c>
      <c r="AO438">
        <v>102</v>
      </c>
      <c r="AP438">
        <v>4</v>
      </c>
      <c r="AQ438">
        <v>438</v>
      </c>
      <c r="AR438">
        <v>0.12820512820512819</v>
      </c>
      <c r="AS438">
        <v>0</v>
      </c>
      <c r="AT438">
        <v>0.49572649572649569</v>
      </c>
      <c r="AU438">
        <v>1.7094017094017099E-2</v>
      </c>
      <c r="AV438">
        <v>0.20370370370370369</v>
      </c>
      <c r="AW438">
        <v>0.20370370370370369</v>
      </c>
      <c r="AX438">
        <v>0.14529914529914531</v>
      </c>
      <c r="AY438">
        <v>0.62393162393162394</v>
      </c>
      <c r="AZ438">
        <v>-5.8404558404558382E-2</v>
      </c>
      <c r="BA438">
        <v>0.5</v>
      </c>
      <c r="BB438">
        <v>0.60606060606060608</v>
      </c>
      <c r="BC438">
        <v>0.26666666666666672</v>
      </c>
      <c r="BD438">
        <v>0.58849715099715094</v>
      </c>
      <c r="BE438">
        <v>4</v>
      </c>
      <c r="BF438">
        <v>0.49030610593110591</v>
      </c>
      <c r="BG438">
        <v>0.52</v>
      </c>
      <c r="BH438" t="s">
        <v>71</v>
      </c>
      <c r="BI438">
        <v>0.49</v>
      </c>
      <c r="BJ438" t="s">
        <v>71</v>
      </c>
      <c r="BK438" s="2">
        <f t="shared" si="13"/>
        <v>3.0000000000000027E-2</v>
      </c>
      <c r="BL438" t="b">
        <f t="shared" si="14"/>
        <v>1</v>
      </c>
    </row>
    <row r="439" spans="1:64" x14ac:dyDescent="0.35">
      <c r="A439" t="s">
        <v>1239</v>
      </c>
      <c r="B439" t="s">
        <v>1235</v>
      </c>
      <c r="C439">
        <v>2022</v>
      </c>
      <c r="D439" t="s">
        <v>1236</v>
      </c>
      <c r="E439" t="s">
        <v>1237</v>
      </c>
      <c r="F439" t="s">
        <v>66</v>
      </c>
      <c r="G439" t="s">
        <v>101</v>
      </c>
      <c r="H439" t="s">
        <v>184</v>
      </c>
      <c r="I439" t="s">
        <v>1238</v>
      </c>
      <c r="J439" t="s">
        <v>70</v>
      </c>
      <c r="L439">
        <v>1</v>
      </c>
      <c r="M439" t="b">
        <v>0</v>
      </c>
      <c r="N439">
        <v>3</v>
      </c>
      <c r="O439">
        <v>2</v>
      </c>
      <c r="P439">
        <v>4</v>
      </c>
      <c r="Q439">
        <v>4</v>
      </c>
      <c r="R439">
        <v>0</v>
      </c>
      <c r="S439">
        <v>4</v>
      </c>
      <c r="T439">
        <v>22</v>
      </c>
      <c r="U439">
        <v>208</v>
      </c>
      <c r="V439">
        <v>96</v>
      </c>
      <c r="W439">
        <v>20</v>
      </c>
      <c r="X439">
        <v>4.8</v>
      </c>
      <c r="Y439">
        <v>2</v>
      </c>
      <c r="Z439">
        <v>4</v>
      </c>
      <c r="AA439">
        <v>0</v>
      </c>
      <c r="AB439">
        <v>0</v>
      </c>
      <c r="AC439">
        <v>1</v>
      </c>
      <c r="AD439">
        <v>1</v>
      </c>
      <c r="AE439">
        <v>85</v>
      </c>
      <c r="AF439">
        <v>1</v>
      </c>
      <c r="AG439">
        <v>2</v>
      </c>
      <c r="AH439">
        <v>2</v>
      </c>
      <c r="AI439">
        <v>11</v>
      </c>
      <c r="AJ439">
        <v>2</v>
      </c>
      <c r="AK439">
        <v>12</v>
      </c>
      <c r="AL439">
        <v>5</v>
      </c>
      <c r="AM439">
        <v>49</v>
      </c>
      <c r="AN439">
        <v>3</v>
      </c>
      <c r="AO439">
        <v>6</v>
      </c>
      <c r="AP439">
        <v>3</v>
      </c>
      <c r="AQ439">
        <v>89</v>
      </c>
      <c r="AR439">
        <v>1.9230769230769228E-2</v>
      </c>
      <c r="AS439">
        <v>0</v>
      </c>
      <c r="AT439">
        <v>0.40865384615384609</v>
      </c>
      <c r="AU439">
        <v>9.6153846153846159E-3</v>
      </c>
      <c r="AV439">
        <v>5.2884615384615377E-2</v>
      </c>
      <c r="AW439">
        <v>0.2355769230769231</v>
      </c>
      <c r="AX439">
        <v>2.8846153846153851E-2</v>
      </c>
      <c r="AY439">
        <v>0.42788461538461542</v>
      </c>
      <c r="AZ439">
        <v>-0.20673076923076919</v>
      </c>
      <c r="BA439">
        <v>0.5</v>
      </c>
      <c r="BB439">
        <v>0.6333333333333333</v>
      </c>
      <c r="BC439">
        <v>0.2</v>
      </c>
      <c r="BD439">
        <v>0.49579326923076927</v>
      </c>
      <c r="BE439">
        <v>4</v>
      </c>
      <c r="BF439">
        <v>0.45728165064102572</v>
      </c>
      <c r="BG439">
        <v>0.49</v>
      </c>
      <c r="BH439" t="s">
        <v>71</v>
      </c>
      <c r="BI439">
        <v>0.46</v>
      </c>
      <c r="BJ439" t="s">
        <v>71</v>
      </c>
      <c r="BK439" s="2">
        <f t="shared" si="13"/>
        <v>2.9999999999999971E-2</v>
      </c>
      <c r="BL439" t="b">
        <f t="shared" si="14"/>
        <v>1</v>
      </c>
    </row>
    <row r="440" spans="1:64" x14ac:dyDescent="0.35">
      <c r="A440" t="s">
        <v>1240</v>
      </c>
      <c r="B440" t="s">
        <v>1241</v>
      </c>
      <c r="C440">
        <v>2016</v>
      </c>
      <c r="D440" t="s">
        <v>1242</v>
      </c>
      <c r="E440" t="s">
        <v>1243</v>
      </c>
      <c r="F440" t="s">
        <v>66</v>
      </c>
      <c r="G440" t="s">
        <v>101</v>
      </c>
      <c r="H440" t="s">
        <v>184</v>
      </c>
      <c r="I440" t="s">
        <v>1244</v>
      </c>
      <c r="J440" t="s">
        <v>70</v>
      </c>
      <c r="L440">
        <v>1</v>
      </c>
      <c r="M440" t="b">
        <v>0</v>
      </c>
      <c r="N440">
        <v>2</v>
      </c>
      <c r="O440">
        <v>2</v>
      </c>
      <c r="P440">
        <v>9</v>
      </c>
      <c r="Q440">
        <v>1</v>
      </c>
      <c r="R440">
        <v>8</v>
      </c>
      <c r="S440">
        <v>5</v>
      </c>
      <c r="T440">
        <v>28</v>
      </c>
      <c r="U440">
        <v>459</v>
      </c>
      <c r="V440">
        <v>102</v>
      </c>
      <c r="W440">
        <v>18</v>
      </c>
      <c r="X440">
        <v>5.666666666666667</v>
      </c>
      <c r="Y440">
        <v>4</v>
      </c>
      <c r="Z440">
        <v>56</v>
      </c>
      <c r="AA440">
        <v>1</v>
      </c>
      <c r="AB440">
        <v>2</v>
      </c>
      <c r="AC440">
        <v>6</v>
      </c>
      <c r="AD440">
        <v>6</v>
      </c>
      <c r="AE440">
        <v>69</v>
      </c>
      <c r="AF440">
        <v>1</v>
      </c>
      <c r="AG440">
        <v>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6</v>
      </c>
      <c r="AO440">
        <v>62</v>
      </c>
      <c r="AP440">
        <v>11</v>
      </c>
      <c r="AQ440">
        <v>127</v>
      </c>
      <c r="AR440">
        <v>0.12200435729847491</v>
      </c>
      <c r="AS440">
        <v>4.3572984749455342E-3</v>
      </c>
      <c r="AT440">
        <v>0.15032679738562091</v>
      </c>
      <c r="AU440">
        <v>8.7145969498910684E-3</v>
      </c>
      <c r="AV440">
        <v>0</v>
      </c>
      <c r="AW440">
        <v>0</v>
      </c>
      <c r="AX440">
        <v>0.13507625272331161</v>
      </c>
      <c r="AY440">
        <v>0.27668845315904139</v>
      </c>
      <c r="AZ440">
        <v>0.13507625272331161</v>
      </c>
      <c r="BA440">
        <v>0.66666666666666663</v>
      </c>
      <c r="BB440">
        <v>0.77777777777777779</v>
      </c>
      <c r="BC440">
        <v>0.73333333333333328</v>
      </c>
      <c r="BD440">
        <v>0.70942265795206971</v>
      </c>
      <c r="BE440">
        <v>4</v>
      </c>
      <c r="BF440">
        <v>0.72180010893246183</v>
      </c>
      <c r="BG440">
        <v>0.72</v>
      </c>
      <c r="BH440" t="s">
        <v>86</v>
      </c>
      <c r="BI440">
        <v>0.72</v>
      </c>
      <c r="BJ440" t="s">
        <v>86</v>
      </c>
      <c r="BK440" s="2">
        <f t="shared" si="13"/>
        <v>0</v>
      </c>
      <c r="BL440" t="b">
        <f t="shared" si="14"/>
        <v>1</v>
      </c>
    </row>
    <row r="441" spans="1:64" x14ac:dyDescent="0.35">
      <c r="A441" t="s">
        <v>1245</v>
      </c>
      <c r="B441" t="s">
        <v>1241</v>
      </c>
      <c r="C441">
        <v>2017</v>
      </c>
      <c r="D441" t="s">
        <v>1242</v>
      </c>
      <c r="E441" t="s">
        <v>1243</v>
      </c>
      <c r="F441" t="s">
        <v>66</v>
      </c>
      <c r="G441" t="s">
        <v>101</v>
      </c>
      <c r="H441" t="s">
        <v>184</v>
      </c>
      <c r="I441" t="s">
        <v>1244</v>
      </c>
      <c r="J441" t="s">
        <v>70</v>
      </c>
      <c r="L441">
        <v>1</v>
      </c>
      <c r="M441" t="b">
        <v>0</v>
      </c>
      <c r="N441">
        <v>1</v>
      </c>
      <c r="O441">
        <v>2</v>
      </c>
      <c r="P441">
        <v>12</v>
      </c>
      <c r="Q441">
        <v>2</v>
      </c>
      <c r="R441">
        <v>10</v>
      </c>
      <c r="S441">
        <v>7</v>
      </c>
      <c r="T441">
        <v>32</v>
      </c>
      <c r="U441">
        <v>368</v>
      </c>
      <c r="V441">
        <v>155</v>
      </c>
      <c r="W441">
        <v>25</v>
      </c>
      <c r="X441">
        <v>6.2</v>
      </c>
      <c r="Y441">
        <v>5</v>
      </c>
      <c r="Z441">
        <v>77</v>
      </c>
      <c r="AA441">
        <v>1</v>
      </c>
      <c r="AB441">
        <v>6</v>
      </c>
      <c r="AC441">
        <v>7</v>
      </c>
      <c r="AD441">
        <v>7</v>
      </c>
      <c r="AE441">
        <v>48</v>
      </c>
      <c r="AF441">
        <v>3</v>
      </c>
      <c r="AG441">
        <v>6</v>
      </c>
      <c r="AH441">
        <v>1</v>
      </c>
      <c r="AI441">
        <v>19</v>
      </c>
      <c r="AJ441">
        <v>0</v>
      </c>
      <c r="AK441">
        <v>0</v>
      </c>
      <c r="AL441">
        <v>1</v>
      </c>
      <c r="AM441">
        <v>19</v>
      </c>
      <c r="AN441">
        <v>9</v>
      </c>
      <c r="AO441">
        <v>89</v>
      </c>
      <c r="AP441">
        <v>13</v>
      </c>
      <c r="AQ441">
        <v>131</v>
      </c>
      <c r="AR441">
        <v>0.20923913043478259</v>
      </c>
      <c r="AS441">
        <v>1.630434782608696E-2</v>
      </c>
      <c r="AT441">
        <v>0.13043478260869559</v>
      </c>
      <c r="AU441">
        <v>1.630434782608696E-2</v>
      </c>
      <c r="AV441">
        <v>5.1630434782608703E-2</v>
      </c>
      <c r="AW441">
        <v>5.1630434782608703E-2</v>
      </c>
      <c r="AX441">
        <v>0.24184782608695651</v>
      </c>
      <c r="AY441">
        <v>0.35597826086956519</v>
      </c>
      <c r="AZ441">
        <v>0.19021739130434781</v>
      </c>
      <c r="BA441">
        <v>1</v>
      </c>
      <c r="BB441">
        <v>0.8666666666666667</v>
      </c>
      <c r="BC441">
        <v>0.8666666666666667</v>
      </c>
      <c r="BD441">
        <v>0.74388586956521741</v>
      </c>
      <c r="BE441">
        <v>4</v>
      </c>
      <c r="BF441">
        <v>0.86930480072463767</v>
      </c>
      <c r="BG441">
        <v>0.88</v>
      </c>
      <c r="BH441" t="s">
        <v>164</v>
      </c>
      <c r="BI441">
        <v>0.87</v>
      </c>
      <c r="BJ441" t="s">
        <v>164</v>
      </c>
      <c r="BK441" s="2">
        <f t="shared" si="13"/>
        <v>1.0000000000000009E-2</v>
      </c>
      <c r="BL441" t="b">
        <f t="shared" si="14"/>
        <v>1</v>
      </c>
    </row>
    <row r="442" spans="1:64" x14ac:dyDescent="0.35">
      <c r="A442" t="s">
        <v>1246</v>
      </c>
      <c r="B442" t="s">
        <v>1241</v>
      </c>
      <c r="C442">
        <v>2022</v>
      </c>
      <c r="D442" t="s">
        <v>1242</v>
      </c>
      <c r="E442" t="s">
        <v>1243</v>
      </c>
      <c r="F442" t="s">
        <v>66</v>
      </c>
      <c r="G442" t="s">
        <v>101</v>
      </c>
      <c r="H442" t="s">
        <v>184</v>
      </c>
      <c r="I442" t="s">
        <v>1244</v>
      </c>
      <c r="J442" t="s">
        <v>70</v>
      </c>
      <c r="L442">
        <v>1</v>
      </c>
      <c r="M442" t="b">
        <v>0</v>
      </c>
      <c r="N442">
        <v>1</v>
      </c>
      <c r="O442">
        <v>1</v>
      </c>
      <c r="P442">
        <v>4</v>
      </c>
      <c r="Q442">
        <v>3</v>
      </c>
      <c r="R442">
        <v>1</v>
      </c>
      <c r="S442">
        <v>4</v>
      </c>
      <c r="T442">
        <v>22</v>
      </c>
      <c r="U442">
        <v>314</v>
      </c>
      <c r="V442">
        <v>85</v>
      </c>
      <c r="W442">
        <v>16</v>
      </c>
      <c r="X442">
        <v>5.3125</v>
      </c>
      <c r="Y442">
        <v>2</v>
      </c>
      <c r="Z442">
        <v>14</v>
      </c>
      <c r="AA442">
        <v>1</v>
      </c>
      <c r="AB442">
        <v>2</v>
      </c>
      <c r="AC442">
        <v>1</v>
      </c>
      <c r="AD442">
        <v>1</v>
      </c>
      <c r="AE442">
        <v>107</v>
      </c>
      <c r="AF442">
        <v>0</v>
      </c>
      <c r="AG442">
        <v>0</v>
      </c>
      <c r="AH442">
        <v>1</v>
      </c>
      <c r="AI442">
        <v>11</v>
      </c>
      <c r="AJ442">
        <v>1</v>
      </c>
      <c r="AK442">
        <v>1</v>
      </c>
      <c r="AL442">
        <v>2</v>
      </c>
      <c r="AM442">
        <v>12</v>
      </c>
      <c r="AN442">
        <v>3</v>
      </c>
      <c r="AO442">
        <v>16</v>
      </c>
      <c r="AP442">
        <v>4</v>
      </c>
      <c r="AQ442">
        <v>123</v>
      </c>
      <c r="AR442">
        <v>4.4585987261146487E-2</v>
      </c>
      <c r="AS442">
        <v>6.369426751592357E-3</v>
      </c>
      <c r="AT442">
        <v>0.34076433121019112</v>
      </c>
      <c r="AU442">
        <v>0</v>
      </c>
      <c r="AV442">
        <v>3.5031847133757961E-2</v>
      </c>
      <c r="AW442">
        <v>3.8216560509554139E-2</v>
      </c>
      <c r="AX442">
        <v>5.0955414012738863E-2</v>
      </c>
      <c r="AY442">
        <v>0.39171974522293002</v>
      </c>
      <c r="AZ442">
        <v>1.2738853503184719E-2</v>
      </c>
      <c r="BA442">
        <v>0.5</v>
      </c>
      <c r="BB442">
        <v>0.71875</v>
      </c>
      <c r="BC442">
        <v>0.26666666666666672</v>
      </c>
      <c r="BD442">
        <v>0.63296178343949039</v>
      </c>
      <c r="BE442">
        <v>4</v>
      </c>
      <c r="BF442">
        <v>0.52959461252653928</v>
      </c>
      <c r="BG442">
        <v>0.53</v>
      </c>
      <c r="BH442" t="s">
        <v>71</v>
      </c>
      <c r="BI442">
        <v>0.53</v>
      </c>
      <c r="BJ442" t="s">
        <v>71</v>
      </c>
      <c r="BK442" s="2">
        <f t="shared" si="13"/>
        <v>0</v>
      </c>
      <c r="BL442" t="b">
        <f t="shared" si="14"/>
        <v>1</v>
      </c>
    </row>
    <row r="443" spans="1:64" x14ac:dyDescent="0.35">
      <c r="A443" t="s">
        <v>1247</v>
      </c>
      <c r="B443" t="s">
        <v>1248</v>
      </c>
      <c r="C443">
        <v>2018</v>
      </c>
      <c r="D443" t="s">
        <v>1249</v>
      </c>
      <c r="E443" t="s">
        <v>1250</v>
      </c>
      <c r="F443" t="s">
        <v>66</v>
      </c>
      <c r="G443" t="s">
        <v>101</v>
      </c>
      <c r="H443" t="s">
        <v>211</v>
      </c>
      <c r="I443" t="s">
        <v>557</v>
      </c>
      <c r="J443" t="s">
        <v>70</v>
      </c>
      <c r="L443">
        <v>1</v>
      </c>
      <c r="M443" t="b">
        <v>0</v>
      </c>
      <c r="N443">
        <v>1</v>
      </c>
      <c r="O443">
        <v>3</v>
      </c>
      <c r="P443">
        <v>7</v>
      </c>
      <c r="Q443">
        <v>4</v>
      </c>
      <c r="R443">
        <v>3</v>
      </c>
      <c r="S443">
        <v>5</v>
      </c>
      <c r="T443">
        <v>29</v>
      </c>
      <c r="U443">
        <v>474</v>
      </c>
      <c r="V443">
        <v>115</v>
      </c>
      <c r="W443">
        <v>20</v>
      </c>
      <c r="X443">
        <v>5.75</v>
      </c>
      <c r="Y443">
        <v>6</v>
      </c>
      <c r="Z443">
        <v>128</v>
      </c>
      <c r="AA443">
        <v>2</v>
      </c>
      <c r="AB443">
        <v>12</v>
      </c>
      <c r="AC443">
        <v>3</v>
      </c>
      <c r="AD443">
        <v>3</v>
      </c>
      <c r="AE443">
        <v>109</v>
      </c>
      <c r="AF443">
        <v>0</v>
      </c>
      <c r="AG443">
        <v>0</v>
      </c>
      <c r="AH443">
        <v>1</v>
      </c>
      <c r="AI443">
        <v>13</v>
      </c>
      <c r="AJ443">
        <v>1</v>
      </c>
      <c r="AK443">
        <v>3</v>
      </c>
      <c r="AL443">
        <v>2</v>
      </c>
      <c r="AM443">
        <v>16</v>
      </c>
      <c r="AN443">
        <v>8</v>
      </c>
      <c r="AO443">
        <v>140</v>
      </c>
      <c r="AP443">
        <v>11</v>
      </c>
      <c r="AQ443">
        <v>249</v>
      </c>
      <c r="AR443">
        <v>0.27004219409282698</v>
      </c>
      <c r="AS443">
        <v>2.5316455696202531E-2</v>
      </c>
      <c r="AT443">
        <v>0.22995780590717299</v>
      </c>
      <c r="AU443">
        <v>0</v>
      </c>
      <c r="AV443">
        <v>2.7426160337552741E-2</v>
      </c>
      <c r="AW443">
        <v>3.3755274261603373E-2</v>
      </c>
      <c r="AX443">
        <v>0.29535864978902948</v>
      </c>
      <c r="AY443">
        <v>0.52531645569620256</v>
      </c>
      <c r="AZ443">
        <v>0.26160337552742619</v>
      </c>
      <c r="BA443">
        <v>0.66666666666666663</v>
      </c>
      <c r="BB443">
        <v>0.79166666666666663</v>
      </c>
      <c r="BC443">
        <v>0.73333333333333328</v>
      </c>
      <c r="BD443">
        <v>0.7885021097046413</v>
      </c>
      <c r="BE443">
        <v>4</v>
      </c>
      <c r="BF443">
        <v>0.7450421940928269</v>
      </c>
      <c r="BG443">
        <v>0.75</v>
      </c>
      <c r="BH443" t="s">
        <v>86</v>
      </c>
      <c r="BI443">
        <v>0.75</v>
      </c>
      <c r="BJ443" t="s">
        <v>86</v>
      </c>
      <c r="BK443" s="2">
        <f t="shared" si="13"/>
        <v>0</v>
      </c>
      <c r="BL443" t="b">
        <f t="shared" si="14"/>
        <v>1</v>
      </c>
    </row>
    <row r="444" spans="1:64" x14ac:dyDescent="0.35">
      <c r="A444" t="s">
        <v>1251</v>
      </c>
      <c r="B444" t="s">
        <v>1252</v>
      </c>
      <c r="C444">
        <v>2018</v>
      </c>
      <c r="D444" t="s">
        <v>1253</v>
      </c>
      <c r="E444" t="s">
        <v>1254</v>
      </c>
      <c r="F444" t="s">
        <v>66</v>
      </c>
      <c r="G444" t="s">
        <v>101</v>
      </c>
      <c r="H444" t="s">
        <v>211</v>
      </c>
      <c r="I444" t="s">
        <v>1255</v>
      </c>
      <c r="J444" t="s">
        <v>70</v>
      </c>
      <c r="L444">
        <v>1</v>
      </c>
      <c r="M444" t="b">
        <v>0</v>
      </c>
      <c r="N444">
        <v>1</v>
      </c>
      <c r="O444">
        <v>3</v>
      </c>
      <c r="P444">
        <v>7</v>
      </c>
      <c r="Q444">
        <v>3</v>
      </c>
      <c r="R444">
        <v>4</v>
      </c>
      <c r="S444">
        <v>6</v>
      </c>
      <c r="T444">
        <v>25</v>
      </c>
      <c r="U444">
        <v>725</v>
      </c>
      <c r="V444">
        <v>91</v>
      </c>
      <c r="W444">
        <v>19</v>
      </c>
      <c r="X444">
        <v>4.7894736842105274</v>
      </c>
      <c r="Y444">
        <v>4</v>
      </c>
      <c r="Z444">
        <v>66</v>
      </c>
      <c r="AA444">
        <v>1</v>
      </c>
      <c r="AB444">
        <v>20</v>
      </c>
      <c r="AC444">
        <v>4</v>
      </c>
      <c r="AD444">
        <v>4</v>
      </c>
      <c r="AE444">
        <v>98</v>
      </c>
      <c r="AF444">
        <v>1</v>
      </c>
      <c r="AG444">
        <v>12</v>
      </c>
      <c r="AH444">
        <v>2</v>
      </c>
      <c r="AI444">
        <v>237</v>
      </c>
      <c r="AJ444">
        <v>1</v>
      </c>
      <c r="AK444">
        <v>1</v>
      </c>
      <c r="AL444">
        <v>3</v>
      </c>
      <c r="AM444">
        <v>238</v>
      </c>
      <c r="AN444">
        <v>6</v>
      </c>
      <c r="AO444">
        <v>98</v>
      </c>
      <c r="AP444">
        <v>9</v>
      </c>
      <c r="AQ444">
        <v>184</v>
      </c>
      <c r="AR444">
        <v>9.1034482758620694E-2</v>
      </c>
      <c r="AS444">
        <v>2.758620689655172E-2</v>
      </c>
      <c r="AT444">
        <v>0.13517241379310341</v>
      </c>
      <c r="AU444">
        <v>1.6551724137931031E-2</v>
      </c>
      <c r="AV444">
        <v>0.32689655172413801</v>
      </c>
      <c r="AW444">
        <v>0.32827586206896547</v>
      </c>
      <c r="AX444">
        <v>0.13517241379310341</v>
      </c>
      <c r="AY444">
        <v>0.25379310344827588</v>
      </c>
      <c r="AZ444">
        <v>-0.19310344827586209</v>
      </c>
      <c r="BA444">
        <v>0.83333333333333337</v>
      </c>
      <c r="BB444">
        <v>0.63157894736842124</v>
      </c>
      <c r="BC444">
        <v>0.6</v>
      </c>
      <c r="BD444">
        <v>0.50431034482758619</v>
      </c>
      <c r="BE444">
        <v>4</v>
      </c>
      <c r="BF444">
        <v>0.64230565638233517</v>
      </c>
      <c r="BG444">
        <v>0.7</v>
      </c>
      <c r="BH444" t="s">
        <v>86</v>
      </c>
      <c r="BI444">
        <v>0.64</v>
      </c>
      <c r="BJ444" t="s">
        <v>86</v>
      </c>
      <c r="BK444" s="2">
        <f t="shared" si="13"/>
        <v>5.9999999999999942E-2</v>
      </c>
      <c r="BL444" t="b">
        <f t="shared" si="14"/>
        <v>1</v>
      </c>
    </row>
    <row r="445" spans="1:64" x14ac:dyDescent="0.35">
      <c r="A445" t="s">
        <v>1256</v>
      </c>
      <c r="B445" t="s">
        <v>1257</v>
      </c>
      <c r="C445">
        <v>2018</v>
      </c>
      <c r="D445" t="s">
        <v>1258</v>
      </c>
      <c r="E445" t="s">
        <v>1259</v>
      </c>
      <c r="F445" t="s">
        <v>66</v>
      </c>
      <c r="G445" t="s">
        <v>101</v>
      </c>
      <c r="H445" t="s">
        <v>211</v>
      </c>
      <c r="I445" t="s">
        <v>1260</v>
      </c>
      <c r="J445" t="s">
        <v>70</v>
      </c>
      <c r="L445">
        <v>1</v>
      </c>
      <c r="M445" t="b">
        <v>0</v>
      </c>
      <c r="N445">
        <v>1</v>
      </c>
      <c r="O445">
        <v>1</v>
      </c>
      <c r="P445">
        <v>6</v>
      </c>
      <c r="Q445">
        <v>2</v>
      </c>
      <c r="R445">
        <v>4</v>
      </c>
      <c r="S445">
        <v>5</v>
      </c>
      <c r="T445">
        <v>24</v>
      </c>
      <c r="U445">
        <v>816</v>
      </c>
      <c r="V445">
        <v>87</v>
      </c>
      <c r="W445">
        <v>15</v>
      </c>
      <c r="X445">
        <v>5.8</v>
      </c>
      <c r="Y445">
        <v>6</v>
      </c>
      <c r="Z445">
        <v>234</v>
      </c>
      <c r="AA445">
        <v>1</v>
      </c>
      <c r="AB445">
        <v>30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2</v>
      </c>
      <c r="AI445">
        <v>367</v>
      </c>
      <c r="AJ445">
        <v>1</v>
      </c>
      <c r="AK445">
        <v>13</v>
      </c>
      <c r="AL445">
        <v>3</v>
      </c>
      <c r="AM445">
        <v>380</v>
      </c>
      <c r="AN445">
        <v>7</v>
      </c>
      <c r="AO445">
        <v>264</v>
      </c>
      <c r="AP445">
        <v>7</v>
      </c>
      <c r="AQ445">
        <v>264</v>
      </c>
      <c r="AR445">
        <v>0.28676470588235292</v>
      </c>
      <c r="AS445">
        <v>3.6764705882352942E-2</v>
      </c>
      <c r="AT445">
        <v>0</v>
      </c>
      <c r="AU445">
        <v>0</v>
      </c>
      <c r="AV445">
        <v>0.44975490196078433</v>
      </c>
      <c r="AW445">
        <v>0.46568627450980388</v>
      </c>
      <c r="AX445">
        <v>0.3235294117647059</v>
      </c>
      <c r="AY445">
        <v>0.3235294117647059</v>
      </c>
      <c r="AZ445">
        <v>-0.14215686274509801</v>
      </c>
      <c r="BA445">
        <v>0.66666666666666663</v>
      </c>
      <c r="BB445">
        <v>0.79999999999999993</v>
      </c>
      <c r="BC445">
        <v>0.46666666666666667</v>
      </c>
      <c r="BD445">
        <v>0.53615196078431371</v>
      </c>
      <c r="BE445">
        <v>4</v>
      </c>
      <c r="BF445">
        <v>0.61737132352941171</v>
      </c>
      <c r="BG445">
        <v>0.74</v>
      </c>
      <c r="BH445" t="s">
        <v>86</v>
      </c>
      <c r="BI445">
        <v>0.62</v>
      </c>
      <c r="BJ445" t="s">
        <v>86</v>
      </c>
      <c r="BK445" s="2">
        <f t="shared" si="13"/>
        <v>0.12</v>
      </c>
      <c r="BL445" t="b">
        <f t="shared" si="14"/>
        <v>1</v>
      </c>
    </row>
    <row r="446" spans="1:64" x14ac:dyDescent="0.35">
      <c r="A446" t="s">
        <v>1261</v>
      </c>
      <c r="B446" t="s">
        <v>1262</v>
      </c>
      <c r="C446">
        <v>2018</v>
      </c>
      <c r="D446" t="s">
        <v>1263</v>
      </c>
      <c r="E446" t="s">
        <v>1264</v>
      </c>
      <c r="F446" t="s">
        <v>66</v>
      </c>
      <c r="G446" t="s">
        <v>101</v>
      </c>
      <c r="H446" t="s">
        <v>211</v>
      </c>
      <c r="I446" t="s">
        <v>1265</v>
      </c>
      <c r="J446" t="s">
        <v>70</v>
      </c>
      <c r="L446">
        <v>1</v>
      </c>
      <c r="M446" t="b">
        <v>0</v>
      </c>
      <c r="N446">
        <v>2</v>
      </c>
      <c r="O446">
        <v>1</v>
      </c>
      <c r="P446">
        <v>3</v>
      </c>
      <c r="Q446">
        <v>2</v>
      </c>
      <c r="R446">
        <v>1</v>
      </c>
      <c r="S446">
        <v>4</v>
      </c>
      <c r="T446">
        <v>17</v>
      </c>
      <c r="U446">
        <v>215</v>
      </c>
      <c r="V446">
        <v>57</v>
      </c>
      <c r="W446">
        <v>14</v>
      </c>
      <c r="X446">
        <v>4.0714285714285712</v>
      </c>
      <c r="Y446">
        <v>1</v>
      </c>
      <c r="Z446">
        <v>50</v>
      </c>
      <c r="AA446">
        <v>0</v>
      </c>
      <c r="AB446">
        <v>0</v>
      </c>
      <c r="AC446">
        <v>3</v>
      </c>
      <c r="AD446">
        <v>3</v>
      </c>
      <c r="AE446">
        <v>24</v>
      </c>
      <c r="AF446">
        <v>2</v>
      </c>
      <c r="AG446">
        <v>9</v>
      </c>
      <c r="AH446">
        <v>1</v>
      </c>
      <c r="AI446">
        <v>1</v>
      </c>
      <c r="AJ446">
        <v>1</v>
      </c>
      <c r="AK446">
        <v>6</v>
      </c>
      <c r="AL446">
        <v>2</v>
      </c>
      <c r="AM446">
        <v>7</v>
      </c>
      <c r="AN446">
        <v>3</v>
      </c>
      <c r="AO446">
        <v>59</v>
      </c>
      <c r="AP446">
        <v>4</v>
      </c>
      <c r="AQ446">
        <v>74</v>
      </c>
      <c r="AR446">
        <v>0.23255813953488369</v>
      </c>
      <c r="AS446">
        <v>0</v>
      </c>
      <c r="AT446">
        <v>0.1116279069767442</v>
      </c>
      <c r="AU446">
        <v>4.1860465116279069E-2</v>
      </c>
      <c r="AV446">
        <v>4.6511627906976744E-3</v>
      </c>
      <c r="AW446">
        <v>3.255813953488372E-2</v>
      </c>
      <c r="AX446">
        <v>0.2744186046511628</v>
      </c>
      <c r="AY446">
        <v>0.34418604651162787</v>
      </c>
      <c r="AZ446">
        <v>0.24186046511627909</v>
      </c>
      <c r="BA446">
        <v>0.5</v>
      </c>
      <c r="BB446">
        <v>0.51190476190476186</v>
      </c>
      <c r="BC446">
        <v>0.26666666666666672</v>
      </c>
      <c r="BD446">
        <v>0.77616279069767435</v>
      </c>
      <c r="BE446">
        <v>4</v>
      </c>
      <c r="BF446">
        <v>0.51368355481727568</v>
      </c>
      <c r="BG446">
        <v>0.51</v>
      </c>
      <c r="BH446" t="s">
        <v>71</v>
      </c>
      <c r="BI446">
        <v>0.51</v>
      </c>
      <c r="BJ446" t="s">
        <v>71</v>
      </c>
      <c r="BK446" s="2">
        <f t="shared" si="13"/>
        <v>0</v>
      </c>
      <c r="BL446" t="b">
        <f t="shared" si="14"/>
        <v>1</v>
      </c>
    </row>
    <row r="447" spans="1:64" x14ac:dyDescent="0.35">
      <c r="A447" t="s">
        <v>1266</v>
      </c>
      <c r="B447" t="s">
        <v>1267</v>
      </c>
      <c r="C447">
        <v>2017</v>
      </c>
      <c r="D447" t="s">
        <v>1268</v>
      </c>
      <c r="E447" t="s">
        <v>1269</v>
      </c>
      <c r="F447" t="s">
        <v>66</v>
      </c>
      <c r="G447" t="s">
        <v>101</v>
      </c>
      <c r="H447" t="s">
        <v>211</v>
      </c>
      <c r="I447" t="s">
        <v>1270</v>
      </c>
      <c r="J447" t="s">
        <v>70</v>
      </c>
      <c r="L447">
        <v>1</v>
      </c>
      <c r="M447" t="b">
        <v>0</v>
      </c>
      <c r="N447">
        <v>1</v>
      </c>
      <c r="O447">
        <v>1</v>
      </c>
      <c r="P447">
        <v>7</v>
      </c>
      <c r="Q447">
        <v>4</v>
      </c>
      <c r="R447">
        <v>3</v>
      </c>
      <c r="S447">
        <v>4</v>
      </c>
      <c r="T447">
        <v>27</v>
      </c>
      <c r="U447">
        <v>372</v>
      </c>
      <c r="V447">
        <v>108</v>
      </c>
      <c r="W447">
        <v>20</v>
      </c>
      <c r="X447">
        <v>5.4</v>
      </c>
      <c r="Y447">
        <v>3</v>
      </c>
      <c r="Z447">
        <v>67</v>
      </c>
      <c r="AA447">
        <v>0</v>
      </c>
      <c r="AB447">
        <v>0</v>
      </c>
      <c r="AC447">
        <v>3</v>
      </c>
      <c r="AD447">
        <v>3</v>
      </c>
      <c r="AE447">
        <v>41</v>
      </c>
      <c r="AF447">
        <v>0</v>
      </c>
      <c r="AG447">
        <v>0</v>
      </c>
      <c r="AH447">
        <v>2</v>
      </c>
      <c r="AI447">
        <v>24</v>
      </c>
      <c r="AJ447">
        <v>1</v>
      </c>
      <c r="AK447">
        <v>23</v>
      </c>
      <c r="AL447">
        <v>3</v>
      </c>
      <c r="AM447">
        <v>47</v>
      </c>
      <c r="AN447">
        <v>3</v>
      </c>
      <c r="AO447">
        <v>67</v>
      </c>
      <c r="AP447">
        <v>6</v>
      </c>
      <c r="AQ447">
        <v>108</v>
      </c>
      <c r="AR447">
        <v>0.18010752688172041</v>
      </c>
      <c r="AS447">
        <v>0</v>
      </c>
      <c r="AT447">
        <v>0.1102150537634409</v>
      </c>
      <c r="AU447">
        <v>0</v>
      </c>
      <c r="AV447">
        <v>6.4516129032258063E-2</v>
      </c>
      <c r="AW447">
        <v>0.1263440860215054</v>
      </c>
      <c r="AX447">
        <v>0.18010752688172041</v>
      </c>
      <c r="AY447">
        <v>0.29032258064516131</v>
      </c>
      <c r="AZ447">
        <v>5.3763440860215062E-2</v>
      </c>
      <c r="BA447">
        <v>0.5</v>
      </c>
      <c r="BB447">
        <v>0.73333333333333339</v>
      </c>
      <c r="BC447">
        <v>0.4</v>
      </c>
      <c r="BD447">
        <v>0.65860215053763438</v>
      </c>
      <c r="BE447">
        <v>4</v>
      </c>
      <c r="BF447">
        <v>0.57298387096774195</v>
      </c>
      <c r="BG447">
        <v>0.57999999999999996</v>
      </c>
      <c r="BH447" t="s">
        <v>71</v>
      </c>
      <c r="BI447">
        <v>0.56999999999999995</v>
      </c>
      <c r="BJ447" t="s">
        <v>71</v>
      </c>
      <c r="BK447" s="2">
        <f t="shared" si="13"/>
        <v>1.0000000000000009E-2</v>
      </c>
      <c r="BL447" t="b">
        <f t="shared" si="14"/>
        <v>1</v>
      </c>
    </row>
    <row r="448" spans="1:64" x14ac:dyDescent="0.35">
      <c r="A448" t="s">
        <v>1271</v>
      </c>
      <c r="B448" t="s">
        <v>1267</v>
      </c>
      <c r="C448">
        <v>2022</v>
      </c>
      <c r="D448" t="s">
        <v>1268</v>
      </c>
      <c r="E448" t="s">
        <v>1269</v>
      </c>
      <c r="F448" t="s">
        <v>66</v>
      </c>
      <c r="G448" t="s">
        <v>101</v>
      </c>
      <c r="H448" t="s">
        <v>211</v>
      </c>
      <c r="I448" t="s">
        <v>1270</v>
      </c>
      <c r="J448" t="s">
        <v>70</v>
      </c>
      <c r="L448">
        <v>1</v>
      </c>
      <c r="M448" t="b">
        <v>0</v>
      </c>
      <c r="N448">
        <v>1</v>
      </c>
      <c r="O448">
        <v>3</v>
      </c>
      <c r="P448">
        <v>12</v>
      </c>
      <c r="Q448">
        <v>2</v>
      </c>
      <c r="R448">
        <v>10</v>
      </c>
      <c r="S448">
        <v>7</v>
      </c>
      <c r="T448">
        <v>33</v>
      </c>
      <c r="U448">
        <v>1110</v>
      </c>
      <c r="V448">
        <v>152</v>
      </c>
      <c r="W448">
        <v>26</v>
      </c>
      <c r="X448">
        <v>5.8461538461538458</v>
      </c>
      <c r="Y448">
        <v>5</v>
      </c>
      <c r="Z448">
        <v>328</v>
      </c>
      <c r="AA448">
        <v>1</v>
      </c>
      <c r="AB448">
        <v>11</v>
      </c>
      <c r="AC448">
        <v>7</v>
      </c>
      <c r="AD448">
        <v>7</v>
      </c>
      <c r="AE448">
        <v>190</v>
      </c>
      <c r="AF448">
        <v>0</v>
      </c>
      <c r="AG448">
        <v>0</v>
      </c>
      <c r="AH448">
        <v>1</v>
      </c>
      <c r="AI448">
        <v>18</v>
      </c>
      <c r="AJ448">
        <v>1</v>
      </c>
      <c r="AK448">
        <v>6</v>
      </c>
      <c r="AL448">
        <v>3</v>
      </c>
      <c r="AM448">
        <v>32</v>
      </c>
      <c r="AN448">
        <v>6</v>
      </c>
      <c r="AO448">
        <v>339</v>
      </c>
      <c r="AP448">
        <v>13</v>
      </c>
      <c r="AQ448">
        <v>529</v>
      </c>
      <c r="AR448">
        <v>0.29549549549549547</v>
      </c>
      <c r="AS448">
        <v>9.9099099099099093E-3</v>
      </c>
      <c r="AT448">
        <v>0.1711711711711712</v>
      </c>
      <c r="AU448">
        <v>0</v>
      </c>
      <c r="AV448">
        <v>1.6216216216216221E-2</v>
      </c>
      <c r="AW448">
        <v>2.8828828828828829E-2</v>
      </c>
      <c r="AX448">
        <v>0.30540540540540539</v>
      </c>
      <c r="AY448">
        <v>0.47657657657657659</v>
      </c>
      <c r="AZ448">
        <v>0.27657657657657658</v>
      </c>
      <c r="BA448">
        <v>1</v>
      </c>
      <c r="BB448">
        <v>0.8076923076923076</v>
      </c>
      <c r="BC448">
        <v>0.8666666666666667</v>
      </c>
      <c r="BD448">
        <v>0.79786036036036034</v>
      </c>
      <c r="BE448">
        <v>4</v>
      </c>
      <c r="BF448">
        <v>0.86805483367983372</v>
      </c>
      <c r="BG448">
        <v>0.87</v>
      </c>
      <c r="BH448" t="s">
        <v>164</v>
      </c>
      <c r="BI448">
        <v>0.87</v>
      </c>
      <c r="BJ448" t="s">
        <v>164</v>
      </c>
      <c r="BK448" s="2">
        <f t="shared" si="13"/>
        <v>0</v>
      </c>
      <c r="BL448" t="b">
        <f t="shared" si="14"/>
        <v>1</v>
      </c>
    </row>
    <row r="449" spans="1:64" x14ac:dyDescent="0.35">
      <c r="A449" t="s">
        <v>1272</v>
      </c>
      <c r="B449" t="s">
        <v>1273</v>
      </c>
      <c r="C449">
        <v>2018</v>
      </c>
      <c r="D449" t="s">
        <v>1274</v>
      </c>
      <c r="E449" t="s">
        <v>1275</v>
      </c>
      <c r="F449" t="s">
        <v>66</v>
      </c>
      <c r="G449" t="s">
        <v>101</v>
      </c>
      <c r="H449" t="s">
        <v>211</v>
      </c>
      <c r="I449" t="s">
        <v>1276</v>
      </c>
      <c r="J449" t="s">
        <v>70</v>
      </c>
      <c r="L449">
        <v>1</v>
      </c>
      <c r="M449" t="b">
        <v>0</v>
      </c>
      <c r="N449">
        <v>1</v>
      </c>
      <c r="O449">
        <v>2</v>
      </c>
      <c r="P449">
        <v>6</v>
      </c>
      <c r="Q449">
        <v>4</v>
      </c>
      <c r="R449">
        <v>2</v>
      </c>
      <c r="S449">
        <v>5</v>
      </c>
      <c r="T449">
        <v>23</v>
      </c>
      <c r="U449">
        <v>500</v>
      </c>
      <c r="V449">
        <v>108</v>
      </c>
      <c r="W449">
        <v>20</v>
      </c>
      <c r="X449">
        <v>5.4</v>
      </c>
      <c r="Y449">
        <v>5</v>
      </c>
      <c r="Z449">
        <v>63</v>
      </c>
      <c r="AA449">
        <v>0</v>
      </c>
      <c r="AB449">
        <v>0</v>
      </c>
      <c r="AC449">
        <v>1</v>
      </c>
      <c r="AD449">
        <v>1</v>
      </c>
      <c r="AE449">
        <v>37</v>
      </c>
      <c r="AF449">
        <v>2</v>
      </c>
      <c r="AG449">
        <v>25</v>
      </c>
      <c r="AH449">
        <v>3</v>
      </c>
      <c r="AI449">
        <v>261</v>
      </c>
      <c r="AJ449">
        <v>2</v>
      </c>
      <c r="AK449">
        <v>5</v>
      </c>
      <c r="AL449">
        <v>5</v>
      </c>
      <c r="AM449">
        <v>266</v>
      </c>
      <c r="AN449">
        <v>7</v>
      </c>
      <c r="AO449">
        <v>88</v>
      </c>
      <c r="AP449">
        <v>6</v>
      </c>
      <c r="AQ449">
        <v>100</v>
      </c>
      <c r="AR449">
        <v>0.126</v>
      </c>
      <c r="AS449">
        <v>0</v>
      </c>
      <c r="AT449">
        <v>7.3999999999999996E-2</v>
      </c>
      <c r="AU449">
        <v>0.05</v>
      </c>
      <c r="AV449">
        <v>0.52200000000000002</v>
      </c>
      <c r="AW449">
        <v>0.53200000000000003</v>
      </c>
      <c r="AX449">
        <v>0.17599999999999999</v>
      </c>
      <c r="AY449">
        <v>0.2</v>
      </c>
      <c r="AZ449">
        <v>-0.35599999999999998</v>
      </c>
      <c r="BA449">
        <v>0.66666666666666663</v>
      </c>
      <c r="BB449">
        <v>0.73333333333333339</v>
      </c>
      <c r="BC449">
        <v>0.4</v>
      </c>
      <c r="BD449">
        <v>0.40250000000000002</v>
      </c>
      <c r="BE449">
        <v>4</v>
      </c>
      <c r="BF449">
        <v>0.55062500000000003</v>
      </c>
      <c r="BG449">
        <v>0.63</v>
      </c>
      <c r="BH449" t="s">
        <v>86</v>
      </c>
      <c r="BI449">
        <v>0.55000000000000004</v>
      </c>
      <c r="BJ449" t="s">
        <v>71</v>
      </c>
      <c r="BK449" s="2">
        <f t="shared" si="13"/>
        <v>7.999999999999996E-2</v>
      </c>
      <c r="BL449" t="b">
        <f t="shared" si="14"/>
        <v>0</v>
      </c>
    </row>
    <row r="450" spans="1:64" x14ac:dyDescent="0.35">
      <c r="A450" t="s">
        <v>1277</v>
      </c>
      <c r="B450" t="s">
        <v>1278</v>
      </c>
      <c r="C450">
        <v>2016</v>
      </c>
      <c r="D450" t="s">
        <v>1279</v>
      </c>
      <c r="E450" t="s">
        <v>1280</v>
      </c>
      <c r="F450" t="s">
        <v>66</v>
      </c>
      <c r="G450" t="s">
        <v>101</v>
      </c>
      <c r="H450" t="s">
        <v>211</v>
      </c>
      <c r="I450" t="s">
        <v>1281</v>
      </c>
      <c r="J450" t="s">
        <v>70</v>
      </c>
      <c r="L450">
        <v>1</v>
      </c>
      <c r="M450" t="b">
        <v>0</v>
      </c>
      <c r="N450">
        <v>1</v>
      </c>
      <c r="O450">
        <v>5</v>
      </c>
      <c r="P450">
        <v>14</v>
      </c>
      <c r="Q450">
        <v>4</v>
      </c>
      <c r="R450">
        <v>10</v>
      </c>
      <c r="S450">
        <v>7</v>
      </c>
      <c r="T450">
        <v>42</v>
      </c>
      <c r="U450">
        <v>1223</v>
      </c>
      <c r="V450">
        <v>168</v>
      </c>
      <c r="W450">
        <v>29</v>
      </c>
      <c r="X450">
        <v>5.7931034482758621</v>
      </c>
      <c r="Y450">
        <v>5</v>
      </c>
      <c r="Z450">
        <v>119</v>
      </c>
      <c r="AA450">
        <v>3</v>
      </c>
      <c r="AB450">
        <v>81</v>
      </c>
      <c r="AC450">
        <v>7</v>
      </c>
      <c r="AD450">
        <v>7</v>
      </c>
      <c r="AE450">
        <v>165</v>
      </c>
      <c r="AF450">
        <v>0</v>
      </c>
      <c r="AG450">
        <v>0</v>
      </c>
      <c r="AH450">
        <v>2</v>
      </c>
      <c r="AI450">
        <v>132</v>
      </c>
      <c r="AJ450">
        <v>2</v>
      </c>
      <c r="AK450">
        <v>11</v>
      </c>
      <c r="AL450">
        <v>4</v>
      </c>
      <c r="AM450">
        <v>143</v>
      </c>
      <c r="AN450">
        <v>8</v>
      </c>
      <c r="AO450">
        <v>200</v>
      </c>
      <c r="AP450">
        <v>15</v>
      </c>
      <c r="AQ450">
        <v>365</v>
      </c>
      <c r="AR450">
        <v>9.7301717089125106E-2</v>
      </c>
      <c r="AS450">
        <v>6.6230580539656581E-2</v>
      </c>
      <c r="AT450">
        <v>0.1349141455437449</v>
      </c>
      <c r="AU450">
        <v>0</v>
      </c>
      <c r="AV450">
        <v>0.1079313164349959</v>
      </c>
      <c r="AW450">
        <v>0.1169255928045789</v>
      </c>
      <c r="AX450">
        <v>0.16353229762878169</v>
      </c>
      <c r="AY450">
        <v>0.29844644317252661</v>
      </c>
      <c r="AZ450">
        <v>4.6606704824202788E-2</v>
      </c>
      <c r="BA450">
        <v>1</v>
      </c>
      <c r="BB450">
        <v>0.79885057471264365</v>
      </c>
      <c r="BC450">
        <v>1</v>
      </c>
      <c r="BD450">
        <v>0.65412919051512664</v>
      </c>
      <c r="BE450">
        <v>4</v>
      </c>
      <c r="BF450">
        <v>0.86324494130694251</v>
      </c>
      <c r="BG450">
        <v>0.88</v>
      </c>
      <c r="BH450" t="s">
        <v>164</v>
      </c>
      <c r="BI450">
        <v>0.86</v>
      </c>
      <c r="BJ450" t="s">
        <v>164</v>
      </c>
      <c r="BK450" s="2">
        <f t="shared" si="13"/>
        <v>2.0000000000000018E-2</v>
      </c>
      <c r="BL450" t="b">
        <f t="shared" si="14"/>
        <v>1</v>
      </c>
    </row>
    <row r="451" spans="1:64" x14ac:dyDescent="0.35">
      <c r="A451" t="s">
        <v>1282</v>
      </c>
      <c r="B451" t="s">
        <v>1278</v>
      </c>
      <c r="C451">
        <v>2019</v>
      </c>
      <c r="D451" t="s">
        <v>1279</v>
      </c>
      <c r="E451" t="s">
        <v>1280</v>
      </c>
      <c r="F451" t="s">
        <v>66</v>
      </c>
      <c r="G451" t="s">
        <v>101</v>
      </c>
      <c r="H451" t="s">
        <v>211</v>
      </c>
      <c r="I451" t="s">
        <v>1281</v>
      </c>
      <c r="J451" t="s">
        <v>70</v>
      </c>
      <c r="L451">
        <v>1</v>
      </c>
      <c r="M451" t="b">
        <v>0</v>
      </c>
      <c r="N451">
        <v>1</v>
      </c>
      <c r="O451">
        <v>2</v>
      </c>
      <c r="P451">
        <v>5</v>
      </c>
      <c r="Q451">
        <v>0</v>
      </c>
      <c r="R451">
        <v>5</v>
      </c>
      <c r="S451">
        <v>6</v>
      </c>
      <c r="T451">
        <v>20</v>
      </c>
      <c r="U451">
        <v>474</v>
      </c>
      <c r="V451">
        <v>74</v>
      </c>
      <c r="W451">
        <v>13</v>
      </c>
      <c r="X451">
        <v>5.6923076923076934</v>
      </c>
      <c r="Y451">
        <v>3</v>
      </c>
      <c r="Z451">
        <v>56</v>
      </c>
      <c r="AA451">
        <v>0</v>
      </c>
      <c r="AB451">
        <v>0</v>
      </c>
      <c r="AC451">
        <v>3</v>
      </c>
      <c r="AD451">
        <v>3</v>
      </c>
      <c r="AE451">
        <v>29</v>
      </c>
      <c r="AF451">
        <v>0</v>
      </c>
      <c r="AG451">
        <v>0</v>
      </c>
      <c r="AH451">
        <v>2</v>
      </c>
      <c r="AI451">
        <v>235</v>
      </c>
      <c r="AJ451">
        <v>0</v>
      </c>
      <c r="AK451">
        <v>0</v>
      </c>
      <c r="AL451">
        <v>2</v>
      </c>
      <c r="AM451">
        <v>235</v>
      </c>
      <c r="AN451">
        <v>3</v>
      </c>
      <c r="AO451">
        <v>56</v>
      </c>
      <c r="AP451">
        <v>6</v>
      </c>
      <c r="AQ451">
        <v>85</v>
      </c>
      <c r="AR451">
        <v>0.1181434599156118</v>
      </c>
      <c r="AS451">
        <v>0</v>
      </c>
      <c r="AT451">
        <v>6.118143459915612E-2</v>
      </c>
      <c r="AU451">
        <v>0</v>
      </c>
      <c r="AV451">
        <v>0.49578059071729957</v>
      </c>
      <c r="AW451">
        <v>0.49578059071729957</v>
      </c>
      <c r="AX451">
        <v>0.1181434599156118</v>
      </c>
      <c r="AY451">
        <v>0.17932489451476791</v>
      </c>
      <c r="AZ451">
        <v>-0.37763713080168781</v>
      </c>
      <c r="BA451">
        <v>0.83333333333333337</v>
      </c>
      <c r="BB451">
        <v>0.78205128205128227</v>
      </c>
      <c r="BC451">
        <v>0.4</v>
      </c>
      <c r="BD451">
        <v>0.38897679324894507</v>
      </c>
      <c r="BE451">
        <v>4</v>
      </c>
      <c r="BF451">
        <v>0.60109035215839013</v>
      </c>
      <c r="BG451">
        <v>0.68</v>
      </c>
      <c r="BH451" t="s">
        <v>86</v>
      </c>
      <c r="BI451">
        <v>0.6</v>
      </c>
      <c r="BJ451" t="s">
        <v>86</v>
      </c>
      <c r="BK451" s="2">
        <f t="shared" ref="BK451:BK514" si="15">BG451-BI451</f>
        <v>8.0000000000000071E-2</v>
      </c>
      <c r="BL451" t="b">
        <f t="shared" ref="BL451:BL514" si="16">EXACT(BH451,BJ451)</f>
        <v>1</v>
      </c>
    </row>
    <row r="452" spans="1:64" x14ac:dyDescent="0.35">
      <c r="A452" t="s">
        <v>1283</v>
      </c>
      <c r="B452" t="s">
        <v>1278</v>
      </c>
      <c r="C452">
        <v>2022</v>
      </c>
      <c r="D452" t="s">
        <v>1279</v>
      </c>
      <c r="E452" t="s">
        <v>1280</v>
      </c>
      <c r="F452" t="s">
        <v>66</v>
      </c>
      <c r="G452" t="s">
        <v>101</v>
      </c>
      <c r="H452" t="s">
        <v>211</v>
      </c>
      <c r="I452" t="s">
        <v>1281</v>
      </c>
      <c r="J452" t="s">
        <v>70</v>
      </c>
      <c r="L452">
        <v>1</v>
      </c>
      <c r="M452" t="b">
        <v>0</v>
      </c>
      <c r="N452">
        <v>1</v>
      </c>
      <c r="O452">
        <v>3</v>
      </c>
      <c r="P452">
        <v>9</v>
      </c>
      <c r="Q452">
        <v>3</v>
      </c>
      <c r="R452">
        <v>6</v>
      </c>
      <c r="S452">
        <v>6</v>
      </c>
      <c r="T452">
        <v>32</v>
      </c>
      <c r="U452">
        <v>530</v>
      </c>
      <c r="V452">
        <v>151</v>
      </c>
      <c r="W452">
        <v>27</v>
      </c>
      <c r="X452">
        <v>5.5925925925925926</v>
      </c>
      <c r="Y452">
        <v>4</v>
      </c>
      <c r="Z452">
        <v>83</v>
      </c>
      <c r="AA452">
        <v>2</v>
      </c>
      <c r="AB452">
        <v>9</v>
      </c>
      <c r="AC452">
        <v>6</v>
      </c>
      <c r="AD452">
        <v>6</v>
      </c>
      <c r="AE452">
        <v>77</v>
      </c>
      <c r="AF452">
        <v>1</v>
      </c>
      <c r="AG452">
        <v>39</v>
      </c>
      <c r="AH452">
        <v>3</v>
      </c>
      <c r="AI452">
        <v>224</v>
      </c>
      <c r="AJ452">
        <v>2</v>
      </c>
      <c r="AK452">
        <v>4</v>
      </c>
      <c r="AL452">
        <v>5</v>
      </c>
      <c r="AM452">
        <v>228</v>
      </c>
      <c r="AN452">
        <v>7</v>
      </c>
      <c r="AO452">
        <v>131</v>
      </c>
      <c r="AP452">
        <v>12</v>
      </c>
      <c r="AQ452">
        <v>169</v>
      </c>
      <c r="AR452">
        <v>0.15660377358490571</v>
      </c>
      <c r="AS452">
        <v>1.6981132075471701E-2</v>
      </c>
      <c r="AT452">
        <v>0.1452830188679245</v>
      </c>
      <c r="AU452">
        <v>7.3584905660377356E-2</v>
      </c>
      <c r="AV452">
        <v>0.42264150943396228</v>
      </c>
      <c r="AW452">
        <v>0.43018867924528298</v>
      </c>
      <c r="AX452">
        <v>0.24716981132075469</v>
      </c>
      <c r="AY452">
        <v>0.31886792452830193</v>
      </c>
      <c r="AZ452">
        <v>-0.18301886792452829</v>
      </c>
      <c r="BA452">
        <v>0.83333333333333337</v>
      </c>
      <c r="BB452">
        <v>0.76543209876543206</v>
      </c>
      <c r="BC452">
        <v>0.8</v>
      </c>
      <c r="BD452">
        <v>0.51061320754716977</v>
      </c>
      <c r="BE452">
        <v>4</v>
      </c>
      <c r="BF452">
        <v>0.72734465991148378</v>
      </c>
      <c r="BG452">
        <v>0.79</v>
      </c>
      <c r="BH452" t="s">
        <v>86</v>
      </c>
      <c r="BI452">
        <v>0.73</v>
      </c>
      <c r="BJ452" t="s">
        <v>86</v>
      </c>
      <c r="BK452" s="2">
        <f t="shared" si="15"/>
        <v>6.0000000000000053E-2</v>
      </c>
      <c r="BL452" t="b">
        <f t="shared" si="16"/>
        <v>1</v>
      </c>
    </row>
    <row r="453" spans="1:64" x14ac:dyDescent="0.35">
      <c r="A453" t="s">
        <v>1284</v>
      </c>
      <c r="B453" t="s">
        <v>1285</v>
      </c>
      <c r="C453">
        <v>2018</v>
      </c>
      <c r="D453" t="s">
        <v>1286</v>
      </c>
      <c r="E453" t="s">
        <v>1287</v>
      </c>
      <c r="F453" t="s">
        <v>66</v>
      </c>
      <c r="G453" t="s">
        <v>101</v>
      </c>
      <c r="H453" t="s">
        <v>348</v>
      </c>
      <c r="I453" t="s">
        <v>1288</v>
      </c>
      <c r="J453" t="s">
        <v>70</v>
      </c>
      <c r="L453">
        <v>1</v>
      </c>
      <c r="M453" t="b">
        <v>0</v>
      </c>
      <c r="N453">
        <v>1</v>
      </c>
      <c r="O453">
        <v>3</v>
      </c>
      <c r="P453">
        <v>8</v>
      </c>
      <c r="Q453">
        <v>7</v>
      </c>
      <c r="R453">
        <v>1</v>
      </c>
      <c r="S453">
        <v>5</v>
      </c>
      <c r="T453">
        <v>49</v>
      </c>
      <c r="U453">
        <v>1271</v>
      </c>
      <c r="V453">
        <v>158</v>
      </c>
      <c r="W453">
        <v>29</v>
      </c>
      <c r="X453">
        <v>5.4482758620689653</v>
      </c>
      <c r="Y453">
        <v>2</v>
      </c>
      <c r="Z453">
        <v>25</v>
      </c>
      <c r="AA453">
        <v>0</v>
      </c>
      <c r="AB453">
        <v>0</v>
      </c>
      <c r="AC453">
        <v>6</v>
      </c>
      <c r="AD453">
        <v>6</v>
      </c>
      <c r="AE453">
        <v>169</v>
      </c>
      <c r="AF453">
        <v>3</v>
      </c>
      <c r="AG453">
        <v>23</v>
      </c>
      <c r="AH453">
        <v>3</v>
      </c>
      <c r="AI453">
        <v>63</v>
      </c>
      <c r="AJ453">
        <v>2</v>
      </c>
      <c r="AK453">
        <v>29</v>
      </c>
      <c r="AL453">
        <v>5</v>
      </c>
      <c r="AM453">
        <v>92</v>
      </c>
      <c r="AN453">
        <v>5</v>
      </c>
      <c r="AO453">
        <v>48</v>
      </c>
      <c r="AP453">
        <v>8</v>
      </c>
      <c r="AQ453">
        <v>194</v>
      </c>
      <c r="AR453">
        <v>1.9669551534225019E-2</v>
      </c>
      <c r="AS453">
        <v>0</v>
      </c>
      <c r="AT453">
        <v>0.1329661683713611</v>
      </c>
      <c r="AU453">
        <v>1.8095987411487019E-2</v>
      </c>
      <c r="AV453">
        <v>4.956726986624705E-2</v>
      </c>
      <c r="AW453">
        <v>7.2383949645948076E-2</v>
      </c>
      <c r="AX453">
        <v>3.7765538945712038E-2</v>
      </c>
      <c r="AY453">
        <v>0.15263571990558619</v>
      </c>
      <c r="AZ453">
        <v>-3.4618410700236038E-2</v>
      </c>
      <c r="BA453">
        <v>0.66666666666666663</v>
      </c>
      <c r="BB453">
        <v>0.74137931034482751</v>
      </c>
      <c r="BC453">
        <v>0.53333333333333333</v>
      </c>
      <c r="BD453">
        <v>0.60336349331235239</v>
      </c>
      <c r="BE453">
        <v>4</v>
      </c>
      <c r="BF453">
        <v>0.63618570091429494</v>
      </c>
      <c r="BG453">
        <v>0.64</v>
      </c>
      <c r="BH453" t="s">
        <v>86</v>
      </c>
      <c r="BI453">
        <v>0.64</v>
      </c>
      <c r="BJ453" t="s">
        <v>86</v>
      </c>
      <c r="BK453" s="2">
        <f t="shared" si="15"/>
        <v>0</v>
      </c>
      <c r="BL453" t="b">
        <f t="shared" si="16"/>
        <v>1</v>
      </c>
    </row>
    <row r="454" spans="1:64" x14ac:dyDescent="0.35">
      <c r="A454" t="s">
        <v>1289</v>
      </c>
      <c r="B454" t="s">
        <v>1290</v>
      </c>
      <c r="C454">
        <v>2017</v>
      </c>
      <c r="D454" t="s">
        <v>1291</v>
      </c>
      <c r="E454" t="s">
        <v>1292</v>
      </c>
      <c r="F454" t="s">
        <v>66</v>
      </c>
      <c r="G454" t="s">
        <v>101</v>
      </c>
      <c r="H454" t="s">
        <v>348</v>
      </c>
      <c r="I454" t="s">
        <v>1293</v>
      </c>
      <c r="J454" t="s">
        <v>70</v>
      </c>
      <c r="L454">
        <v>1</v>
      </c>
      <c r="M454" t="b">
        <v>0</v>
      </c>
      <c r="N454">
        <v>3</v>
      </c>
      <c r="O454">
        <v>1</v>
      </c>
      <c r="P454">
        <v>5</v>
      </c>
      <c r="Q454">
        <v>3</v>
      </c>
      <c r="R454">
        <v>2</v>
      </c>
      <c r="S454">
        <v>4</v>
      </c>
      <c r="T454">
        <v>24</v>
      </c>
      <c r="U454">
        <v>302</v>
      </c>
      <c r="V454">
        <v>86</v>
      </c>
      <c r="W454">
        <v>16</v>
      </c>
      <c r="X454">
        <v>5.375</v>
      </c>
      <c r="Y454">
        <v>2</v>
      </c>
      <c r="Z454">
        <v>35</v>
      </c>
      <c r="AA454">
        <v>0</v>
      </c>
      <c r="AB454">
        <v>0</v>
      </c>
      <c r="AC454">
        <v>3</v>
      </c>
      <c r="AD454">
        <v>3</v>
      </c>
      <c r="AE454">
        <v>80</v>
      </c>
      <c r="AF454">
        <v>0</v>
      </c>
      <c r="AG454">
        <v>0</v>
      </c>
      <c r="AH454">
        <v>1</v>
      </c>
      <c r="AI454">
        <v>12</v>
      </c>
      <c r="AJ454">
        <v>0</v>
      </c>
      <c r="AK454">
        <v>0</v>
      </c>
      <c r="AL454">
        <v>2</v>
      </c>
      <c r="AM454">
        <v>22</v>
      </c>
      <c r="AN454">
        <v>2</v>
      </c>
      <c r="AO454">
        <v>35</v>
      </c>
      <c r="AP454">
        <v>5</v>
      </c>
      <c r="AQ454">
        <v>115</v>
      </c>
      <c r="AR454">
        <v>0.11589403973509931</v>
      </c>
      <c r="AS454">
        <v>0</v>
      </c>
      <c r="AT454">
        <v>0.26490066225165559</v>
      </c>
      <c r="AU454">
        <v>0</v>
      </c>
      <c r="AV454">
        <v>3.9735099337748353E-2</v>
      </c>
      <c r="AW454">
        <v>7.2847682119205295E-2</v>
      </c>
      <c r="AX454">
        <v>0.11589403973509931</v>
      </c>
      <c r="AY454">
        <v>0.38079470198675502</v>
      </c>
      <c r="AZ454">
        <v>4.3046357615894038E-2</v>
      </c>
      <c r="BA454">
        <v>0.5</v>
      </c>
      <c r="BB454">
        <v>0.72916666666666663</v>
      </c>
      <c r="BC454">
        <v>0.33333333333333331</v>
      </c>
      <c r="BD454">
        <v>0.65190397350993379</v>
      </c>
      <c r="BE454">
        <v>4</v>
      </c>
      <c r="BF454">
        <v>0.55360099337748347</v>
      </c>
      <c r="BG454">
        <v>0.56999999999999995</v>
      </c>
      <c r="BH454" t="s">
        <v>71</v>
      </c>
      <c r="BI454">
        <v>0.55000000000000004</v>
      </c>
      <c r="BJ454" t="s">
        <v>71</v>
      </c>
      <c r="BK454" s="2">
        <f t="shared" si="15"/>
        <v>1.9999999999999907E-2</v>
      </c>
      <c r="BL454" t="b">
        <f t="shared" si="16"/>
        <v>1</v>
      </c>
    </row>
    <row r="455" spans="1:64" x14ac:dyDescent="0.35">
      <c r="A455" t="s">
        <v>1294</v>
      </c>
      <c r="B455" t="s">
        <v>1290</v>
      </c>
      <c r="C455">
        <v>2022</v>
      </c>
      <c r="D455" t="s">
        <v>1291</v>
      </c>
      <c r="E455" t="s">
        <v>1292</v>
      </c>
      <c r="F455" t="s">
        <v>66</v>
      </c>
      <c r="G455" t="s">
        <v>101</v>
      </c>
      <c r="H455" t="s">
        <v>348</v>
      </c>
      <c r="I455" t="s">
        <v>1293</v>
      </c>
      <c r="J455" t="s">
        <v>70</v>
      </c>
      <c r="L455">
        <v>1</v>
      </c>
      <c r="M455" t="b">
        <v>0</v>
      </c>
      <c r="N455">
        <v>1</v>
      </c>
      <c r="O455">
        <v>1</v>
      </c>
      <c r="P455">
        <v>3</v>
      </c>
      <c r="Q455">
        <v>1</v>
      </c>
      <c r="R455">
        <v>2</v>
      </c>
      <c r="S455">
        <v>4</v>
      </c>
      <c r="T455">
        <v>22</v>
      </c>
      <c r="U455">
        <v>223</v>
      </c>
      <c r="V455">
        <v>86</v>
      </c>
      <c r="W455">
        <v>17</v>
      </c>
      <c r="X455">
        <v>5.0588235294117636</v>
      </c>
      <c r="Y455">
        <v>3</v>
      </c>
      <c r="Z455">
        <v>23</v>
      </c>
      <c r="AA455">
        <v>0</v>
      </c>
      <c r="AB455">
        <v>0</v>
      </c>
      <c r="AC455">
        <v>2</v>
      </c>
      <c r="AD455">
        <v>2</v>
      </c>
      <c r="AE455">
        <v>44</v>
      </c>
      <c r="AF455">
        <v>3</v>
      </c>
      <c r="AG455">
        <v>16</v>
      </c>
      <c r="AH455">
        <v>1</v>
      </c>
      <c r="AI455">
        <v>7</v>
      </c>
      <c r="AJ455">
        <v>0</v>
      </c>
      <c r="AK455">
        <v>0</v>
      </c>
      <c r="AL455">
        <v>1</v>
      </c>
      <c r="AM455">
        <v>7</v>
      </c>
      <c r="AN455">
        <v>6</v>
      </c>
      <c r="AO455">
        <v>39</v>
      </c>
      <c r="AP455">
        <v>5</v>
      </c>
      <c r="AQ455">
        <v>67</v>
      </c>
      <c r="AR455">
        <v>0.1031390134529148</v>
      </c>
      <c r="AS455">
        <v>0</v>
      </c>
      <c r="AT455">
        <v>0.1973094170403587</v>
      </c>
      <c r="AU455">
        <v>7.1748878923766815E-2</v>
      </c>
      <c r="AV455">
        <v>3.1390134529147982E-2</v>
      </c>
      <c r="AW455">
        <v>3.1390134529147982E-2</v>
      </c>
      <c r="AX455">
        <v>0.17488789237668159</v>
      </c>
      <c r="AY455">
        <v>0.30044843049327352</v>
      </c>
      <c r="AZ455">
        <v>0.1434977578475336</v>
      </c>
      <c r="BA455">
        <v>0.5</v>
      </c>
      <c r="BB455">
        <v>0.67647058823529393</v>
      </c>
      <c r="BC455">
        <v>0.33333333333333331</v>
      </c>
      <c r="BD455">
        <v>0.71468609865470845</v>
      </c>
      <c r="BE455">
        <v>4</v>
      </c>
      <c r="BF455">
        <v>0.55612250505583394</v>
      </c>
      <c r="BG455">
        <v>0.56000000000000005</v>
      </c>
      <c r="BH455" t="s">
        <v>71</v>
      </c>
      <c r="BI455">
        <v>0.56000000000000005</v>
      </c>
      <c r="BJ455" t="s">
        <v>71</v>
      </c>
      <c r="BK455" s="2">
        <f t="shared" si="15"/>
        <v>0</v>
      </c>
      <c r="BL455" t="b">
        <f t="shared" si="16"/>
        <v>1</v>
      </c>
    </row>
    <row r="456" spans="1:64" x14ac:dyDescent="0.35">
      <c r="A456" t="s">
        <v>1295</v>
      </c>
      <c r="B456" t="s">
        <v>1296</v>
      </c>
      <c r="C456">
        <v>2017</v>
      </c>
      <c r="D456" t="s">
        <v>1297</v>
      </c>
      <c r="E456" t="s">
        <v>1298</v>
      </c>
      <c r="F456" t="s">
        <v>66</v>
      </c>
      <c r="G456" t="s">
        <v>101</v>
      </c>
      <c r="H456" t="s">
        <v>348</v>
      </c>
      <c r="I456" t="s">
        <v>1299</v>
      </c>
      <c r="J456" t="s">
        <v>70</v>
      </c>
      <c r="L456">
        <v>1</v>
      </c>
      <c r="M456" t="b">
        <v>0</v>
      </c>
      <c r="N456">
        <v>1</v>
      </c>
      <c r="O456">
        <v>1</v>
      </c>
      <c r="P456">
        <v>8</v>
      </c>
      <c r="Q456">
        <v>3</v>
      </c>
      <c r="R456">
        <v>5</v>
      </c>
      <c r="S456">
        <v>5</v>
      </c>
      <c r="T456">
        <v>26</v>
      </c>
      <c r="U456">
        <v>394</v>
      </c>
      <c r="V456">
        <v>106</v>
      </c>
      <c r="W456">
        <v>18</v>
      </c>
      <c r="X456">
        <v>5.8888888888888893</v>
      </c>
      <c r="Y456">
        <v>2</v>
      </c>
      <c r="Z456">
        <v>36</v>
      </c>
      <c r="AA456">
        <v>0</v>
      </c>
      <c r="AB456">
        <v>0</v>
      </c>
      <c r="AC456">
        <v>2</v>
      </c>
      <c r="AD456">
        <v>2</v>
      </c>
      <c r="AE456">
        <v>50</v>
      </c>
      <c r="AF456">
        <v>1</v>
      </c>
      <c r="AG456">
        <v>1</v>
      </c>
      <c r="AH456">
        <v>1</v>
      </c>
      <c r="AI456">
        <v>37</v>
      </c>
      <c r="AJ456">
        <v>1</v>
      </c>
      <c r="AK456">
        <v>12</v>
      </c>
      <c r="AL456">
        <v>2</v>
      </c>
      <c r="AM456">
        <v>49</v>
      </c>
      <c r="AN456">
        <v>3</v>
      </c>
      <c r="AO456">
        <v>37</v>
      </c>
      <c r="AP456">
        <v>4</v>
      </c>
      <c r="AQ456">
        <v>86</v>
      </c>
      <c r="AR456">
        <v>9.1370558375634514E-2</v>
      </c>
      <c r="AS456">
        <v>0</v>
      </c>
      <c r="AT456">
        <v>0.12690355329949241</v>
      </c>
      <c r="AU456">
        <v>2.538071065989848E-3</v>
      </c>
      <c r="AV456">
        <v>9.3908629441624369E-2</v>
      </c>
      <c r="AW456">
        <v>0.12436548223350249</v>
      </c>
      <c r="AX456">
        <v>9.3908629441624369E-2</v>
      </c>
      <c r="AY456">
        <v>0.21827411167512689</v>
      </c>
      <c r="AZ456">
        <v>-3.045685279187817E-2</v>
      </c>
      <c r="BA456">
        <v>0.66666666666666663</v>
      </c>
      <c r="BB456">
        <v>0.81481481481481488</v>
      </c>
      <c r="BC456">
        <v>0.26666666666666672</v>
      </c>
      <c r="BD456">
        <v>0.60596446700507611</v>
      </c>
      <c r="BE456">
        <v>4</v>
      </c>
      <c r="BF456">
        <v>0.58852815378830603</v>
      </c>
      <c r="BG456">
        <v>0.6</v>
      </c>
      <c r="BH456" t="s">
        <v>86</v>
      </c>
      <c r="BI456">
        <v>0.59</v>
      </c>
      <c r="BJ456" t="s">
        <v>71</v>
      </c>
      <c r="BK456" s="2">
        <f t="shared" si="15"/>
        <v>1.0000000000000009E-2</v>
      </c>
      <c r="BL456" t="b">
        <f t="shared" si="16"/>
        <v>0</v>
      </c>
    </row>
    <row r="457" spans="1:64" x14ac:dyDescent="0.35">
      <c r="A457" t="s">
        <v>1300</v>
      </c>
      <c r="B457" t="s">
        <v>1296</v>
      </c>
      <c r="C457">
        <v>2022</v>
      </c>
      <c r="D457" t="s">
        <v>1297</v>
      </c>
      <c r="E457" t="s">
        <v>1298</v>
      </c>
      <c r="F457" t="s">
        <v>66</v>
      </c>
      <c r="G457" t="s">
        <v>101</v>
      </c>
      <c r="H457" t="s">
        <v>348</v>
      </c>
      <c r="I457" t="s">
        <v>1299</v>
      </c>
      <c r="J457" t="s">
        <v>70</v>
      </c>
      <c r="L457">
        <v>1</v>
      </c>
      <c r="M457" t="b">
        <v>0</v>
      </c>
      <c r="N457">
        <v>1</v>
      </c>
      <c r="O457">
        <v>1</v>
      </c>
      <c r="P457">
        <v>5</v>
      </c>
      <c r="Q457">
        <v>0</v>
      </c>
      <c r="R457">
        <v>5</v>
      </c>
      <c r="S457">
        <v>5</v>
      </c>
      <c r="T457">
        <v>25</v>
      </c>
      <c r="U457">
        <v>289</v>
      </c>
      <c r="V457">
        <v>99</v>
      </c>
      <c r="W457">
        <v>19</v>
      </c>
      <c r="X457">
        <v>5.2105263157894726</v>
      </c>
      <c r="Y457">
        <v>5</v>
      </c>
      <c r="Z457">
        <v>50</v>
      </c>
      <c r="AA457">
        <v>0</v>
      </c>
      <c r="AB457">
        <v>0</v>
      </c>
      <c r="AC457">
        <v>3</v>
      </c>
      <c r="AD457">
        <v>3</v>
      </c>
      <c r="AE457">
        <v>106</v>
      </c>
      <c r="AF457">
        <v>2</v>
      </c>
      <c r="AG457">
        <v>2</v>
      </c>
      <c r="AH457">
        <v>1</v>
      </c>
      <c r="AI457">
        <v>8</v>
      </c>
      <c r="AJ457">
        <v>0</v>
      </c>
      <c r="AK457">
        <v>0</v>
      </c>
      <c r="AL457">
        <v>1</v>
      </c>
      <c r="AM457">
        <v>8</v>
      </c>
      <c r="AN457">
        <v>7</v>
      </c>
      <c r="AO457">
        <v>52</v>
      </c>
      <c r="AP457">
        <v>8</v>
      </c>
      <c r="AQ457">
        <v>156</v>
      </c>
      <c r="AR457">
        <v>0.17301038062283741</v>
      </c>
      <c r="AS457">
        <v>0</v>
      </c>
      <c r="AT457">
        <v>0.36678200692041518</v>
      </c>
      <c r="AU457">
        <v>6.920415224913495E-3</v>
      </c>
      <c r="AV457">
        <v>2.768166089965398E-2</v>
      </c>
      <c r="AW457">
        <v>2.768166089965398E-2</v>
      </c>
      <c r="AX457">
        <v>0.1799307958477509</v>
      </c>
      <c r="AY457">
        <v>0.53979238754325265</v>
      </c>
      <c r="AZ457">
        <v>0.15224913494809689</v>
      </c>
      <c r="BA457">
        <v>0.66666666666666663</v>
      </c>
      <c r="BB457">
        <v>0.70175438596491213</v>
      </c>
      <c r="BC457">
        <v>0.53333333333333333</v>
      </c>
      <c r="BD457">
        <v>0.72015570934256057</v>
      </c>
      <c r="BE457">
        <v>4</v>
      </c>
      <c r="BF457">
        <v>0.65547752382686819</v>
      </c>
      <c r="BG457">
        <v>0.68</v>
      </c>
      <c r="BH457" t="s">
        <v>86</v>
      </c>
      <c r="BI457">
        <v>0.66</v>
      </c>
      <c r="BJ457" t="s">
        <v>86</v>
      </c>
      <c r="BK457" s="2">
        <f t="shared" si="15"/>
        <v>2.0000000000000018E-2</v>
      </c>
      <c r="BL457" t="b">
        <f t="shared" si="16"/>
        <v>1</v>
      </c>
    </row>
    <row r="458" spans="1:64" x14ac:dyDescent="0.35">
      <c r="A458" t="s">
        <v>1301</v>
      </c>
      <c r="B458" t="s">
        <v>1302</v>
      </c>
      <c r="C458">
        <v>2018</v>
      </c>
      <c r="D458" t="s">
        <v>1303</v>
      </c>
      <c r="E458" t="s">
        <v>1304</v>
      </c>
      <c r="F458" t="s">
        <v>66</v>
      </c>
      <c r="G458" t="s">
        <v>101</v>
      </c>
      <c r="H458" t="s">
        <v>348</v>
      </c>
      <c r="I458" t="s">
        <v>1305</v>
      </c>
      <c r="J458" t="s">
        <v>70</v>
      </c>
      <c r="L458">
        <v>1</v>
      </c>
      <c r="M458" t="b">
        <v>0</v>
      </c>
      <c r="N458">
        <v>1</v>
      </c>
      <c r="O458">
        <v>1</v>
      </c>
      <c r="P458">
        <v>7</v>
      </c>
      <c r="Q458">
        <v>4</v>
      </c>
      <c r="R458">
        <v>3</v>
      </c>
      <c r="S458">
        <v>4</v>
      </c>
      <c r="T458">
        <v>27</v>
      </c>
      <c r="U458">
        <v>347</v>
      </c>
      <c r="V458">
        <v>104</v>
      </c>
      <c r="W458">
        <v>20</v>
      </c>
      <c r="X458">
        <v>5.2</v>
      </c>
      <c r="Y458">
        <v>2</v>
      </c>
      <c r="Z458">
        <v>24</v>
      </c>
      <c r="AA458">
        <v>0</v>
      </c>
      <c r="AB458">
        <v>0</v>
      </c>
      <c r="AC458">
        <v>4</v>
      </c>
      <c r="AD458">
        <v>4</v>
      </c>
      <c r="AE458">
        <v>82</v>
      </c>
      <c r="AF458">
        <v>0</v>
      </c>
      <c r="AG458">
        <v>0</v>
      </c>
      <c r="AH458">
        <v>1</v>
      </c>
      <c r="AI458">
        <v>18</v>
      </c>
      <c r="AJ458">
        <v>1</v>
      </c>
      <c r="AK458">
        <v>11</v>
      </c>
      <c r="AL458">
        <v>3</v>
      </c>
      <c r="AM458">
        <v>33</v>
      </c>
      <c r="AN458">
        <v>2</v>
      </c>
      <c r="AO458">
        <v>24</v>
      </c>
      <c r="AP458">
        <v>6</v>
      </c>
      <c r="AQ458">
        <v>106</v>
      </c>
      <c r="AR458">
        <v>6.9164265129683003E-2</v>
      </c>
      <c r="AS458">
        <v>0</v>
      </c>
      <c r="AT458">
        <v>0.23631123919308361</v>
      </c>
      <c r="AU458">
        <v>0</v>
      </c>
      <c r="AV458">
        <v>5.1873198847262249E-2</v>
      </c>
      <c r="AW458">
        <v>9.5100864553314124E-2</v>
      </c>
      <c r="AX458">
        <v>6.9164265129683003E-2</v>
      </c>
      <c r="AY458">
        <v>0.30547550432276649</v>
      </c>
      <c r="AZ458">
        <v>-2.5936599423631121E-2</v>
      </c>
      <c r="BA458">
        <v>0.5</v>
      </c>
      <c r="BB458">
        <v>0.70000000000000007</v>
      </c>
      <c r="BC458">
        <v>0.4</v>
      </c>
      <c r="BD458">
        <v>0.60878962536023051</v>
      </c>
      <c r="BE458">
        <v>4</v>
      </c>
      <c r="BF458">
        <v>0.55219740634005765</v>
      </c>
      <c r="BG458">
        <v>0.56000000000000005</v>
      </c>
      <c r="BH458" t="s">
        <v>71</v>
      </c>
      <c r="BI458">
        <v>0.55000000000000004</v>
      </c>
      <c r="BJ458" t="s">
        <v>71</v>
      </c>
      <c r="BK458" s="2">
        <f t="shared" si="15"/>
        <v>1.0000000000000009E-2</v>
      </c>
      <c r="BL458" t="b">
        <f t="shared" si="16"/>
        <v>1</v>
      </c>
    </row>
    <row r="459" spans="1:64" x14ac:dyDescent="0.35">
      <c r="A459" t="s">
        <v>1306</v>
      </c>
      <c r="B459" t="s">
        <v>1307</v>
      </c>
      <c r="C459">
        <v>2020</v>
      </c>
      <c r="D459" t="s">
        <v>1308</v>
      </c>
      <c r="E459" t="s">
        <v>1309</v>
      </c>
      <c r="F459" t="s">
        <v>66</v>
      </c>
      <c r="G459" t="s">
        <v>101</v>
      </c>
      <c r="H459" t="s">
        <v>348</v>
      </c>
      <c r="I459" t="s">
        <v>1305</v>
      </c>
      <c r="J459" t="s">
        <v>70</v>
      </c>
      <c r="L459">
        <v>1</v>
      </c>
      <c r="M459" t="b">
        <v>0</v>
      </c>
      <c r="N459">
        <v>3</v>
      </c>
      <c r="O459">
        <v>1</v>
      </c>
      <c r="P459">
        <v>1</v>
      </c>
      <c r="Q459">
        <v>4</v>
      </c>
      <c r="R459">
        <v>-3</v>
      </c>
      <c r="S459">
        <v>3</v>
      </c>
      <c r="T459">
        <v>17</v>
      </c>
      <c r="U459">
        <v>167</v>
      </c>
      <c r="V459">
        <v>52</v>
      </c>
      <c r="W459">
        <v>14</v>
      </c>
      <c r="X459">
        <v>3.714285714285714</v>
      </c>
      <c r="Y459">
        <v>1</v>
      </c>
      <c r="Z459">
        <v>15</v>
      </c>
      <c r="AA459">
        <v>0</v>
      </c>
      <c r="AB459">
        <v>0</v>
      </c>
      <c r="AC459">
        <v>2</v>
      </c>
      <c r="AD459">
        <v>2</v>
      </c>
      <c r="AE459">
        <v>38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5</v>
      </c>
      <c r="AL459">
        <v>2</v>
      </c>
      <c r="AM459">
        <v>6</v>
      </c>
      <c r="AN459">
        <v>2</v>
      </c>
      <c r="AO459">
        <v>16</v>
      </c>
      <c r="AP459">
        <v>3</v>
      </c>
      <c r="AQ459">
        <v>53</v>
      </c>
      <c r="AR459">
        <v>8.9820359281437126E-2</v>
      </c>
      <c r="AS459">
        <v>0</v>
      </c>
      <c r="AT459">
        <v>0.22754491017964071</v>
      </c>
      <c r="AU459">
        <v>5.9880239520958087E-3</v>
      </c>
      <c r="AV459">
        <v>5.9880239520958087E-3</v>
      </c>
      <c r="AW459">
        <v>3.5928143712574849E-2</v>
      </c>
      <c r="AX459">
        <v>9.580838323353294E-2</v>
      </c>
      <c r="AY459">
        <v>0.31736526946107779</v>
      </c>
      <c r="AZ459">
        <v>5.9880239520958091E-2</v>
      </c>
      <c r="BA459">
        <v>0.33333333333333331</v>
      </c>
      <c r="BB459">
        <v>0.45238095238095227</v>
      </c>
      <c r="BC459">
        <v>0.2</v>
      </c>
      <c r="BD459">
        <v>0.66242514970059874</v>
      </c>
      <c r="BE459">
        <v>4</v>
      </c>
      <c r="BF459">
        <v>0.4120348588537211</v>
      </c>
      <c r="BG459">
        <v>0.43</v>
      </c>
      <c r="BH459" t="s">
        <v>71</v>
      </c>
      <c r="BI459">
        <v>0.41</v>
      </c>
      <c r="BJ459" t="s">
        <v>71</v>
      </c>
      <c r="BK459" s="2">
        <f t="shared" si="15"/>
        <v>2.0000000000000018E-2</v>
      </c>
      <c r="BL459" t="b">
        <f t="shared" si="16"/>
        <v>1</v>
      </c>
    </row>
    <row r="460" spans="1:64" x14ac:dyDescent="0.35">
      <c r="A460" t="s">
        <v>1310</v>
      </c>
      <c r="B460" t="s">
        <v>1311</v>
      </c>
      <c r="C460">
        <v>2017</v>
      </c>
      <c r="D460" t="s">
        <v>1312</v>
      </c>
      <c r="E460" t="s">
        <v>1313</v>
      </c>
      <c r="F460" t="s">
        <v>66</v>
      </c>
      <c r="G460" t="s">
        <v>101</v>
      </c>
      <c r="H460" t="s">
        <v>348</v>
      </c>
      <c r="I460" t="s">
        <v>1314</v>
      </c>
      <c r="J460" t="s">
        <v>70</v>
      </c>
      <c r="L460">
        <v>1</v>
      </c>
      <c r="M460" t="b">
        <v>0</v>
      </c>
      <c r="N460">
        <v>1</v>
      </c>
      <c r="O460">
        <v>1</v>
      </c>
      <c r="P460">
        <v>4</v>
      </c>
      <c r="Q460">
        <v>3</v>
      </c>
      <c r="R460">
        <v>1</v>
      </c>
      <c r="S460">
        <v>4</v>
      </c>
      <c r="T460">
        <v>13</v>
      </c>
      <c r="U460">
        <v>409</v>
      </c>
      <c r="V460">
        <v>48</v>
      </c>
      <c r="W460">
        <v>11</v>
      </c>
      <c r="X460">
        <v>4.3636363636363633</v>
      </c>
      <c r="Y460">
        <v>1</v>
      </c>
      <c r="Z460">
        <v>18</v>
      </c>
      <c r="AA460">
        <v>1</v>
      </c>
      <c r="AB460">
        <v>8</v>
      </c>
      <c r="AC460">
        <v>2</v>
      </c>
      <c r="AD460">
        <v>2</v>
      </c>
      <c r="AE460">
        <v>113</v>
      </c>
      <c r="AF460">
        <v>0</v>
      </c>
      <c r="AG460">
        <v>0</v>
      </c>
      <c r="AH460">
        <v>1</v>
      </c>
      <c r="AI460">
        <v>169</v>
      </c>
      <c r="AJ460">
        <v>1</v>
      </c>
      <c r="AK460">
        <v>5</v>
      </c>
      <c r="AL460">
        <v>2</v>
      </c>
      <c r="AM460">
        <v>174</v>
      </c>
      <c r="AN460">
        <v>2</v>
      </c>
      <c r="AO460">
        <v>26</v>
      </c>
      <c r="AP460">
        <v>4</v>
      </c>
      <c r="AQ460">
        <v>139</v>
      </c>
      <c r="AR460">
        <v>4.4009779951100253E-2</v>
      </c>
      <c r="AS460">
        <v>1.9559902200489001E-2</v>
      </c>
      <c r="AT460">
        <v>0.27628361858190709</v>
      </c>
      <c r="AU460">
        <v>0</v>
      </c>
      <c r="AV460">
        <v>0.41320293398533009</v>
      </c>
      <c r="AW460">
        <v>0.42542787286063571</v>
      </c>
      <c r="AX460">
        <v>6.3569682151589244E-2</v>
      </c>
      <c r="AY460">
        <v>0.33985330073349629</v>
      </c>
      <c r="AZ460">
        <v>-0.36185819070904651</v>
      </c>
      <c r="BA460">
        <v>0.5</v>
      </c>
      <c r="BB460">
        <v>0.56060606060606055</v>
      </c>
      <c r="BC460">
        <v>0.26666666666666672</v>
      </c>
      <c r="BD460">
        <v>0.3988386308068459</v>
      </c>
      <c r="BE460">
        <v>4</v>
      </c>
      <c r="BF460">
        <v>0.43152783951989332</v>
      </c>
      <c r="BG460">
        <v>0.5</v>
      </c>
      <c r="BH460" t="s">
        <v>71</v>
      </c>
      <c r="BI460">
        <v>0.43</v>
      </c>
      <c r="BJ460" t="s">
        <v>71</v>
      </c>
      <c r="BK460" s="2">
        <f t="shared" si="15"/>
        <v>7.0000000000000007E-2</v>
      </c>
      <c r="BL460" t="b">
        <f t="shared" si="16"/>
        <v>1</v>
      </c>
    </row>
    <row r="461" spans="1:64" x14ac:dyDescent="0.35">
      <c r="A461" t="s">
        <v>1315</v>
      </c>
      <c r="B461" t="s">
        <v>1311</v>
      </c>
      <c r="C461">
        <v>2021</v>
      </c>
      <c r="D461" t="s">
        <v>1312</v>
      </c>
      <c r="E461" t="s">
        <v>1313</v>
      </c>
      <c r="F461" t="s">
        <v>66</v>
      </c>
      <c r="G461" t="s">
        <v>101</v>
      </c>
      <c r="H461" t="s">
        <v>348</v>
      </c>
      <c r="I461" t="s">
        <v>1314</v>
      </c>
      <c r="J461" t="s">
        <v>70</v>
      </c>
      <c r="L461">
        <v>1</v>
      </c>
      <c r="M461" t="b">
        <v>0</v>
      </c>
      <c r="N461">
        <v>3</v>
      </c>
      <c r="O461">
        <v>1</v>
      </c>
      <c r="P461">
        <v>4</v>
      </c>
      <c r="Q461">
        <v>2</v>
      </c>
      <c r="R461">
        <v>2</v>
      </c>
      <c r="S461">
        <v>4</v>
      </c>
      <c r="T461">
        <v>15</v>
      </c>
      <c r="U461">
        <v>1194</v>
      </c>
      <c r="V461">
        <v>56</v>
      </c>
      <c r="W461">
        <v>14</v>
      </c>
      <c r="X461">
        <v>4</v>
      </c>
      <c r="Y461">
        <v>1</v>
      </c>
      <c r="Z461">
        <v>135</v>
      </c>
      <c r="AA461">
        <v>1</v>
      </c>
      <c r="AB461">
        <v>6</v>
      </c>
      <c r="AC461">
        <v>3</v>
      </c>
      <c r="AD461">
        <v>3</v>
      </c>
      <c r="AE461">
        <v>62</v>
      </c>
      <c r="AF461">
        <v>0</v>
      </c>
      <c r="AG461">
        <v>0</v>
      </c>
      <c r="AH461">
        <v>1</v>
      </c>
      <c r="AI461">
        <v>389</v>
      </c>
      <c r="AJ461">
        <v>2</v>
      </c>
      <c r="AK461">
        <v>21</v>
      </c>
      <c r="AL461">
        <v>3</v>
      </c>
      <c r="AM461">
        <v>410</v>
      </c>
      <c r="AN461">
        <v>2</v>
      </c>
      <c r="AO461">
        <v>141</v>
      </c>
      <c r="AP461">
        <v>5</v>
      </c>
      <c r="AQ461">
        <v>203</v>
      </c>
      <c r="AR461">
        <v>0.11306532663316581</v>
      </c>
      <c r="AS461">
        <v>5.0251256281407036E-3</v>
      </c>
      <c r="AT461">
        <v>5.1926298157453928E-2</v>
      </c>
      <c r="AU461">
        <v>0</v>
      </c>
      <c r="AV461">
        <v>0.32579564489112228</v>
      </c>
      <c r="AW461">
        <v>0.34338358458961482</v>
      </c>
      <c r="AX461">
        <v>0.1180904522613065</v>
      </c>
      <c r="AY461">
        <v>0.17001675041876049</v>
      </c>
      <c r="AZ461">
        <v>-0.22529313232830819</v>
      </c>
      <c r="BA461">
        <v>0.5</v>
      </c>
      <c r="BB461">
        <v>0.5</v>
      </c>
      <c r="BC461">
        <v>0.33333333333333331</v>
      </c>
      <c r="BD461">
        <v>0.48419179229480741</v>
      </c>
      <c r="BE461">
        <v>4</v>
      </c>
      <c r="BF461">
        <v>0.45438128140703521</v>
      </c>
      <c r="BG461">
        <v>0.46</v>
      </c>
      <c r="BH461" t="s">
        <v>71</v>
      </c>
      <c r="BI461">
        <v>0.45</v>
      </c>
      <c r="BJ461" t="s">
        <v>71</v>
      </c>
      <c r="BK461" s="2">
        <f t="shared" si="15"/>
        <v>1.0000000000000009E-2</v>
      </c>
      <c r="BL461" t="b">
        <f t="shared" si="16"/>
        <v>1</v>
      </c>
    </row>
    <row r="462" spans="1:64" x14ac:dyDescent="0.35">
      <c r="A462" t="s">
        <v>1316</v>
      </c>
      <c r="B462" t="s">
        <v>1317</v>
      </c>
      <c r="C462">
        <v>2018</v>
      </c>
      <c r="D462" t="s">
        <v>1318</v>
      </c>
      <c r="E462" t="s">
        <v>1319</v>
      </c>
      <c r="F462" t="s">
        <v>66</v>
      </c>
      <c r="G462" t="s">
        <v>101</v>
      </c>
      <c r="H462" t="s">
        <v>348</v>
      </c>
      <c r="I462" t="s">
        <v>1320</v>
      </c>
      <c r="J462" t="s">
        <v>70</v>
      </c>
      <c r="L462">
        <v>1</v>
      </c>
      <c r="M462" t="b">
        <v>0</v>
      </c>
      <c r="N462">
        <v>1</v>
      </c>
      <c r="O462">
        <v>1</v>
      </c>
      <c r="P462">
        <v>3</v>
      </c>
      <c r="Q462">
        <v>1</v>
      </c>
      <c r="R462">
        <v>2</v>
      </c>
      <c r="S462">
        <v>4</v>
      </c>
      <c r="T462">
        <v>13</v>
      </c>
      <c r="U462">
        <v>621</v>
      </c>
      <c r="V462">
        <v>57</v>
      </c>
      <c r="W462">
        <v>12</v>
      </c>
      <c r="X462">
        <v>4.75</v>
      </c>
      <c r="Y462">
        <v>1</v>
      </c>
      <c r="Z462">
        <v>13</v>
      </c>
      <c r="AA462">
        <v>0</v>
      </c>
      <c r="AB462">
        <v>0</v>
      </c>
      <c r="AC462">
        <v>1</v>
      </c>
      <c r="AD462">
        <v>1</v>
      </c>
      <c r="AE462">
        <v>1</v>
      </c>
      <c r="AF462">
        <v>1</v>
      </c>
      <c r="AG462">
        <v>9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</v>
      </c>
      <c r="AO462">
        <v>22</v>
      </c>
      <c r="AP462">
        <v>2</v>
      </c>
      <c r="AQ462">
        <v>14</v>
      </c>
      <c r="AR462">
        <v>2.0933977455716589E-2</v>
      </c>
      <c r="AS462">
        <v>0</v>
      </c>
      <c r="AT462">
        <v>1.6103059581320451E-3</v>
      </c>
      <c r="AU462">
        <v>1.4492753623188409E-2</v>
      </c>
      <c r="AV462">
        <v>0</v>
      </c>
      <c r="AW462">
        <v>0</v>
      </c>
      <c r="AX462">
        <v>3.542673107890499E-2</v>
      </c>
      <c r="AY462">
        <v>2.2544283413848631E-2</v>
      </c>
      <c r="AZ462">
        <v>3.542673107890499E-2</v>
      </c>
      <c r="BA462">
        <v>0.5</v>
      </c>
      <c r="BB462">
        <v>0.625</v>
      </c>
      <c r="BC462">
        <v>0.1333333333333333</v>
      </c>
      <c r="BD462">
        <v>0.6471417069243155</v>
      </c>
      <c r="BE462">
        <v>4</v>
      </c>
      <c r="BF462">
        <v>0.4763687600644122</v>
      </c>
      <c r="BG462">
        <v>0.48</v>
      </c>
      <c r="BH462" t="s">
        <v>71</v>
      </c>
      <c r="BI462">
        <v>0.48</v>
      </c>
      <c r="BJ462" t="s">
        <v>71</v>
      </c>
      <c r="BK462" s="2">
        <f t="shared" si="15"/>
        <v>0</v>
      </c>
      <c r="BL462" t="b">
        <f t="shared" si="16"/>
        <v>1</v>
      </c>
    </row>
    <row r="463" spans="1:64" x14ac:dyDescent="0.35">
      <c r="A463" t="s">
        <v>1321</v>
      </c>
      <c r="B463" t="s">
        <v>1317</v>
      </c>
      <c r="C463">
        <v>2021</v>
      </c>
      <c r="D463" t="s">
        <v>1318</v>
      </c>
      <c r="E463" t="s">
        <v>1319</v>
      </c>
      <c r="F463" t="s">
        <v>66</v>
      </c>
      <c r="G463" t="s">
        <v>101</v>
      </c>
      <c r="H463" t="s">
        <v>348</v>
      </c>
      <c r="I463" t="s">
        <v>1320</v>
      </c>
      <c r="J463" t="s">
        <v>70</v>
      </c>
      <c r="L463">
        <v>1</v>
      </c>
      <c r="M463" t="b">
        <v>0</v>
      </c>
      <c r="N463">
        <v>1</v>
      </c>
      <c r="O463">
        <v>1</v>
      </c>
      <c r="P463">
        <v>7</v>
      </c>
      <c r="Q463">
        <v>1</v>
      </c>
      <c r="R463">
        <v>6</v>
      </c>
      <c r="S463">
        <v>5</v>
      </c>
      <c r="T463">
        <v>21</v>
      </c>
      <c r="U463">
        <v>846</v>
      </c>
      <c r="V463">
        <v>101</v>
      </c>
      <c r="W463">
        <v>17</v>
      </c>
      <c r="X463">
        <v>5.9411764705882364</v>
      </c>
      <c r="Y463">
        <v>3</v>
      </c>
      <c r="Z463">
        <v>92</v>
      </c>
      <c r="AA463">
        <v>1</v>
      </c>
      <c r="AB463">
        <v>49</v>
      </c>
      <c r="AC463">
        <v>4</v>
      </c>
      <c r="AD463">
        <v>4</v>
      </c>
      <c r="AE463">
        <v>70</v>
      </c>
      <c r="AF463">
        <v>1</v>
      </c>
      <c r="AG463">
        <v>188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5</v>
      </c>
      <c r="AO463">
        <v>329</v>
      </c>
      <c r="AP463">
        <v>8</v>
      </c>
      <c r="AQ463">
        <v>211</v>
      </c>
      <c r="AR463">
        <v>0.1087470449172577</v>
      </c>
      <c r="AS463">
        <v>5.7919621749408977E-2</v>
      </c>
      <c r="AT463">
        <v>8.2742316784869971E-2</v>
      </c>
      <c r="AU463">
        <v>0.22222222222222221</v>
      </c>
      <c r="AV463">
        <v>0</v>
      </c>
      <c r="AW463">
        <v>0</v>
      </c>
      <c r="AX463">
        <v>0.3888888888888889</v>
      </c>
      <c r="AY463">
        <v>0.24940898345153659</v>
      </c>
      <c r="AZ463">
        <v>0.3888888888888889</v>
      </c>
      <c r="BA463">
        <v>0.66666666666666663</v>
      </c>
      <c r="BB463">
        <v>0.82352941176470607</v>
      </c>
      <c r="BC463">
        <v>0.53333333333333333</v>
      </c>
      <c r="BD463">
        <v>0.86805555555555547</v>
      </c>
      <c r="BE463">
        <v>4</v>
      </c>
      <c r="BF463">
        <v>0.7228962418300654</v>
      </c>
      <c r="BG463">
        <v>0.76</v>
      </c>
      <c r="BH463" t="s">
        <v>86</v>
      </c>
      <c r="BI463">
        <v>0.72</v>
      </c>
      <c r="BJ463" t="s">
        <v>86</v>
      </c>
      <c r="BK463" s="2">
        <f t="shared" si="15"/>
        <v>4.0000000000000036E-2</v>
      </c>
      <c r="BL463" t="b">
        <f t="shared" si="16"/>
        <v>1</v>
      </c>
    </row>
    <row r="464" spans="1:64" x14ac:dyDescent="0.35">
      <c r="A464" t="s">
        <v>1322</v>
      </c>
      <c r="B464" t="s">
        <v>1323</v>
      </c>
      <c r="C464">
        <v>2017</v>
      </c>
      <c r="D464" t="s">
        <v>1324</v>
      </c>
      <c r="E464" t="s">
        <v>1325</v>
      </c>
      <c r="F464" t="s">
        <v>66</v>
      </c>
      <c r="G464" t="s">
        <v>101</v>
      </c>
      <c r="H464" t="s">
        <v>348</v>
      </c>
      <c r="I464" t="s">
        <v>1326</v>
      </c>
      <c r="J464" t="s">
        <v>70</v>
      </c>
      <c r="L464">
        <v>1</v>
      </c>
      <c r="M464" t="b">
        <v>0</v>
      </c>
      <c r="N464">
        <v>1</v>
      </c>
      <c r="O464">
        <v>3</v>
      </c>
      <c r="P464">
        <v>7</v>
      </c>
      <c r="Q464">
        <v>3</v>
      </c>
      <c r="R464">
        <v>4</v>
      </c>
      <c r="S464">
        <v>6</v>
      </c>
      <c r="T464">
        <v>15</v>
      </c>
      <c r="U464">
        <v>1332</v>
      </c>
      <c r="V464">
        <v>74</v>
      </c>
      <c r="W464">
        <v>12</v>
      </c>
      <c r="X464">
        <v>6.166666666666667</v>
      </c>
      <c r="Y464">
        <v>3</v>
      </c>
      <c r="Z464">
        <v>119</v>
      </c>
      <c r="AA464">
        <v>3</v>
      </c>
      <c r="AB464">
        <v>363</v>
      </c>
      <c r="AC464">
        <v>4</v>
      </c>
      <c r="AD464">
        <v>4</v>
      </c>
      <c r="AE464">
        <v>324</v>
      </c>
      <c r="AF464">
        <v>0</v>
      </c>
      <c r="AG464">
        <v>0</v>
      </c>
      <c r="AH464">
        <v>1</v>
      </c>
      <c r="AI464">
        <v>7</v>
      </c>
      <c r="AJ464">
        <v>0</v>
      </c>
      <c r="AK464">
        <v>0</v>
      </c>
      <c r="AL464">
        <v>1</v>
      </c>
      <c r="AM464">
        <v>7</v>
      </c>
      <c r="AN464">
        <v>6</v>
      </c>
      <c r="AO464">
        <v>482</v>
      </c>
      <c r="AP464">
        <v>10</v>
      </c>
      <c r="AQ464">
        <v>806</v>
      </c>
      <c r="AR464">
        <v>8.9339339339339338E-2</v>
      </c>
      <c r="AS464">
        <v>0.27252252252252251</v>
      </c>
      <c r="AT464">
        <v>0.24324324324324331</v>
      </c>
      <c r="AU464">
        <v>0</v>
      </c>
      <c r="AV464">
        <v>5.2552552552552556E-3</v>
      </c>
      <c r="AW464">
        <v>5.2552552552552556E-3</v>
      </c>
      <c r="AX464">
        <v>0.36186186186186192</v>
      </c>
      <c r="AY464">
        <v>0.60510510510510507</v>
      </c>
      <c r="AZ464">
        <v>0.35660660660660659</v>
      </c>
      <c r="BA464">
        <v>0.83333333333333337</v>
      </c>
      <c r="BB464">
        <v>0.86111111111111116</v>
      </c>
      <c r="BC464">
        <v>0.66666666666666663</v>
      </c>
      <c r="BD464">
        <v>0.84787912912912899</v>
      </c>
      <c r="BE464">
        <v>4</v>
      </c>
      <c r="BF464">
        <v>0.80224756006006004</v>
      </c>
      <c r="BG464">
        <v>0.82</v>
      </c>
      <c r="BH464" t="s">
        <v>164</v>
      </c>
      <c r="BI464">
        <v>0.8</v>
      </c>
      <c r="BJ464" t="s">
        <v>164</v>
      </c>
      <c r="BK464" s="2">
        <f t="shared" si="15"/>
        <v>1.9999999999999907E-2</v>
      </c>
      <c r="BL464" t="b">
        <f t="shared" si="16"/>
        <v>1</v>
      </c>
    </row>
    <row r="465" spans="1:64" x14ac:dyDescent="0.35">
      <c r="A465" t="s">
        <v>1327</v>
      </c>
      <c r="B465" t="s">
        <v>1323</v>
      </c>
      <c r="C465">
        <v>2021</v>
      </c>
      <c r="D465" t="s">
        <v>1324</v>
      </c>
      <c r="E465" t="s">
        <v>1325</v>
      </c>
      <c r="F465" t="s">
        <v>66</v>
      </c>
      <c r="G465" t="s">
        <v>101</v>
      </c>
      <c r="H465" t="s">
        <v>348</v>
      </c>
      <c r="I465" t="s">
        <v>1326</v>
      </c>
      <c r="J465" t="s">
        <v>70</v>
      </c>
      <c r="L465">
        <v>1</v>
      </c>
      <c r="M465" t="b">
        <v>0</v>
      </c>
      <c r="N465">
        <v>3</v>
      </c>
      <c r="O465">
        <v>1</v>
      </c>
      <c r="P465">
        <v>8</v>
      </c>
      <c r="Q465">
        <v>2</v>
      </c>
      <c r="R465">
        <v>6</v>
      </c>
      <c r="S465">
        <v>4</v>
      </c>
      <c r="T465">
        <v>24</v>
      </c>
      <c r="U465">
        <v>485</v>
      </c>
      <c r="V465">
        <v>105</v>
      </c>
      <c r="W465">
        <v>18</v>
      </c>
      <c r="X465">
        <v>5.833333333333333</v>
      </c>
      <c r="Y465">
        <v>2</v>
      </c>
      <c r="Z465">
        <v>222</v>
      </c>
      <c r="AA465">
        <v>1</v>
      </c>
      <c r="AB465">
        <v>18</v>
      </c>
      <c r="AC465">
        <v>7</v>
      </c>
      <c r="AD465">
        <v>7</v>
      </c>
      <c r="AE465">
        <v>155</v>
      </c>
      <c r="AF465">
        <v>1</v>
      </c>
      <c r="AG465">
        <v>3</v>
      </c>
      <c r="AH465">
        <v>1</v>
      </c>
      <c r="AI465">
        <v>7</v>
      </c>
      <c r="AJ465">
        <v>0</v>
      </c>
      <c r="AK465">
        <v>0</v>
      </c>
      <c r="AL465">
        <v>1</v>
      </c>
      <c r="AM465">
        <v>7</v>
      </c>
      <c r="AN465">
        <v>4</v>
      </c>
      <c r="AO465">
        <v>243</v>
      </c>
      <c r="AP465">
        <v>10</v>
      </c>
      <c r="AQ465">
        <v>395</v>
      </c>
      <c r="AR465">
        <v>0.45773195876288658</v>
      </c>
      <c r="AS465">
        <v>3.711340206185567E-2</v>
      </c>
      <c r="AT465">
        <v>0.31958762886597941</v>
      </c>
      <c r="AU465">
        <v>6.1855670103092781E-3</v>
      </c>
      <c r="AV465">
        <v>1.443298969072165E-2</v>
      </c>
      <c r="AW465">
        <v>1.443298969072165E-2</v>
      </c>
      <c r="AX465">
        <v>0.50103092783505154</v>
      </c>
      <c r="AY465">
        <v>0.81443298969072164</v>
      </c>
      <c r="AZ465">
        <v>0.48659793814432989</v>
      </c>
      <c r="BA465">
        <v>0.5</v>
      </c>
      <c r="BB465">
        <v>0.80555555555555547</v>
      </c>
      <c r="BC465">
        <v>0.66666666666666663</v>
      </c>
      <c r="BD465">
        <v>0.92912371134020622</v>
      </c>
      <c r="BE465">
        <v>4</v>
      </c>
      <c r="BF465">
        <v>0.72533648339060708</v>
      </c>
      <c r="BG465">
        <v>0.76</v>
      </c>
      <c r="BH465" t="s">
        <v>86</v>
      </c>
      <c r="BI465">
        <v>0.73</v>
      </c>
      <c r="BJ465" t="s">
        <v>86</v>
      </c>
      <c r="BK465" s="2">
        <f t="shared" si="15"/>
        <v>3.0000000000000027E-2</v>
      </c>
      <c r="BL465" t="b">
        <f t="shared" si="16"/>
        <v>1</v>
      </c>
    </row>
    <row r="466" spans="1:64" x14ac:dyDescent="0.35">
      <c r="A466" t="s">
        <v>1328</v>
      </c>
      <c r="B466" t="s">
        <v>1329</v>
      </c>
      <c r="C466">
        <v>2017</v>
      </c>
      <c r="D466" t="s">
        <v>1330</v>
      </c>
      <c r="E466" t="s">
        <v>1331</v>
      </c>
      <c r="F466" t="s">
        <v>66</v>
      </c>
      <c r="G466" t="s">
        <v>101</v>
      </c>
      <c r="H466" t="s">
        <v>348</v>
      </c>
      <c r="I466" t="s">
        <v>1332</v>
      </c>
      <c r="J466" t="s">
        <v>70</v>
      </c>
      <c r="L466">
        <v>1</v>
      </c>
      <c r="M466" t="b">
        <v>0</v>
      </c>
      <c r="N466">
        <v>4</v>
      </c>
      <c r="O466">
        <v>3</v>
      </c>
      <c r="P466">
        <v>1</v>
      </c>
      <c r="Q466">
        <v>6</v>
      </c>
      <c r="R466">
        <v>-5</v>
      </c>
      <c r="S466">
        <v>3</v>
      </c>
      <c r="T466">
        <v>14</v>
      </c>
      <c r="U466">
        <v>211</v>
      </c>
      <c r="V466">
        <v>40</v>
      </c>
      <c r="W466">
        <v>11</v>
      </c>
      <c r="X466">
        <v>3.6363636363636358</v>
      </c>
      <c r="Y466">
        <v>3</v>
      </c>
      <c r="Z466">
        <v>48</v>
      </c>
      <c r="AA466">
        <v>0</v>
      </c>
      <c r="AB466">
        <v>0</v>
      </c>
      <c r="AC466">
        <v>2</v>
      </c>
      <c r="AD466">
        <v>1</v>
      </c>
      <c r="AE466">
        <v>26</v>
      </c>
      <c r="AF466">
        <v>2</v>
      </c>
      <c r="AG466">
        <v>9</v>
      </c>
      <c r="AH466">
        <v>1</v>
      </c>
      <c r="AI466">
        <v>47</v>
      </c>
      <c r="AJ466">
        <v>1</v>
      </c>
      <c r="AK466">
        <v>6</v>
      </c>
      <c r="AL466">
        <v>2</v>
      </c>
      <c r="AM466">
        <v>53</v>
      </c>
      <c r="AN466">
        <v>5</v>
      </c>
      <c r="AO466">
        <v>57</v>
      </c>
      <c r="AP466">
        <v>4</v>
      </c>
      <c r="AQ466">
        <v>74</v>
      </c>
      <c r="AR466">
        <v>0.22748815165876779</v>
      </c>
      <c r="AS466">
        <v>0</v>
      </c>
      <c r="AT466">
        <v>0.1232227488151659</v>
      </c>
      <c r="AU466">
        <v>4.2654028436018961E-2</v>
      </c>
      <c r="AV466">
        <v>0.2227488151658768</v>
      </c>
      <c r="AW466">
        <v>0.25118483412322268</v>
      </c>
      <c r="AX466">
        <v>0.27014218009478669</v>
      </c>
      <c r="AY466">
        <v>0.35071090047393372</v>
      </c>
      <c r="AZ466">
        <v>1.895734597156401E-2</v>
      </c>
      <c r="BA466">
        <v>0.33333333333333331</v>
      </c>
      <c r="BB466">
        <v>0.43939393939393928</v>
      </c>
      <c r="BC466">
        <v>0.26666666666666672</v>
      </c>
      <c r="BD466">
        <v>0.63684834123222744</v>
      </c>
      <c r="BE466">
        <v>4</v>
      </c>
      <c r="BF466">
        <v>0.41906057015654169</v>
      </c>
      <c r="BG466">
        <v>0.45</v>
      </c>
      <c r="BH466" t="s">
        <v>71</v>
      </c>
      <c r="BI466">
        <v>0.42</v>
      </c>
      <c r="BJ466" t="s">
        <v>71</v>
      </c>
      <c r="BK466" s="2">
        <f t="shared" si="15"/>
        <v>3.0000000000000027E-2</v>
      </c>
      <c r="BL466" t="b">
        <f t="shared" si="16"/>
        <v>1</v>
      </c>
    </row>
    <row r="467" spans="1:64" x14ac:dyDescent="0.35">
      <c r="A467" t="s">
        <v>1333</v>
      </c>
      <c r="B467" t="s">
        <v>1329</v>
      </c>
      <c r="C467">
        <v>2022</v>
      </c>
      <c r="D467" t="s">
        <v>1330</v>
      </c>
      <c r="E467" t="s">
        <v>1331</v>
      </c>
      <c r="F467" t="s">
        <v>66</v>
      </c>
      <c r="G467" t="s">
        <v>101</v>
      </c>
      <c r="H467" t="s">
        <v>348</v>
      </c>
      <c r="I467" t="s">
        <v>1332</v>
      </c>
      <c r="J467" t="s">
        <v>70</v>
      </c>
      <c r="L467">
        <v>1</v>
      </c>
      <c r="M467" t="b">
        <v>0</v>
      </c>
      <c r="N467">
        <v>4</v>
      </c>
      <c r="O467">
        <v>2</v>
      </c>
      <c r="P467">
        <v>2</v>
      </c>
      <c r="Q467">
        <v>3</v>
      </c>
      <c r="R467">
        <v>-1</v>
      </c>
      <c r="S467">
        <v>3</v>
      </c>
      <c r="T467">
        <v>12</v>
      </c>
      <c r="U467">
        <v>78</v>
      </c>
      <c r="V467">
        <v>40</v>
      </c>
      <c r="W467">
        <v>10</v>
      </c>
      <c r="X467">
        <v>4</v>
      </c>
      <c r="Y467">
        <v>3</v>
      </c>
      <c r="Z467">
        <v>38</v>
      </c>
      <c r="AA467">
        <v>0</v>
      </c>
      <c r="AB467">
        <v>0</v>
      </c>
      <c r="AC467">
        <v>2</v>
      </c>
      <c r="AD467">
        <v>2</v>
      </c>
      <c r="AE467">
        <v>9</v>
      </c>
      <c r="AF467">
        <v>2</v>
      </c>
      <c r="AG467">
        <v>6</v>
      </c>
      <c r="AH467">
        <v>1</v>
      </c>
      <c r="AI467">
        <v>8</v>
      </c>
      <c r="AJ467">
        <v>2</v>
      </c>
      <c r="AK467">
        <v>2</v>
      </c>
      <c r="AL467">
        <v>3</v>
      </c>
      <c r="AM467">
        <v>10</v>
      </c>
      <c r="AN467">
        <v>5</v>
      </c>
      <c r="AO467">
        <v>44</v>
      </c>
      <c r="AP467">
        <v>5</v>
      </c>
      <c r="AQ467">
        <v>47</v>
      </c>
      <c r="AR467">
        <v>0.48717948717948723</v>
      </c>
      <c r="AS467">
        <v>0</v>
      </c>
      <c r="AT467">
        <v>0.1153846153846154</v>
      </c>
      <c r="AU467">
        <v>7.6923076923076927E-2</v>
      </c>
      <c r="AV467">
        <v>0.1025641025641026</v>
      </c>
      <c r="AW467">
        <v>0.12820512820512819</v>
      </c>
      <c r="AX467">
        <v>0.5641025641025641</v>
      </c>
      <c r="AY467">
        <v>0.60256410256410253</v>
      </c>
      <c r="AZ467">
        <v>0.4358974358974359</v>
      </c>
      <c r="BA467">
        <v>0.33333333333333331</v>
      </c>
      <c r="BB467">
        <v>0.5</v>
      </c>
      <c r="BC467">
        <v>0.33333333333333331</v>
      </c>
      <c r="BD467">
        <v>0.89743589743589736</v>
      </c>
      <c r="BE467">
        <v>4</v>
      </c>
      <c r="BF467">
        <v>0.51602564102564097</v>
      </c>
      <c r="BG467">
        <v>0.53</v>
      </c>
      <c r="BH467" t="s">
        <v>71</v>
      </c>
      <c r="BI467">
        <v>0.52</v>
      </c>
      <c r="BJ467" t="s">
        <v>71</v>
      </c>
      <c r="BK467" s="2">
        <f t="shared" si="15"/>
        <v>1.0000000000000009E-2</v>
      </c>
      <c r="BL467" t="b">
        <f t="shared" si="16"/>
        <v>1</v>
      </c>
    </row>
    <row r="468" spans="1:64" x14ac:dyDescent="0.35">
      <c r="A468" t="s">
        <v>1334</v>
      </c>
      <c r="B468" t="s">
        <v>1335</v>
      </c>
      <c r="C468">
        <v>2017</v>
      </c>
      <c r="D468" t="s">
        <v>1336</v>
      </c>
      <c r="E468" t="s">
        <v>1337</v>
      </c>
      <c r="F468" t="s">
        <v>66</v>
      </c>
      <c r="G468" t="s">
        <v>101</v>
      </c>
      <c r="H468" t="s">
        <v>365</v>
      </c>
      <c r="I468" t="s">
        <v>1338</v>
      </c>
      <c r="J468" t="s">
        <v>70</v>
      </c>
      <c r="L468">
        <v>1</v>
      </c>
      <c r="M468" t="b">
        <v>0</v>
      </c>
      <c r="N468">
        <v>1</v>
      </c>
      <c r="O468">
        <v>1</v>
      </c>
      <c r="P468">
        <v>9</v>
      </c>
      <c r="Q468">
        <v>3</v>
      </c>
      <c r="R468">
        <v>6</v>
      </c>
      <c r="S468">
        <v>5</v>
      </c>
      <c r="T468">
        <v>34</v>
      </c>
      <c r="U468">
        <v>3402</v>
      </c>
      <c r="V468">
        <v>129</v>
      </c>
      <c r="W468">
        <v>24</v>
      </c>
      <c r="X468">
        <v>5.375</v>
      </c>
      <c r="Y468">
        <v>3</v>
      </c>
      <c r="Z468">
        <v>47</v>
      </c>
      <c r="AA468">
        <v>1</v>
      </c>
      <c r="AB468">
        <v>26</v>
      </c>
      <c r="AC468">
        <v>3</v>
      </c>
      <c r="AD468">
        <v>3</v>
      </c>
      <c r="AE468">
        <v>994</v>
      </c>
      <c r="AF468">
        <v>0</v>
      </c>
      <c r="AG468">
        <v>0</v>
      </c>
      <c r="AH468">
        <v>2</v>
      </c>
      <c r="AI468">
        <v>190</v>
      </c>
      <c r="AJ468">
        <v>2</v>
      </c>
      <c r="AK468">
        <v>14</v>
      </c>
      <c r="AL468">
        <v>4</v>
      </c>
      <c r="AM468">
        <v>204</v>
      </c>
      <c r="AN468">
        <v>4</v>
      </c>
      <c r="AO468">
        <v>73</v>
      </c>
      <c r="AP468">
        <v>7</v>
      </c>
      <c r="AQ468">
        <v>1067</v>
      </c>
      <c r="AR468">
        <v>1.381540270429159E-2</v>
      </c>
      <c r="AS468">
        <v>7.6425631981187538E-3</v>
      </c>
      <c r="AT468">
        <v>0.29218106995884768</v>
      </c>
      <c r="AU468">
        <v>0</v>
      </c>
      <c r="AV468">
        <v>5.584950029394474E-2</v>
      </c>
      <c r="AW468">
        <v>5.9964726631393288E-2</v>
      </c>
      <c r="AX468">
        <v>2.145796590241035E-2</v>
      </c>
      <c r="AY468">
        <v>0.31363903586125808</v>
      </c>
      <c r="AZ468">
        <v>-3.8506760728982938E-2</v>
      </c>
      <c r="BA468">
        <v>0.66666666666666663</v>
      </c>
      <c r="BB468">
        <v>0.72916666666666663</v>
      </c>
      <c r="BC468">
        <v>0.46666666666666667</v>
      </c>
      <c r="BD468">
        <v>0.60093327454438561</v>
      </c>
      <c r="BE468">
        <v>4</v>
      </c>
      <c r="BF468">
        <v>0.61585831863609641</v>
      </c>
      <c r="BG468">
        <v>0.62</v>
      </c>
      <c r="BH468" t="s">
        <v>86</v>
      </c>
      <c r="BI468">
        <v>0.62</v>
      </c>
      <c r="BJ468" t="s">
        <v>86</v>
      </c>
      <c r="BK468" s="2">
        <f t="shared" si="15"/>
        <v>0</v>
      </c>
      <c r="BL468" t="b">
        <f t="shared" si="16"/>
        <v>1</v>
      </c>
    </row>
    <row r="469" spans="1:64" x14ac:dyDescent="0.35">
      <c r="A469" t="s">
        <v>1339</v>
      </c>
      <c r="B469" t="s">
        <v>1340</v>
      </c>
      <c r="C469">
        <v>2018</v>
      </c>
      <c r="D469" t="s">
        <v>1341</v>
      </c>
      <c r="E469" t="s">
        <v>1342</v>
      </c>
      <c r="F469" t="s">
        <v>66</v>
      </c>
      <c r="G469" t="s">
        <v>101</v>
      </c>
      <c r="H469" t="s">
        <v>365</v>
      </c>
      <c r="I469" t="s">
        <v>1343</v>
      </c>
      <c r="J469" t="s">
        <v>70</v>
      </c>
      <c r="L469">
        <v>1</v>
      </c>
      <c r="M469" t="b">
        <v>0</v>
      </c>
      <c r="N469">
        <v>1</v>
      </c>
      <c r="O469">
        <v>2</v>
      </c>
      <c r="P469">
        <v>6</v>
      </c>
      <c r="Q469">
        <v>3</v>
      </c>
      <c r="R469">
        <v>3</v>
      </c>
      <c r="S469">
        <v>5</v>
      </c>
      <c r="T469">
        <v>37</v>
      </c>
      <c r="U469">
        <v>416</v>
      </c>
      <c r="V469">
        <v>132</v>
      </c>
      <c r="W469">
        <v>24</v>
      </c>
      <c r="X469">
        <v>5.5</v>
      </c>
      <c r="Y469">
        <v>3</v>
      </c>
      <c r="Z469">
        <v>42</v>
      </c>
      <c r="AA469">
        <v>0</v>
      </c>
      <c r="AB469">
        <v>0</v>
      </c>
      <c r="AC469">
        <v>7</v>
      </c>
      <c r="AD469">
        <v>7</v>
      </c>
      <c r="AE469">
        <v>85</v>
      </c>
      <c r="AF469">
        <v>2</v>
      </c>
      <c r="AG469">
        <v>3</v>
      </c>
      <c r="AH469">
        <v>0</v>
      </c>
      <c r="AI469">
        <v>0</v>
      </c>
      <c r="AJ469">
        <v>2</v>
      </c>
      <c r="AK469">
        <v>6</v>
      </c>
      <c r="AL469">
        <v>3</v>
      </c>
      <c r="AM469">
        <v>14</v>
      </c>
      <c r="AN469">
        <v>5</v>
      </c>
      <c r="AO469">
        <v>45</v>
      </c>
      <c r="AP469">
        <v>10</v>
      </c>
      <c r="AQ469">
        <v>127</v>
      </c>
      <c r="AR469">
        <v>0.10096153846153851</v>
      </c>
      <c r="AS469">
        <v>0</v>
      </c>
      <c r="AT469">
        <v>0.2043269230769231</v>
      </c>
      <c r="AU469">
        <v>7.2115384615384619E-3</v>
      </c>
      <c r="AV469">
        <v>0</v>
      </c>
      <c r="AW469">
        <v>3.3653846153846152E-2</v>
      </c>
      <c r="AX469">
        <v>0.1081730769230769</v>
      </c>
      <c r="AY469">
        <v>0.30528846153846162</v>
      </c>
      <c r="AZ469">
        <v>7.4519230769230782E-2</v>
      </c>
      <c r="BA469">
        <v>0.66666666666666663</v>
      </c>
      <c r="BB469">
        <v>0.75</v>
      </c>
      <c r="BC469">
        <v>0.66666666666666663</v>
      </c>
      <c r="BD469">
        <v>0.67157451923076927</v>
      </c>
      <c r="BE469">
        <v>4</v>
      </c>
      <c r="BF469">
        <v>0.68872696314102566</v>
      </c>
      <c r="BG469">
        <v>0.69</v>
      </c>
      <c r="BH469" t="s">
        <v>86</v>
      </c>
      <c r="BI469">
        <v>0.69</v>
      </c>
      <c r="BJ469" t="s">
        <v>86</v>
      </c>
      <c r="BK469" s="2">
        <f t="shared" si="15"/>
        <v>0</v>
      </c>
      <c r="BL469" t="b">
        <f t="shared" si="16"/>
        <v>1</v>
      </c>
    </row>
    <row r="470" spans="1:64" x14ac:dyDescent="0.35">
      <c r="A470" t="s">
        <v>1344</v>
      </c>
      <c r="B470" t="s">
        <v>1345</v>
      </c>
      <c r="C470">
        <v>2017</v>
      </c>
      <c r="D470" t="s">
        <v>1346</v>
      </c>
      <c r="E470" t="s">
        <v>1347</v>
      </c>
      <c r="F470" t="s">
        <v>66</v>
      </c>
      <c r="G470" t="s">
        <v>101</v>
      </c>
      <c r="H470" t="s">
        <v>150</v>
      </c>
      <c r="I470" t="s">
        <v>1348</v>
      </c>
      <c r="J470" t="s">
        <v>70</v>
      </c>
      <c r="L470">
        <v>1</v>
      </c>
      <c r="M470" t="b">
        <v>0</v>
      </c>
      <c r="N470">
        <v>1</v>
      </c>
      <c r="O470">
        <v>1</v>
      </c>
      <c r="P470">
        <v>4</v>
      </c>
      <c r="Q470">
        <v>3</v>
      </c>
      <c r="R470">
        <v>1</v>
      </c>
      <c r="S470">
        <v>4</v>
      </c>
      <c r="T470">
        <v>21</v>
      </c>
      <c r="U470">
        <v>170</v>
      </c>
      <c r="V470">
        <v>97</v>
      </c>
      <c r="W470">
        <v>18</v>
      </c>
      <c r="X470">
        <v>5.3888888888888893</v>
      </c>
      <c r="Y470">
        <v>2</v>
      </c>
      <c r="Z470">
        <v>31</v>
      </c>
      <c r="AA470">
        <v>0</v>
      </c>
      <c r="AB470">
        <v>0</v>
      </c>
      <c r="AC470">
        <v>6</v>
      </c>
      <c r="AD470">
        <v>5</v>
      </c>
      <c r="AE470">
        <v>26</v>
      </c>
      <c r="AF470">
        <v>1</v>
      </c>
      <c r="AG470">
        <v>19</v>
      </c>
      <c r="AH470">
        <v>2</v>
      </c>
      <c r="AI470">
        <v>2</v>
      </c>
      <c r="AJ470">
        <v>0</v>
      </c>
      <c r="AK470">
        <v>0</v>
      </c>
      <c r="AL470">
        <v>3</v>
      </c>
      <c r="AM470">
        <v>10</v>
      </c>
      <c r="AN470">
        <v>3</v>
      </c>
      <c r="AO470">
        <v>50</v>
      </c>
      <c r="AP470">
        <v>7</v>
      </c>
      <c r="AQ470">
        <v>57</v>
      </c>
      <c r="AR470">
        <v>0.18235294117647061</v>
      </c>
      <c r="AS470">
        <v>0</v>
      </c>
      <c r="AT470">
        <v>0.15294117647058819</v>
      </c>
      <c r="AU470">
        <v>0.1117647058823529</v>
      </c>
      <c r="AV470">
        <v>1.1764705882352939E-2</v>
      </c>
      <c r="AW470">
        <v>5.8823529411764712E-2</v>
      </c>
      <c r="AX470">
        <v>0.29411764705882348</v>
      </c>
      <c r="AY470">
        <v>0.3352941176470588</v>
      </c>
      <c r="AZ470">
        <v>0.23529411764705879</v>
      </c>
      <c r="BA470">
        <v>0.5</v>
      </c>
      <c r="BB470">
        <v>0.73148148148148151</v>
      </c>
      <c r="BC470">
        <v>0.46666666666666667</v>
      </c>
      <c r="BD470">
        <v>0.7720588235294118</v>
      </c>
      <c r="BE470">
        <v>4</v>
      </c>
      <c r="BF470">
        <v>0.61755174291938997</v>
      </c>
      <c r="BG470">
        <v>0.64</v>
      </c>
      <c r="BH470" t="s">
        <v>86</v>
      </c>
      <c r="BI470">
        <v>0.62</v>
      </c>
      <c r="BJ470" t="s">
        <v>86</v>
      </c>
      <c r="BK470" s="2">
        <f t="shared" si="15"/>
        <v>2.0000000000000018E-2</v>
      </c>
      <c r="BL470" t="b">
        <f t="shared" si="16"/>
        <v>1</v>
      </c>
    </row>
    <row r="471" spans="1:64" x14ac:dyDescent="0.35">
      <c r="A471" t="s">
        <v>1349</v>
      </c>
      <c r="B471" t="s">
        <v>1345</v>
      </c>
      <c r="C471">
        <v>2022</v>
      </c>
      <c r="D471" t="s">
        <v>1346</v>
      </c>
      <c r="E471" t="s">
        <v>1347</v>
      </c>
      <c r="F471" t="s">
        <v>66</v>
      </c>
      <c r="G471" t="s">
        <v>101</v>
      </c>
      <c r="H471" t="s">
        <v>150</v>
      </c>
      <c r="I471" t="s">
        <v>1348</v>
      </c>
      <c r="J471" t="s">
        <v>70</v>
      </c>
      <c r="L471">
        <v>1</v>
      </c>
      <c r="M471" t="b">
        <v>0</v>
      </c>
      <c r="N471">
        <v>1</v>
      </c>
      <c r="O471">
        <v>2</v>
      </c>
      <c r="P471">
        <v>11</v>
      </c>
      <c r="Q471">
        <v>3</v>
      </c>
      <c r="R471">
        <v>8</v>
      </c>
      <c r="S471">
        <v>6</v>
      </c>
      <c r="T471">
        <v>42</v>
      </c>
      <c r="U471">
        <v>442</v>
      </c>
      <c r="V471">
        <v>164</v>
      </c>
      <c r="W471">
        <v>29</v>
      </c>
      <c r="X471">
        <v>5.6551724137931032</v>
      </c>
      <c r="Y471">
        <v>8</v>
      </c>
      <c r="Z471">
        <v>134</v>
      </c>
      <c r="AA471">
        <v>1</v>
      </c>
      <c r="AB471">
        <v>8</v>
      </c>
      <c r="AC471">
        <v>3</v>
      </c>
      <c r="AD471">
        <v>3</v>
      </c>
      <c r="AE471">
        <v>39</v>
      </c>
      <c r="AF471">
        <v>2</v>
      </c>
      <c r="AG471">
        <v>11</v>
      </c>
      <c r="AH471">
        <v>2</v>
      </c>
      <c r="AI471">
        <v>53</v>
      </c>
      <c r="AJ471">
        <v>1</v>
      </c>
      <c r="AK471">
        <v>4</v>
      </c>
      <c r="AL471">
        <v>3</v>
      </c>
      <c r="AM471">
        <v>57</v>
      </c>
      <c r="AN471">
        <v>11</v>
      </c>
      <c r="AO471">
        <v>153</v>
      </c>
      <c r="AP471">
        <v>12</v>
      </c>
      <c r="AQ471">
        <v>181</v>
      </c>
      <c r="AR471">
        <v>0.30316742081447962</v>
      </c>
      <c r="AS471">
        <v>1.8099547511312219E-2</v>
      </c>
      <c r="AT471">
        <v>8.8235294117647065E-2</v>
      </c>
      <c r="AU471">
        <v>2.48868778280543E-2</v>
      </c>
      <c r="AV471">
        <v>0.1199095022624434</v>
      </c>
      <c r="AW471">
        <v>0.12895927601809959</v>
      </c>
      <c r="AX471">
        <v>0.34615384615384609</v>
      </c>
      <c r="AY471">
        <v>0.4095022624434389</v>
      </c>
      <c r="AZ471">
        <v>0.21719457013574661</v>
      </c>
      <c r="BA471">
        <v>0.83333333333333337</v>
      </c>
      <c r="BB471">
        <v>0.77586206896551724</v>
      </c>
      <c r="BC471">
        <v>0.8</v>
      </c>
      <c r="BD471">
        <v>0.7607466063348417</v>
      </c>
      <c r="BE471">
        <v>4</v>
      </c>
      <c r="BF471">
        <v>0.79248550215842306</v>
      </c>
      <c r="BG471">
        <v>0.81</v>
      </c>
      <c r="BH471" t="s">
        <v>164</v>
      </c>
      <c r="BI471">
        <v>0.79</v>
      </c>
      <c r="BJ471" t="s">
        <v>86</v>
      </c>
      <c r="BK471" s="2">
        <f t="shared" si="15"/>
        <v>2.0000000000000018E-2</v>
      </c>
      <c r="BL471" t="b">
        <f t="shared" si="16"/>
        <v>0</v>
      </c>
    </row>
    <row r="472" spans="1:64" x14ac:dyDescent="0.35">
      <c r="A472" t="s">
        <v>1350</v>
      </c>
      <c r="B472" t="s">
        <v>1351</v>
      </c>
      <c r="C472">
        <v>2017</v>
      </c>
      <c r="D472" t="s">
        <v>1352</v>
      </c>
      <c r="E472" t="s">
        <v>1353</v>
      </c>
      <c r="F472" t="s">
        <v>66</v>
      </c>
      <c r="G472" t="s">
        <v>101</v>
      </c>
      <c r="H472" t="s">
        <v>150</v>
      </c>
      <c r="I472" t="s">
        <v>1354</v>
      </c>
      <c r="J472" t="s">
        <v>70</v>
      </c>
      <c r="L472">
        <v>1</v>
      </c>
      <c r="M472" t="b">
        <v>0</v>
      </c>
      <c r="N472">
        <v>1</v>
      </c>
      <c r="O472">
        <v>1</v>
      </c>
      <c r="P472">
        <v>4</v>
      </c>
      <c r="Q472">
        <v>3</v>
      </c>
      <c r="R472">
        <v>1</v>
      </c>
      <c r="S472">
        <v>4</v>
      </c>
      <c r="T472">
        <v>22</v>
      </c>
      <c r="U472">
        <v>323</v>
      </c>
      <c r="V472">
        <v>84</v>
      </c>
      <c r="W472">
        <v>18</v>
      </c>
      <c r="X472">
        <v>4.666666666666667</v>
      </c>
      <c r="Y472">
        <v>3</v>
      </c>
      <c r="Z472">
        <v>18</v>
      </c>
      <c r="AA472">
        <v>0</v>
      </c>
      <c r="AB472">
        <v>0</v>
      </c>
      <c r="AC472">
        <v>6</v>
      </c>
      <c r="AD472">
        <v>5</v>
      </c>
      <c r="AE472">
        <v>107</v>
      </c>
      <c r="AF472">
        <v>2</v>
      </c>
      <c r="AG472">
        <v>4</v>
      </c>
      <c r="AH472">
        <v>1</v>
      </c>
      <c r="AI472">
        <v>104</v>
      </c>
      <c r="AJ472">
        <v>2</v>
      </c>
      <c r="AK472">
        <v>7</v>
      </c>
      <c r="AL472">
        <v>4</v>
      </c>
      <c r="AM472">
        <v>132</v>
      </c>
      <c r="AN472">
        <v>5</v>
      </c>
      <c r="AO472">
        <v>22</v>
      </c>
      <c r="AP472">
        <v>8</v>
      </c>
      <c r="AQ472">
        <v>125</v>
      </c>
      <c r="AR472">
        <v>5.5727554179566562E-2</v>
      </c>
      <c r="AS472">
        <v>0</v>
      </c>
      <c r="AT472">
        <v>0.33126934984520118</v>
      </c>
      <c r="AU472">
        <v>1.238390092879257E-2</v>
      </c>
      <c r="AV472">
        <v>0.32198142414860681</v>
      </c>
      <c r="AW472">
        <v>0.4086687306501548</v>
      </c>
      <c r="AX472">
        <v>6.8111455108359129E-2</v>
      </c>
      <c r="AY472">
        <v>0.38699690402476777</v>
      </c>
      <c r="AZ472">
        <v>-0.34055727554179571</v>
      </c>
      <c r="BA472">
        <v>0.5</v>
      </c>
      <c r="BB472">
        <v>0.61111111111111116</v>
      </c>
      <c r="BC472">
        <v>0.53333333333333333</v>
      </c>
      <c r="BD472">
        <v>0.41215170278637758</v>
      </c>
      <c r="BE472">
        <v>4</v>
      </c>
      <c r="BF472">
        <v>0.51414903680770552</v>
      </c>
      <c r="BG472">
        <v>0.57999999999999996</v>
      </c>
      <c r="BH472" t="s">
        <v>71</v>
      </c>
      <c r="BI472">
        <v>0.51</v>
      </c>
      <c r="BJ472" t="s">
        <v>71</v>
      </c>
      <c r="BK472" s="2">
        <f t="shared" si="15"/>
        <v>6.9999999999999951E-2</v>
      </c>
      <c r="BL472" t="b">
        <f t="shared" si="16"/>
        <v>1</v>
      </c>
    </row>
    <row r="473" spans="1:64" x14ac:dyDescent="0.35">
      <c r="A473" t="s">
        <v>1355</v>
      </c>
      <c r="B473" t="s">
        <v>1351</v>
      </c>
      <c r="C473">
        <v>2022</v>
      </c>
      <c r="D473" t="s">
        <v>1352</v>
      </c>
      <c r="E473" t="s">
        <v>1353</v>
      </c>
      <c r="F473" t="s">
        <v>66</v>
      </c>
      <c r="G473" t="s">
        <v>101</v>
      </c>
      <c r="H473" t="s">
        <v>150</v>
      </c>
      <c r="I473" t="s">
        <v>1354</v>
      </c>
      <c r="J473" t="s">
        <v>70</v>
      </c>
      <c r="L473">
        <v>1</v>
      </c>
      <c r="M473" t="b">
        <v>0</v>
      </c>
      <c r="N473">
        <v>1</v>
      </c>
      <c r="O473">
        <v>2</v>
      </c>
      <c r="P473">
        <v>8</v>
      </c>
      <c r="Q473">
        <v>4</v>
      </c>
      <c r="R473">
        <v>4</v>
      </c>
      <c r="S473">
        <v>6</v>
      </c>
      <c r="T473">
        <v>30</v>
      </c>
      <c r="U473">
        <v>393</v>
      </c>
      <c r="V473">
        <v>131</v>
      </c>
      <c r="W473">
        <v>23</v>
      </c>
      <c r="X473">
        <v>5.6956521739130439</v>
      </c>
      <c r="Y473">
        <v>4</v>
      </c>
      <c r="Z473">
        <v>87</v>
      </c>
      <c r="AA473">
        <v>1</v>
      </c>
      <c r="AB473">
        <v>4</v>
      </c>
      <c r="AC473">
        <v>4</v>
      </c>
      <c r="AD473">
        <v>4</v>
      </c>
      <c r="AE473">
        <v>97</v>
      </c>
      <c r="AF473">
        <v>1</v>
      </c>
      <c r="AG473">
        <v>1</v>
      </c>
      <c r="AH473">
        <v>1</v>
      </c>
      <c r="AI473">
        <v>34</v>
      </c>
      <c r="AJ473">
        <v>3</v>
      </c>
      <c r="AK473">
        <v>26</v>
      </c>
      <c r="AL473">
        <v>5</v>
      </c>
      <c r="AM473">
        <v>68</v>
      </c>
      <c r="AN473">
        <v>6</v>
      </c>
      <c r="AO473">
        <v>92</v>
      </c>
      <c r="AP473">
        <v>9</v>
      </c>
      <c r="AQ473">
        <v>188</v>
      </c>
      <c r="AR473">
        <v>0.2213740458015267</v>
      </c>
      <c r="AS473">
        <v>1.017811704834606E-2</v>
      </c>
      <c r="AT473">
        <v>0.2468193384223919</v>
      </c>
      <c r="AU473">
        <v>2.5445292620865142E-3</v>
      </c>
      <c r="AV473">
        <v>8.6513994910941472E-2</v>
      </c>
      <c r="AW473">
        <v>0.17302798982188289</v>
      </c>
      <c r="AX473">
        <v>0.2340966921119593</v>
      </c>
      <c r="AY473">
        <v>0.47837150127226458</v>
      </c>
      <c r="AZ473">
        <v>6.1068702290076347E-2</v>
      </c>
      <c r="BA473">
        <v>0.83333333333333337</v>
      </c>
      <c r="BB473">
        <v>0.78260869565217395</v>
      </c>
      <c r="BC473">
        <v>0.6</v>
      </c>
      <c r="BD473">
        <v>0.66316793893129777</v>
      </c>
      <c r="BE473">
        <v>4</v>
      </c>
      <c r="BF473">
        <v>0.71977749197920127</v>
      </c>
      <c r="BG473">
        <v>0.74</v>
      </c>
      <c r="BH473" t="s">
        <v>86</v>
      </c>
      <c r="BI473">
        <v>0.72</v>
      </c>
      <c r="BJ473" t="s">
        <v>86</v>
      </c>
      <c r="BK473" s="2">
        <f t="shared" si="15"/>
        <v>2.0000000000000018E-2</v>
      </c>
      <c r="BL473" t="b">
        <f t="shared" si="16"/>
        <v>1</v>
      </c>
    </row>
    <row r="474" spans="1:64" x14ac:dyDescent="0.35">
      <c r="A474" t="s">
        <v>1356</v>
      </c>
      <c r="B474" t="s">
        <v>1357</v>
      </c>
      <c r="C474">
        <v>2018</v>
      </c>
      <c r="D474" t="s">
        <v>1358</v>
      </c>
      <c r="E474" t="s">
        <v>1359</v>
      </c>
      <c r="F474" t="s">
        <v>66</v>
      </c>
      <c r="G474" t="s">
        <v>101</v>
      </c>
      <c r="H474" t="s">
        <v>150</v>
      </c>
      <c r="I474" t="s">
        <v>459</v>
      </c>
      <c r="J474" t="s">
        <v>70</v>
      </c>
      <c r="L474">
        <v>1</v>
      </c>
      <c r="M474" t="b">
        <v>0</v>
      </c>
      <c r="N474">
        <v>3</v>
      </c>
      <c r="O474">
        <v>1</v>
      </c>
      <c r="P474">
        <v>4</v>
      </c>
      <c r="Q474">
        <v>3</v>
      </c>
      <c r="R474">
        <v>1</v>
      </c>
      <c r="S474">
        <v>4</v>
      </c>
      <c r="T474">
        <v>13</v>
      </c>
      <c r="U474">
        <v>112</v>
      </c>
      <c r="V474">
        <v>58</v>
      </c>
      <c r="W474">
        <v>13</v>
      </c>
      <c r="X474">
        <v>4.4615384615384617</v>
      </c>
      <c r="Y474">
        <v>1</v>
      </c>
      <c r="Z474">
        <v>8</v>
      </c>
      <c r="AA474">
        <v>0</v>
      </c>
      <c r="AB474">
        <v>0</v>
      </c>
      <c r="AC474">
        <v>2</v>
      </c>
      <c r="AD474">
        <v>2</v>
      </c>
      <c r="AE474">
        <v>45</v>
      </c>
      <c r="AF474">
        <v>2</v>
      </c>
      <c r="AG474">
        <v>8</v>
      </c>
      <c r="AH474">
        <v>2</v>
      </c>
      <c r="AI474">
        <v>25</v>
      </c>
      <c r="AJ474">
        <v>1</v>
      </c>
      <c r="AK474">
        <v>8</v>
      </c>
      <c r="AL474">
        <v>3</v>
      </c>
      <c r="AM474">
        <v>33</v>
      </c>
      <c r="AN474">
        <v>3</v>
      </c>
      <c r="AO474">
        <v>16</v>
      </c>
      <c r="AP474">
        <v>3</v>
      </c>
      <c r="AQ474">
        <v>53</v>
      </c>
      <c r="AR474">
        <v>7.1428571428571425E-2</v>
      </c>
      <c r="AS474">
        <v>0</v>
      </c>
      <c r="AT474">
        <v>0.4017857142857143</v>
      </c>
      <c r="AU474">
        <v>7.1428571428571425E-2</v>
      </c>
      <c r="AV474">
        <v>0.2232142857142857</v>
      </c>
      <c r="AW474">
        <v>0.29464285714285721</v>
      </c>
      <c r="AX474">
        <v>0.14285714285714279</v>
      </c>
      <c r="AY474">
        <v>0.4732142857142857</v>
      </c>
      <c r="AZ474">
        <v>-0.1517857142857143</v>
      </c>
      <c r="BA474">
        <v>0.5</v>
      </c>
      <c r="BB474">
        <v>0.57692307692307698</v>
      </c>
      <c r="BC474">
        <v>0.2</v>
      </c>
      <c r="BD474">
        <v>0.53013392857142849</v>
      </c>
      <c r="BE474">
        <v>4</v>
      </c>
      <c r="BF474">
        <v>0.45176425137362641</v>
      </c>
      <c r="BG474">
        <v>0.5</v>
      </c>
      <c r="BH474" t="s">
        <v>71</v>
      </c>
      <c r="BI474">
        <v>0.45</v>
      </c>
      <c r="BJ474" t="s">
        <v>71</v>
      </c>
      <c r="BK474" s="2">
        <f t="shared" si="15"/>
        <v>4.9999999999999989E-2</v>
      </c>
      <c r="BL474" t="b">
        <f t="shared" si="16"/>
        <v>1</v>
      </c>
    </row>
    <row r="475" spans="1:64" x14ac:dyDescent="0.35">
      <c r="A475" t="s">
        <v>1360</v>
      </c>
      <c r="B475" t="s">
        <v>1361</v>
      </c>
      <c r="C475">
        <v>2017</v>
      </c>
      <c r="D475" t="s">
        <v>1362</v>
      </c>
      <c r="E475" t="s">
        <v>1363</v>
      </c>
      <c r="F475" t="s">
        <v>66</v>
      </c>
      <c r="G475" t="s">
        <v>101</v>
      </c>
      <c r="H475" t="s">
        <v>150</v>
      </c>
      <c r="I475" t="s">
        <v>1364</v>
      </c>
      <c r="J475" t="s">
        <v>70</v>
      </c>
      <c r="L475">
        <v>1</v>
      </c>
      <c r="M475" t="b">
        <v>0</v>
      </c>
      <c r="N475">
        <v>3</v>
      </c>
      <c r="O475">
        <v>1</v>
      </c>
      <c r="P475">
        <v>4</v>
      </c>
      <c r="Q475">
        <v>1</v>
      </c>
      <c r="R475">
        <v>3</v>
      </c>
      <c r="S475">
        <v>4</v>
      </c>
      <c r="T475">
        <v>15</v>
      </c>
      <c r="U475">
        <v>533</v>
      </c>
      <c r="V475">
        <v>45</v>
      </c>
      <c r="W475">
        <v>9</v>
      </c>
      <c r="X475">
        <v>5</v>
      </c>
      <c r="Y475">
        <v>3</v>
      </c>
      <c r="Z475">
        <v>186</v>
      </c>
      <c r="AA475">
        <v>1</v>
      </c>
      <c r="AB475">
        <v>18</v>
      </c>
      <c r="AC475">
        <v>5</v>
      </c>
      <c r="AD475">
        <v>5</v>
      </c>
      <c r="AE475">
        <v>141</v>
      </c>
      <c r="AF475">
        <v>0</v>
      </c>
      <c r="AG475">
        <v>0</v>
      </c>
      <c r="AH475">
        <v>1</v>
      </c>
      <c r="AI475">
        <v>31</v>
      </c>
      <c r="AJ475">
        <v>0</v>
      </c>
      <c r="AK475">
        <v>0</v>
      </c>
      <c r="AL475">
        <v>1</v>
      </c>
      <c r="AM475">
        <v>31</v>
      </c>
      <c r="AN475">
        <v>4</v>
      </c>
      <c r="AO475">
        <v>204</v>
      </c>
      <c r="AP475">
        <v>9</v>
      </c>
      <c r="AQ475">
        <v>345</v>
      </c>
      <c r="AR475">
        <v>0.34896810506566611</v>
      </c>
      <c r="AS475">
        <v>3.3771106941838651E-2</v>
      </c>
      <c r="AT475">
        <v>0.26454033771106938</v>
      </c>
      <c r="AU475">
        <v>0</v>
      </c>
      <c r="AV475">
        <v>5.8161350844277683E-2</v>
      </c>
      <c r="AW475">
        <v>5.8161350844277683E-2</v>
      </c>
      <c r="AX475">
        <v>0.38273921200750471</v>
      </c>
      <c r="AY475">
        <v>0.64727954971857415</v>
      </c>
      <c r="AZ475">
        <v>0.32457786116322712</v>
      </c>
      <c r="BA475">
        <v>0.5</v>
      </c>
      <c r="BB475">
        <v>0.66666666666666663</v>
      </c>
      <c r="BC475">
        <v>0.6</v>
      </c>
      <c r="BD475">
        <v>0.82786116322701686</v>
      </c>
      <c r="BE475">
        <v>4</v>
      </c>
      <c r="BF475">
        <v>0.64863195747342084</v>
      </c>
      <c r="BG475">
        <v>0.65</v>
      </c>
      <c r="BH475" t="s">
        <v>86</v>
      </c>
      <c r="BI475">
        <v>0.65</v>
      </c>
      <c r="BJ475" t="s">
        <v>86</v>
      </c>
      <c r="BK475" s="2">
        <f t="shared" si="15"/>
        <v>0</v>
      </c>
      <c r="BL475" t="b">
        <f t="shared" si="16"/>
        <v>1</v>
      </c>
    </row>
    <row r="476" spans="1:64" x14ac:dyDescent="0.35">
      <c r="A476" t="s">
        <v>1365</v>
      </c>
      <c r="B476" t="s">
        <v>1361</v>
      </c>
      <c r="C476">
        <v>2022</v>
      </c>
      <c r="D476" t="s">
        <v>1362</v>
      </c>
      <c r="E476" t="s">
        <v>1363</v>
      </c>
      <c r="F476" t="s">
        <v>66</v>
      </c>
      <c r="G476" t="s">
        <v>101</v>
      </c>
      <c r="H476" t="s">
        <v>150</v>
      </c>
      <c r="I476" t="s">
        <v>1364</v>
      </c>
      <c r="J476" t="s">
        <v>70</v>
      </c>
      <c r="L476">
        <v>1</v>
      </c>
      <c r="M476" t="b">
        <v>0</v>
      </c>
      <c r="N476">
        <v>1</v>
      </c>
      <c r="O476">
        <v>3</v>
      </c>
      <c r="P476">
        <v>9</v>
      </c>
      <c r="Q476">
        <v>0</v>
      </c>
      <c r="R476">
        <v>9</v>
      </c>
      <c r="S476">
        <v>6</v>
      </c>
      <c r="T476">
        <v>19</v>
      </c>
      <c r="U476">
        <v>250</v>
      </c>
      <c r="V476">
        <v>103</v>
      </c>
      <c r="W476">
        <v>17</v>
      </c>
      <c r="X476">
        <v>6.0588235294117636</v>
      </c>
      <c r="Y476">
        <v>3</v>
      </c>
      <c r="Z476">
        <v>118</v>
      </c>
      <c r="AA476">
        <v>2</v>
      </c>
      <c r="AB476">
        <v>40</v>
      </c>
      <c r="AC476">
        <v>3</v>
      </c>
      <c r="AD476">
        <v>3</v>
      </c>
      <c r="AE476">
        <v>21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5</v>
      </c>
      <c r="AO476">
        <v>158</v>
      </c>
      <c r="AP476">
        <v>8</v>
      </c>
      <c r="AQ476">
        <v>179</v>
      </c>
      <c r="AR476">
        <v>0.47199999999999998</v>
      </c>
      <c r="AS476">
        <v>0.16</v>
      </c>
      <c r="AT476">
        <v>8.4000000000000005E-2</v>
      </c>
      <c r="AU476">
        <v>0</v>
      </c>
      <c r="AV476">
        <v>0</v>
      </c>
      <c r="AW476">
        <v>0</v>
      </c>
      <c r="AX476">
        <v>0.63200000000000001</v>
      </c>
      <c r="AY476">
        <v>0.71599999999999997</v>
      </c>
      <c r="AZ476">
        <v>0.63200000000000001</v>
      </c>
      <c r="BA476">
        <v>0.83333333333333337</v>
      </c>
      <c r="BB476">
        <v>0.84313725490196056</v>
      </c>
      <c r="BC476">
        <v>0.53333333333333333</v>
      </c>
      <c r="BD476">
        <v>1.02</v>
      </c>
      <c r="BE476">
        <v>4</v>
      </c>
      <c r="BF476">
        <v>0.80745098039215679</v>
      </c>
      <c r="BG476">
        <v>0.83</v>
      </c>
      <c r="BH476" t="s">
        <v>164</v>
      </c>
      <c r="BI476">
        <v>0.81</v>
      </c>
      <c r="BJ476" t="s">
        <v>164</v>
      </c>
      <c r="BK476" s="2">
        <f t="shared" si="15"/>
        <v>1.9999999999999907E-2</v>
      </c>
      <c r="BL476" t="b">
        <f t="shared" si="16"/>
        <v>1</v>
      </c>
    </row>
    <row r="477" spans="1:64" x14ac:dyDescent="0.35">
      <c r="A477" t="s">
        <v>1366</v>
      </c>
      <c r="B477" t="s">
        <v>1367</v>
      </c>
      <c r="C477">
        <v>2017</v>
      </c>
      <c r="D477" t="s">
        <v>1368</v>
      </c>
      <c r="E477" t="s">
        <v>1369</v>
      </c>
      <c r="F477" t="s">
        <v>66</v>
      </c>
      <c r="G477" t="s">
        <v>101</v>
      </c>
      <c r="H477" t="s">
        <v>150</v>
      </c>
      <c r="I477" t="s">
        <v>1370</v>
      </c>
      <c r="J477" t="s">
        <v>70</v>
      </c>
      <c r="L477">
        <v>1</v>
      </c>
      <c r="M477" t="b">
        <v>0</v>
      </c>
      <c r="N477">
        <v>1</v>
      </c>
      <c r="O477">
        <v>1</v>
      </c>
      <c r="P477">
        <v>6</v>
      </c>
      <c r="Q477">
        <v>1</v>
      </c>
      <c r="R477">
        <v>5</v>
      </c>
      <c r="S477">
        <v>5</v>
      </c>
      <c r="T477">
        <v>14</v>
      </c>
      <c r="U477">
        <v>124</v>
      </c>
      <c r="V477">
        <v>72</v>
      </c>
      <c r="W477">
        <v>11</v>
      </c>
      <c r="X477">
        <v>6.5454545454545459</v>
      </c>
      <c r="Y477">
        <v>2</v>
      </c>
      <c r="Z477">
        <v>26</v>
      </c>
      <c r="AA477">
        <v>1</v>
      </c>
      <c r="AB477">
        <v>9</v>
      </c>
      <c r="AC477">
        <v>2</v>
      </c>
      <c r="AD477">
        <v>2</v>
      </c>
      <c r="AE477">
        <v>12</v>
      </c>
      <c r="AF477">
        <v>0</v>
      </c>
      <c r="AG477">
        <v>0</v>
      </c>
      <c r="AH477">
        <v>1</v>
      </c>
      <c r="AI477">
        <v>18</v>
      </c>
      <c r="AJ477">
        <v>0</v>
      </c>
      <c r="AK477">
        <v>0</v>
      </c>
      <c r="AL477">
        <v>1</v>
      </c>
      <c r="AM477">
        <v>18</v>
      </c>
      <c r="AN477">
        <v>3</v>
      </c>
      <c r="AO477">
        <v>35</v>
      </c>
      <c r="AP477">
        <v>5</v>
      </c>
      <c r="AQ477">
        <v>47</v>
      </c>
      <c r="AR477">
        <v>0.20967741935483869</v>
      </c>
      <c r="AS477">
        <v>7.2580645161290328E-2</v>
      </c>
      <c r="AT477">
        <v>9.6774193548387094E-2</v>
      </c>
      <c r="AU477">
        <v>0</v>
      </c>
      <c r="AV477">
        <v>0.14516129032258071</v>
      </c>
      <c r="AW477">
        <v>0.14516129032258071</v>
      </c>
      <c r="AX477">
        <v>0.28225806451612911</v>
      </c>
      <c r="AY477">
        <v>0.37903225806451613</v>
      </c>
      <c r="AZ477">
        <v>0.1370967741935484</v>
      </c>
      <c r="BA477">
        <v>0.66666666666666663</v>
      </c>
      <c r="BB477">
        <v>0.92424242424242431</v>
      </c>
      <c r="BC477">
        <v>0.33333333333333331</v>
      </c>
      <c r="BD477">
        <v>0.71068548387096775</v>
      </c>
      <c r="BE477">
        <v>4</v>
      </c>
      <c r="BF477">
        <v>0.65873197702834796</v>
      </c>
      <c r="BG477">
        <v>0.68</v>
      </c>
      <c r="BH477" t="s">
        <v>86</v>
      </c>
      <c r="BI477">
        <v>0.66</v>
      </c>
      <c r="BJ477" t="s">
        <v>86</v>
      </c>
      <c r="BK477" s="2">
        <f t="shared" si="15"/>
        <v>2.0000000000000018E-2</v>
      </c>
      <c r="BL477" t="b">
        <f t="shared" si="16"/>
        <v>1</v>
      </c>
    </row>
    <row r="478" spans="1:64" x14ac:dyDescent="0.35">
      <c r="A478" t="s">
        <v>1371</v>
      </c>
      <c r="B478" t="s">
        <v>1372</v>
      </c>
      <c r="C478">
        <v>2017</v>
      </c>
      <c r="D478" t="s">
        <v>1373</v>
      </c>
      <c r="E478" t="s">
        <v>1374</v>
      </c>
      <c r="F478" t="s">
        <v>66</v>
      </c>
      <c r="G478" t="s">
        <v>101</v>
      </c>
      <c r="H478" t="s">
        <v>150</v>
      </c>
      <c r="I478" t="s">
        <v>1375</v>
      </c>
      <c r="J478" t="s">
        <v>70</v>
      </c>
      <c r="L478">
        <v>1</v>
      </c>
      <c r="M478" t="b">
        <v>0</v>
      </c>
      <c r="N478">
        <v>1</v>
      </c>
      <c r="O478">
        <v>2</v>
      </c>
      <c r="P478">
        <v>6</v>
      </c>
      <c r="Q478">
        <v>4</v>
      </c>
      <c r="R478">
        <v>2</v>
      </c>
      <c r="S478">
        <v>5</v>
      </c>
      <c r="T478">
        <v>18</v>
      </c>
      <c r="U478">
        <v>192</v>
      </c>
      <c r="V478">
        <v>67</v>
      </c>
      <c r="W478">
        <v>13</v>
      </c>
      <c r="X478">
        <v>5.1538461538461542</v>
      </c>
      <c r="Y478">
        <v>3</v>
      </c>
      <c r="Z478">
        <v>14</v>
      </c>
      <c r="AA478">
        <v>0</v>
      </c>
      <c r="AB478">
        <v>0</v>
      </c>
      <c r="AC478">
        <v>1</v>
      </c>
      <c r="AD478">
        <v>1</v>
      </c>
      <c r="AE478">
        <v>11</v>
      </c>
      <c r="AF478">
        <v>0</v>
      </c>
      <c r="AG478">
        <v>0</v>
      </c>
      <c r="AH478">
        <v>1</v>
      </c>
      <c r="AI478">
        <v>4</v>
      </c>
      <c r="AJ478">
        <v>0</v>
      </c>
      <c r="AK478">
        <v>0</v>
      </c>
      <c r="AL478">
        <v>1</v>
      </c>
      <c r="AM478">
        <v>4</v>
      </c>
      <c r="AN478">
        <v>3</v>
      </c>
      <c r="AO478">
        <v>14</v>
      </c>
      <c r="AP478">
        <v>4</v>
      </c>
      <c r="AQ478">
        <v>25</v>
      </c>
      <c r="AR478">
        <v>7.2916666666666671E-2</v>
      </c>
      <c r="AS478">
        <v>0</v>
      </c>
      <c r="AT478">
        <v>5.7291666666666657E-2</v>
      </c>
      <c r="AU478">
        <v>0</v>
      </c>
      <c r="AV478">
        <v>2.0833333333333329E-2</v>
      </c>
      <c r="AW478">
        <v>2.0833333333333329E-2</v>
      </c>
      <c r="AX478">
        <v>7.2916666666666671E-2</v>
      </c>
      <c r="AY478">
        <v>0.13020833333333329</v>
      </c>
      <c r="AZ478">
        <v>5.2083333333333343E-2</v>
      </c>
      <c r="BA478">
        <v>0.66666666666666663</v>
      </c>
      <c r="BB478">
        <v>0.6923076923076924</v>
      </c>
      <c r="BC478">
        <v>0.26666666666666672</v>
      </c>
      <c r="BD478">
        <v>0.65755208333333326</v>
      </c>
      <c r="BE478">
        <v>4</v>
      </c>
      <c r="BF478">
        <v>0.57079827724358978</v>
      </c>
      <c r="BG478">
        <v>0.59</v>
      </c>
      <c r="BH478" t="s">
        <v>71</v>
      </c>
      <c r="BI478">
        <v>0.56999999999999995</v>
      </c>
      <c r="BJ478" t="s">
        <v>71</v>
      </c>
      <c r="BK478" s="2">
        <f t="shared" si="15"/>
        <v>2.0000000000000018E-2</v>
      </c>
      <c r="BL478" t="b">
        <f t="shared" si="16"/>
        <v>1</v>
      </c>
    </row>
    <row r="479" spans="1:64" x14ac:dyDescent="0.35">
      <c r="A479" t="s">
        <v>1376</v>
      </c>
      <c r="B479" t="s">
        <v>1372</v>
      </c>
      <c r="C479">
        <v>2022</v>
      </c>
      <c r="D479" t="s">
        <v>1373</v>
      </c>
      <c r="E479" t="s">
        <v>1374</v>
      </c>
      <c r="F479" t="s">
        <v>66</v>
      </c>
      <c r="G479" t="s">
        <v>101</v>
      </c>
      <c r="H479" t="s">
        <v>150</v>
      </c>
      <c r="I479" t="s">
        <v>1375</v>
      </c>
      <c r="J479" t="s">
        <v>70</v>
      </c>
      <c r="L479">
        <v>1</v>
      </c>
      <c r="M479" t="b">
        <v>0</v>
      </c>
      <c r="N479">
        <v>1</v>
      </c>
      <c r="O479">
        <v>2</v>
      </c>
      <c r="P479">
        <v>7</v>
      </c>
      <c r="Q479">
        <v>5</v>
      </c>
      <c r="R479">
        <v>2</v>
      </c>
      <c r="S479">
        <v>5</v>
      </c>
      <c r="T479">
        <v>37</v>
      </c>
      <c r="U479">
        <v>466</v>
      </c>
      <c r="V479">
        <v>144</v>
      </c>
      <c r="W479">
        <v>28</v>
      </c>
      <c r="X479">
        <v>5.1428571428571432</v>
      </c>
      <c r="Y479">
        <v>2</v>
      </c>
      <c r="Z479">
        <v>58</v>
      </c>
      <c r="AA479">
        <v>0</v>
      </c>
      <c r="AB479">
        <v>0</v>
      </c>
      <c r="AC479">
        <v>5</v>
      </c>
      <c r="AD479">
        <v>5</v>
      </c>
      <c r="AE479">
        <v>77</v>
      </c>
      <c r="AF479">
        <v>2</v>
      </c>
      <c r="AG479">
        <v>8</v>
      </c>
      <c r="AH479">
        <v>2</v>
      </c>
      <c r="AI479">
        <v>176</v>
      </c>
      <c r="AJ479">
        <v>3</v>
      </c>
      <c r="AK479">
        <v>19</v>
      </c>
      <c r="AL479">
        <v>6</v>
      </c>
      <c r="AM479">
        <v>199</v>
      </c>
      <c r="AN479">
        <v>4</v>
      </c>
      <c r="AO479">
        <v>66</v>
      </c>
      <c r="AP479">
        <v>7</v>
      </c>
      <c r="AQ479">
        <v>135</v>
      </c>
      <c r="AR479">
        <v>0.1244635193133047</v>
      </c>
      <c r="AS479">
        <v>0</v>
      </c>
      <c r="AT479">
        <v>0.1652360515021459</v>
      </c>
      <c r="AU479">
        <v>1.716738197424893E-2</v>
      </c>
      <c r="AV479">
        <v>0.37768240343347642</v>
      </c>
      <c r="AW479">
        <v>0.42703862660944208</v>
      </c>
      <c r="AX479">
        <v>0.14163090128755371</v>
      </c>
      <c r="AY479">
        <v>0.28969957081545072</v>
      </c>
      <c r="AZ479">
        <v>-0.28540772532188841</v>
      </c>
      <c r="BA479">
        <v>0.66666666666666663</v>
      </c>
      <c r="BB479">
        <v>0.69047619047619058</v>
      </c>
      <c r="BC479">
        <v>0.46666666666666667</v>
      </c>
      <c r="BD479">
        <v>0.44662017167381968</v>
      </c>
      <c r="BE479">
        <v>4</v>
      </c>
      <c r="BF479">
        <v>0.56760742387083596</v>
      </c>
      <c r="BG479">
        <v>0.63</v>
      </c>
      <c r="BH479" t="s">
        <v>86</v>
      </c>
      <c r="BI479">
        <v>0.56999999999999995</v>
      </c>
      <c r="BJ479" t="s">
        <v>71</v>
      </c>
      <c r="BK479" s="2">
        <f t="shared" si="15"/>
        <v>6.0000000000000053E-2</v>
      </c>
      <c r="BL479" t="b">
        <f t="shared" si="16"/>
        <v>0</v>
      </c>
    </row>
    <row r="480" spans="1:64" x14ac:dyDescent="0.35">
      <c r="A480" t="s">
        <v>1377</v>
      </c>
      <c r="B480" t="s">
        <v>1378</v>
      </c>
      <c r="C480">
        <v>2017</v>
      </c>
      <c r="D480" t="s">
        <v>1379</v>
      </c>
      <c r="E480" t="s">
        <v>1380</v>
      </c>
      <c r="F480" t="s">
        <v>66</v>
      </c>
      <c r="G480" t="s">
        <v>101</v>
      </c>
      <c r="H480" t="s">
        <v>150</v>
      </c>
      <c r="I480" t="s">
        <v>1381</v>
      </c>
      <c r="J480" t="s">
        <v>70</v>
      </c>
      <c r="L480">
        <v>1</v>
      </c>
      <c r="M480" t="b">
        <v>0</v>
      </c>
      <c r="N480">
        <v>3</v>
      </c>
      <c r="O480">
        <v>1</v>
      </c>
      <c r="P480">
        <v>2</v>
      </c>
      <c r="Q480">
        <v>2</v>
      </c>
      <c r="R480">
        <v>0</v>
      </c>
      <c r="S480">
        <v>4</v>
      </c>
      <c r="T480">
        <v>20</v>
      </c>
      <c r="U480">
        <v>746</v>
      </c>
      <c r="V480">
        <v>40</v>
      </c>
      <c r="W480">
        <v>10</v>
      </c>
      <c r="X480">
        <v>4</v>
      </c>
      <c r="Y480">
        <v>2</v>
      </c>
      <c r="Z480">
        <v>141</v>
      </c>
      <c r="AA480">
        <v>0</v>
      </c>
      <c r="AB480">
        <v>0</v>
      </c>
      <c r="AC480">
        <v>3</v>
      </c>
      <c r="AD480">
        <v>3</v>
      </c>
      <c r="AE480">
        <v>104</v>
      </c>
      <c r="AF480">
        <v>2</v>
      </c>
      <c r="AG480">
        <v>9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4</v>
      </c>
      <c r="AO480">
        <v>150</v>
      </c>
      <c r="AP480">
        <v>5</v>
      </c>
      <c r="AQ480">
        <v>245</v>
      </c>
      <c r="AR480">
        <v>0.18900804289544229</v>
      </c>
      <c r="AS480">
        <v>0</v>
      </c>
      <c r="AT480">
        <v>0.1394101876675603</v>
      </c>
      <c r="AU480">
        <v>1.206434316353887E-2</v>
      </c>
      <c r="AV480">
        <v>0</v>
      </c>
      <c r="AW480">
        <v>0</v>
      </c>
      <c r="AX480">
        <v>0.2010723860589812</v>
      </c>
      <c r="AY480">
        <v>0.32841823056300268</v>
      </c>
      <c r="AZ480">
        <v>0.2010723860589812</v>
      </c>
      <c r="BA480">
        <v>0.5</v>
      </c>
      <c r="BB480">
        <v>0.5</v>
      </c>
      <c r="BC480">
        <v>0.33333333333333331</v>
      </c>
      <c r="BD480">
        <v>0.75067024128686322</v>
      </c>
      <c r="BE480">
        <v>4</v>
      </c>
      <c r="BF480">
        <v>0.52100089365504909</v>
      </c>
      <c r="BG480">
        <v>0.52</v>
      </c>
      <c r="BH480" t="s">
        <v>71</v>
      </c>
      <c r="BI480">
        <v>0.52</v>
      </c>
      <c r="BJ480" t="s">
        <v>71</v>
      </c>
      <c r="BK480" s="2">
        <f t="shared" si="15"/>
        <v>0</v>
      </c>
      <c r="BL480" t="b">
        <f t="shared" si="16"/>
        <v>1</v>
      </c>
    </row>
    <row r="481" spans="1:64" x14ac:dyDescent="0.35">
      <c r="A481" t="s">
        <v>1382</v>
      </c>
      <c r="B481" t="s">
        <v>1378</v>
      </c>
      <c r="C481">
        <v>2022</v>
      </c>
      <c r="D481" t="s">
        <v>1379</v>
      </c>
      <c r="E481" t="s">
        <v>1380</v>
      </c>
      <c r="F481" t="s">
        <v>66</v>
      </c>
      <c r="G481" t="s">
        <v>101</v>
      </c>
      <c r="H481" t="s">
        <v>150</v>
      </c>
      <c r="I481" t="s">
        <v>1381</v>
      </c>
      <c r="J481" t="s">
        <v>70</v>
      </c>
      <c r="L481">
        <v>1</v>
      </c>
      <c r="M481" t="b">
        <v>0</v>
      </c>
      <c r="N481">
        <v>1</v>
      </c>
      <c r="O481">
        <v>1</v>
      </c>
      <c r="P481">
        <v>6</v>
      </c>
      <c r="Q481">
        <v>5</v>
      </c>
      <c r="R481">
        <v>1</v>
      </c>
      <c r="S481">
        <v>4</v>
      </c>
      <c r="T481">
        <v>37</v>
      </c>
      <c r="U481">
        <v>545</v>
      </c>
      <c r="V481">
        <v>144</v>
      </c>
      <c r="W481">
        <v>28</v>
      </c>
      <c r="X481">
        <v>5.1428571428571432</v>
      </c>
      <c r="Y481">
        <v>4</v>
      </c>
      <c r="Z481">
        <v>40</v>
      </c>
      <c r="AA481">
        <v>0</v>
      </c>
      <c r="AB481">
        <v>0</v>
      </c>
      <c r="AC481">
        <v>4</v>
      </c>
      <c r="AD481">
        <v>4</v>
      </c>
      <c r="AE481">
        <v>66</v>
      </c>
      <c r="AF481">
        <v>2</v>
      </c>
      <c r="AG481">
        <v>24</v>
      </c>
      <c r="AH481">
        <v>2</v>
      </c>
      <c r="AI481">
        <v>20</v>
      </c>
      <c r="AJ481">
        <v>1</v>
      </c>
      <c r="AK481">
        <v>7</v>
      </c>
      <c r="AL481">
        <v>3</v>
      </c>
      <c r="AM481">
        <v>27</v>
      </c>
      <c r="AN481">
        <v>6</v>
      </c>
      <c r="AO481">
        <v>64</v>
      </c>
      <c r="AP481">
        <v>8</v>
      </c>
      <c r="AQ481">
        <v>106</v>
      </c>
      <c r="AR481">
        <v>7.3394495412844041E-2</v>
      </c>
      <c r="AS481">
        <v>0</v>
      </c>
      <c r="AT481">
        <v>0.1211009174311927</v>
      </c>
      <c r="AU481">
        <v>4.4036697247706418E-2</v>
      </c>
      <c r="AV481">
        <v>3.669724770642202E-2</v>
      </c>
      <c r="AW481">
        <v>4.9541284403669728E-2</v>
      </c>
      <c r="AX481">
        <v>0.11743119266055051</v>
      </c>
      <c r="AY481">
        <v>0.19449541284403671</v>
      </c>
      <c r="AZ481">
        <v>6.7889908256880738E-2</v>
      </c>
      <c r="BA481">
        <v>0.5</v>
      </c>
      <c r="BB481">
        <v>0.69047619047619058</v>
      </c>
      <c r="BC481">
        <v>0.53333333333333333</v>
      </c>
      <c r="BD481">
        <v>0.6674311926605504</v>
      </c>
      <c r="BE481">
        <v>4</v>
      </c>
      <c r="BF481">
        <v>0.59781017911751855</v>
      </c>
      <c r="BG481">
        <v>0.6</v>
      </c>
      <c r="BH481" t="s">
        <v>86</v>
      </c>
      <c r="BI481">
        <v>0.6</v>
      </c>
      <c r="BJ481" t="s">
        <v>86</v>
      </c>
      <c r="BK481" s="2">
        <f t="shared" si="15"/>
        <v>0</v>
      </c>
      <c r="BL481" t="b">
        <f t="shared" si="16"/>
        <v>1</v>
      </c>
    </row>
    <row r="482" spans="1:64" x14ac:dyDescent="0.35">
      <c r="A482" t="s">
        <v>1383</v>
      </c>
      <c r="B482" t="s">
        <v>1384</v>
      </c>
      <c r="C482">
        <v>2017</v>
      </c>
      <c r="D482" t="s">
        <v>1385</v>
      </c>
      <c r="E482" t="s">
        <v>1386</v>
      </c>
      <c r="F482" t="s">
        <v>66</v>
      </c>
      <c r="G482" t="s">
        <v>101</v>
      </c>
      <c r="H482" t="s">
        <v>150</v>
      </c>
      <c r="I482" t="s">
        <v>1387</v>
      </c>
      <c r="J482" t="s">
        <v>70</v>
      </c>
      <c r="L482">
        <v>1</v>
      </c>
      <c r="M482" t="b">
        <v>0</v>
      </c>
      <c r="N482">
        <v>3</v>
      </c>
      <c r="O482">
        <v>1</v>
      </c>
      <c r="P482">
        <v>4</v>
      </c>
      <c r="Q482">
        <v>4</v>
      </c>
      <c r="R482">
        <v>0</v>
      </c>
      <c r="S482">
        <v>4</v>
      </c>
      <c r="T482">
        <v>20</v>
      </c>
      <c r="U482">
        <v>323</v>
      </c>
      <c r="V482">
        <v>74</v>
      </c>
      <c r="W482">
        <v>17</v>
      </c>
      <c r="X482">
        <v>4.3529411764705879</v>
      </c>
      <c r="Y482">
        <v>2</v>
      </c>
      <c r="Z482">
        <v>37</v>
      </c>
      <c r="AA482">
        <v>0</v>
      </c>
      <c r="AB482">
        <v>0</v>
      </c>
      <c r="AC482">
        <v>3</v>
      </c>
      <c r="AD482">
        <v>3</v>
      </c>
      <c r="AE482">
        <v>93</v>
      </c>
      <c r="AF482">
        <v>2</v>
      </c>
      <c r="AG482">
        <v>11</v>
      </c>
      <c r="AH482">
        <v>1</v>
      </c>
      <c r="AI482">
        <v>12</v>
      </c>
      <c r="AJ482">
        <v>2</v>
      </c>
      <c r="AK482">
        <v>13</v>
      </c>
      <c r="AL482">
        <v>3</v>
      </c>
      <c r="AM482">
        <v>25</v>
      </c>
      <c r="AN482">
        <v>4</v>
      </c>
      <c r="AO482">
        <v>48</v>
      </c>
      <c r="AP482">
        <v>5</v>
      </c>
      <c r="AQ482">
        <v>130</v>
      </c>
      <c r="AR482">
        <v>0.1145510835913313</v>
      </c>
      <c r="AS482">
        <v>0</v>
      </c>
      <c r="AT482">
        <v>0.28792569659442718</v>
      </c>
      <c r="AU482">
        <v>3.4055727554179557E-2</v>
      </c>
      <c r="AV482">
        <v>3.7151702786377708E-2</v>
      </c>
      <c r="AW482">
        <v>7.7399380804953566E-2</v>
      </c>
      <c r="AX482">
        <v>0.1486068111455108</v>
      </c>
      <c r="AY482">
        <v>0.4024767801857585</v>
      </c>
      <c r="AZ482">
        <v>7.1207430340557265E-2</v>
      </c>
      <c r="BA482">
        <v>0.5</v>
      </c>
      <c r="BB482">
        <v>0.55882352941176461</v>
      </c>
      <c r="BC482">
        <v>0.33333333333333331</v>
      </c>
      <c r="BD482">
        <v>0.66950464396284826</v>
      </c>
      <c r="BE482">
        <v>4</v>
      </c>
      <c r="BF482">
        <v>0.51541537667698656</v>
      </c>
      <c r="BG482">
        <v>0.52</v>
      </c>
      <c r="BH482" t="s">
        <v>71</v>
      </c>
      <c r="BI482">
        <v>0.52</v>
      </c>
      <c r="BJ482" t="s">
        <v>71</v>
      </c>
      <c r="BK482" s="2">
        <f t="shared" si="15"/>
        <v>0</v>
      </c>
      <c r="BL482" t="b">
        <f t="shared" si="16"/>
        <v>1</v>
      </c>
    </row>
    <row r="483" spans="1:64" x14ac:dyDescent="0.35">
      <c r="A483" t="s">
        <v>1388</v>
      </c>
      <c r="B483" t="s">
        <v>1384</v>
      </c>
      <c r="C483">
        <v>2022</v>
      </c>
      <c r="D483" t="s">
        <v>1385</v>
      </c>
      <c r="E483" t="s">
        <v>1386</v>
      </c>
      <c r="F483" t="s">
        <v>66</v>
      </c>
      <c r="G483" t="s">
        <v>101</v>
      </c>
      <c r="H483" t="s">
        <v>150</v>
      </c>
      <c r="I483" t="s">
        <v>1387</v>
      </c>
      <c r="J483" t="s">
        <v>70</v>
      </c>
      <c r="L483">
        <v>1</v>
      </c>
      <c r="M483" t="b">
        <v>0</v>
      </c>
      <c r="N483">
        <v>1</v>
      </c>
      <c r="O483">
        <v>1</v>
      </c>
      <c r="P483">
        <v>4</v>
      </c>
      <c r="Q483">
        <v>4</v>
      </c>
      <c r="R483">
        <v>0</v>
      </c>
      <c r="S483">
        <v>4</v>
      </c>
      <c r="T483">
        <v>30</v>
      </c>
      <c r="U483">
        <v>388</v>
      </c>
      <c r="V483">
        <v>100</v>
      </c>
      <c r="W483">
        <v>20</v>
      </c>
      <c r="X483">
        <v>5</v>
      </c>
      <c r="Y483">
        <v>4</v>
      </c>
      <c r="Z483">
        <v>45</v>
      </c>
      <c r="AA483">
        <v>0</v>
      </c>
      <c r="AB483">
        <v>0</v>
      </c>
      <c r="AC483">
        <v>4</v>
      </c>
      <c r="AD483">
        <v>4</v>
      </c>
      <c r="AE483">
        <v>55</v>
      </c>
      <c r="AF483">
        <v>4</v>
      </c>
      <c r="AG483">
        <v>60</v>
      </c>
      <c r="AH483">
        <v>1</v>
      </c>
      <c r="AI483">
        <v>73</v>
      </c>
      <c r="AJ483">
        <v>2</v>
      </c>
      <c r="AK483">
        <v>8</v>
      </c>
      <c r="AL483">
        <v>3</v>
      </c>
      <c r="AM483">
        <v>81</v>
      </c>
      <c r="AN483">
        <v>8</v>
      </c>
      <c r="AO483">
        <v>105</v>
      </c>
      <c r="AP483">
        <v>8</v>
      </c>
      <c r="AQ483">
        <v>100</v>
      </c>
      <c r="AR483">
        <v>0.115979381443299</v>
      </c>
      <c r="AS483">
        <v>0</v>
      </c>
      <c r="AT483">
        <v>0.1417525773195876</v>
      </c>
      <c r="AU483">
        <v>0.15463917525773199</v>
      </c>
      <c r="AV483">
        <v>0.18814432989690719</v>
      </c>
      <c r="AW483">
        <v>0.20876288659793821</v>
      </c>
      <c r="AX483">
        <v>0.27061855670103091</v>
      </c>
      <c r="AY483">
        <v>0.25773195876288663</v>
      </c>
      <c r="AZ483">
        <v>6.1855670103092758E-2</v>
      </c>
      <c r="BA483">
        <v>0.5</v>
      </c>
      <c r="BB483">
        <v>0.66666666666666663</v>
      </c>
      <c r="BC483">
        <v>0.53333333333333333</v>
      </c>
      <c r="BD483">
        <v>0.66365979381443296</v>
      </c>
      <c r="BE483">
        <v>4</v>
      </c>
      <c r="BF483">
        <v>0.59091494845360826</v>
      </c>
      <c r="BG483">
        <v>0.62</v>
      </c>
      <c r="BH483" t="s">
        <v>86</v>
      </c>
      <c r="BI483">
        <v>0.59</v>
      </c>
      <c r="BJ483" t="s">
        <v>71</v>
      </c>
      <c r="BK483" s="2">
        <f t="shared" si="15"/>
        <v>3.0000000000000027E-2</v>
      </c>
      <c r="BL483" t="b">
        <f t="shared" si="16"/>
        <v>0</v>
      </c>
    </row>
    <row r="484" spans="1:64" x14ac:dyDescent="0.35">
      <c r="A484" t="s">
        <v>1389</v>
      </c>
      <c r="B484" t="s">
        <v>1390</v>
      </c>
      <c r="C484">
        <v>2017</v>
      </c>
      <c r="D484" t="s">
        <v>1391</v>
      </c>
      <c r="E484" t="s">
        <v>1392</v>
      </c>
      <c r="F484" t="s">
        <v>66</v>
      </c>
      <c r="G484" t="s">
        <v>101</v>
      </c>
      <c r="H484" t="s">
        <v>170</v>
      </c>
      <c r="I484" t="s">
        <v>1393</v>
      </c>
      <c r="J484" t="s">
        <v>70</v>
      </c>
      <c r="L484">
        <v>1</v>
      </c>
      <c r="M484" t="b">
        <v>0</v>
      </c>
      <c r="N484">
        <v>3</v>
      </c>
      <c r="O484">
        <v>2</v>
      </c>
      <c r="P484">
        <v>4</v>
      </c>
      <c r="Q484">
        <v>2</v>
      </c>
      <c r="R484">
        <v>2</v>
      </c>
      <c r="S484">
        <v>4</v>
      </c>
      <c r="T484">
        <v>17</v>
      </c>
      <c r="U484">
        <v>754</v>
      </c>
      <c r="V484">
        <v>57</v>
      </c>
      <c r="W484">
        <v>14</v>
      </c>
      <c r="X484">
        <v>4.0714285714285712</v>
      </c>
      <c r="Y484">
        <v>1</v>
      </c>
      <c r="Z484">
        <v>2</v>
      </c>
      <c r="AA484">
        <v>1</v>
      </c>
      <c r="AB484">
        <v>4</v>
      </c>
      <c r="AC484">
        <v>2</v>
      </c>
      <c r="AD484">
        <v>2</v>
      </c>
      <c r="AE484">
        <v>410</v>
      </c>
      <c r="AF484">
        <v>0</v>
      </c>
      <c r="AG484">
        <v>0</v>
      </c>
      <c r="AH484">
        <v>2</v>
      </c>
      <c r="AI484">
        <v>52</v>
      </c>
      <c r="AJ484">
        <v>1</v>
      </c>
      <c r="AK484">
        <v>13</v>
      </c>
      <c r="AL484">
        <v>3</v>
      </c>
      <c r="AM484">
        <v>65</v>
      </c>
      <c r="AN484">
        <v>2</v>
      </c>
      <c r="AO484">
        <v>6</v>
      </c>
      <c r="AP484">
        <v>4</v>
      </c>
      <c r="AQ484">
        <v>416</v>
      </c>
      <c r="AR484">
        <v>2.6525198938992041E-3</v>
      </c>
      <c r="AS484">
        <v>5.3050397877984082E-3</v>
      </c>
      <c r="AT484">
        <v>0.54376657824933683</v>
      </c>
      <c r="AU484">
        <v>0</v>
      </c>
      <c r="AV484">
        <v>6.8965517241379309E-2</v>
      </c>
      <c r="AW484">
        <v>8.6206896551724144E-2</v>
      </c>
      <c r="AX484">
        <v>7.9575596816976128E-3</v>
      </c>
      <c r="AY484">
        <v>0.55172413793103448</v>
      </c>
      <c r="AZ484">
        <v>-7.8249336870026526E-2</v>
      </c>
      <c r="BA484">
        <v>0.5</v>
      </c>
      <c r="BB484">
        <v>0.51190476190476186</v>
      </c>
      <c r="BC484">
        <v>0.26666666666666672</v>
      </c>
      <c r="BD484">
        <v>0.5760941644562334</v>
      </c>
      <c r="BE484">
        <v>4</v>
      </c>
      <c r="BF484">
        <v>0.46366639825691552</v>
      </c>
      <c r="BG484">
        <v>0.47</v>
      </c>
      <c r="BH484" t="s">
        <v>71</v>
      </c>
      <c r="BI484">
        <v>0.46</v>
      </c>
      <c r="BJ484" t="s">
        <v>71</v>
      </c>
      <c r="BK484" s="2">
        <f t="shared" si="15"/>
        <v>9.9999999999999534E-3</v>
      </c>
      <c r="BL484" t="b">
        <f t="shared" si="16"/>
        <v>1</v>
      </c>
    </row>
    <row r="485" spans="1:64" x14ac:dyDescent="0.35">
      <c r="A485" t="s">
        <v>1394</v>
      </c>
      <c r="B485" t="s">
        <v>1390</v>
      </c>
      <c r="C485">
        <v>2021</v>
      </c>
      <c r="D485" t="s">
        <v>1391</v>
      </c>
      <c r="E485" t="s">
        <v>1392</v>
      </c>
      <c r="F485" t="s">
        <v>66</v>
      </c>
      <c r="G485" t="s">
        <v>101</v>
      </c>
      <c r="H485" t="s">
        <v>170</v>
      </c>
      <c r="I485" t="s">
        <v>1393</v>
      </c>
      <c r="J485" t="s">
        <v>70</v>
      </c>
      <c r="L485">
        <v>1</v>
      </c>
      <c r="M485" t="b">
        <v>0</v>
      </c>
      <c r="N485">
        <v>1</v>
      </c>
      <c r="O485">
        <v>1</v>
      </c>
      <c r="P485">
        <v>4</v>
      </c>
      <c r="Q485">
        <v>1</v>
      </c>
      <c r="R485">
        <v>3</v>
      </c>
      <c r="S485">
        <v>4</v>
      </c>
      <c r="T485">
        <v>17</v>
      </c>
      <c r="U485">
        <v>204</v>
      </c>
      <c r="V485">
        <v>78</v>
      </c>
      <c r="W485">
        <v>16</v>
      </c>
      <c r="X485">
        <v>4.875</v>
      </c>
      <c r="Y485">
        <v>2</v>
      </c>
      <c r="Z485">
        <v>11</v>
      </c>
      <c r="AA485">
        <v>0</v>
      </c>
      <c r="AB485">
        <v>0</v>
      </c>
      <c r="AC485">
        <v>3</v>
      </c>
      <c r="AD485">
        <v>3</v>
      </c>
      <c r="AE485">
        <v>61</v>
      </c>
      <c r="AF485">
        <v>1</v>
      </c>
      <c r="AG485">
        <v>2</v>
      </c>
      <c r="AH485">
        <v>0</v>
      </c>
      <c r="AI485">
        <v>0</v>
      </c>
      <c r="AJ485">
        <v>1</v>
      </c>
      <c r="AK485">
        <v>7</v>
      </c>
      <c r="AL485">
        <v>1</v>
      </c>
      <c r="AM485">
        <v>7</v>
      </c>
      <c r="AN485">
        <v>3</v>
      </c>
      <c r="AO485">
        <v>13</v>
      </c>
      <c r="AP485">
        <v>5</v>
      </c>
      <c r="AQ485">
        <v>72</v>
      </c>
      <c r="AR485">
        <v>5.3921568627450983E-2</v>
      </c>
      <c r="AS485">
        <v>0</v>
      </c>
      <c r="AT485">
        <v>0.29901960784313719</v>
      </c>
      <c r="AU485">
        <v>9.8039215686274508E-3</v>
      </c>
      <c r="AV485">
        <v>0</v>
      </c>
      <c r="AW485">
        <v>3.4313725490196081E-2</v>
      </c>
      <c r="AX485">
        <v>6.3725490196078427E-2</v>
      </c>
      <c r="AY485">
        <v>0.35294117647058831</v>
      </c>
      <c r="AZ485">
        <v>2.9411764705882349E-2</v>
      </c>
      <c r="BA485">
        <v>0.5</v>
      </c>
      <c r="BB485">
        <v>0.64583333333333337</v>
      </c>
      <c r="BC485">
        <v>0.33333333333333331</v>
      </c>
      <c r="BD485">
        <v>0.64338235294117641</v>
      </c>
      <c r="BE485">
        <v>4</v>
      </c>
      <c r="BF485">
        <v>0.53063725490196079</v>
      </c>
      <c r="BG485">
        <v>0.53</v>
      </c>
      <c r="BH485" t="s">
        <v>71</v>
      </c>
      <c r="BI485">
        <v>0.53</v>
      </c>
      <c r="BJ485" t="s">
        <v>71</v>
      </c>
      <c r="BK485" s="2">
        <f t="shared" si="15"/>
        <v>0</v>
      </c>
      <c r="BL485" t="b">
        <f t="shared" si="16"/>
        <v>1</v>
      </c>
    </row>
    <row r="486" spans="1:64" x14ac:dyDescent="0.35">
      <c r="A486" t="s">
        <v>1395</v>
      </c>
      <c r="B486" t="s">
        <v>1396</v>
      </c>
      <c r="C486">
        <v>2017</v>
      </c>
      <c r="D486" t="s">
        <v>1397</v>
      </c>
      <c r="E486" t="s">
        <v>1398</v>
      </c>
      <c r="F486" t="s">
        <v>66</v>
      </c>
      <c r="G486" t="s">
        <v>101</v>
      </c>
      <c r="H486" t="s">
        <v>170</v>
      </c>
      <c r="I486" t="s">
        <v>1399</v>
      </c>
      <c r="J486" t="s">
        <v>70</v>
      </c>
      <c r="L486">
        <v>1</v>
      </c>
      <c r="M486" t="b">
        <v>0</v>
      </c>
      <c r="N486">
        <v>3</v>
      </c>
      <c r="O486">
        <v>2</v>
      </c>
      <c r="P486">
        <v>6</v>
      </c>
      <c r="Q486">
        <v>5</v>
      </c>
      <c r="R486">
        <v>1</v>
      </c>
      <c r="S486">
        <v>4</v>
      </c>
      <c r="T486">
        <v>31</v>
      </c>
      <c r="U486">
        <v>415</v>
      </c>
      <c r="V486">
        <v>101</v>
      </c>
      <c r="W486">
        <v>21</v>
      </c>
      <c r="X486">
        <v>4.8095238095238093</v>
      </c>
      <c r="Y486">
        <v>3</v>
      </c>
      <c r="Z486">
        <v>38</v>
      </c>
      <c r="AA486">
        <v>0</v>
      </c>
      <c r="AB486">
        <v>0</v>
      </c>
      <c r="AC486">
        <v>1</v>
      </c>
      <c r="AD486">
        <v>1</v>
      </c>
      <c r="AE486">
        <v>28</v>
      </c>
      <c r="AF486">
        <v>2</v>
      </c>
      <c r="AG486">
        <v>19</v>
      </c>
      <c r="AH486">
        <v>2</v>
      </c>
      <c r="AI486">
        <v>141</v>
      </c>
      <c r="AJ486">
        <v>1</v>
      </c>
      <c r="AK486">
        <v>1</v>
      </c>
      <c r="AL486">
        <v>3</v>
      </c>
      <c r="AM486">
        <v>142</v>
      </c>
      <c r="AN486">
        <v>5</v>
      </c>
      <c r="AO486">
        <v>57</v>
      </c>
      <c r="AP486">
        <v>4</v>
      </c>
      <c r="AQ486">
        <v>66</v>
      </c>
      <c r="AR486">
        <v>9.1566265060240959E-2</v>
      </c>
      <c r="AS486">
        <v>0</v>
      </c>
      <c r="AT486">
        <v>6.746987951807229E-2</v>
      </c>
      <c r="AU486">
        <v>4.5783132530120479E-2</v>
      </c>
      <c r="AV486">
        <v>0.33975903614457831</v>
      </c>
      <c r="AW486">
        <v>0.34216867469879519</v>
      </c>
      <c r="AX486">
        <v>0.13734939759036141</v>
      </c>
      <c r="AY486">
        <v>0.15903614457831319</v>
      </c>
      <c r="AZ486">
        <v>-0.20481927710843381</v>
      </c>
      <c r="BA486">
        <v>0.5</v>
      </c>
      <c r="BB486">
        <v>0.63492063492063489</v>
      </c>
      <c r="BC486">
        <v>0.26666666666666672</v>
      </c>
      <c r="BD486">
        <v>0.49698795180722882</v>
      </c>
      <c r="BE486">
        <v>4</v>
      </c>
      <c r="BF486">
        <v>0.47464381334863259</v>
      </c>
      <c r="BG486">
        <v>0.53</v>
      </c>
      <c r="BH486" t="s">
        <v>71</v>
      </c>
      <c r="BI486">
        <v>0.47</v>
      </c>
      <c r="BJ486" t="s">
        <v>71</v>
      </c>
      <c r="BK486" s="2">
        <f t="shared" si="15"/>
        <v>6.0000000000000053E-2</v>
      </c>
      <c r="BL486" t="b">
        <f t="shared" si="16"/>
        <v>1</v>
      </c>
    </row>
    <row r="487" spans="1:64" x14ac:dyDescent="0.35">
      <c r="A487" t="s">
        <v>1400</v>
      </c>
      <c r="B487" t="s">
        <v>1396</v>
      </c>
      <c r="C487">
        <v>2021</v>
      </c>
      <c r="D487" t="s">
        <v>1397</v>
      </c>
      <c r="E487" t="s">
        <v>1398</v>
      </c>
      <c r="F487" t="s">
        <v>66</v>
      </c>
      <c r="G487" t="s">
        <v>101</v>
      </c>
      <c r="H487" t="s">
        <v>170</v>
      </c>
      <c r="I487" t="s">
        <v>1399</v>
      </c>
      <c r="J487" t="s">
        <v>70</v>
      </c>
      <c r="L487">
        <v>1</v>
      </c>
      <c r="M487" t="b">
        <v>0</v>
      </c>
      <c r="N487">
        <v>3</v>
      </c>
      <c r="O487">
        <v>1</v>
      </c>
      <c r="P487">
        <v>3</v>
      </c>
      <c r="Q487">
        <v>2</v>
      </c>
      <c r="R487">
        <v>1</v>
      </c>
      <c r="S487">
        <v>4</v>
      </c>
      <c r="T487">
        <v>22</v>
      </c>
      <c r="U487">
        <v>355</v>
      </c>
      <c r="V487">
        <v>71</v>
      </c>
      <c r="W487">
        <v>17</v>
      </c>
      <c r="X487">
        <v>4.1764705882352944</v>
      </c>
      <c r="Y487">
        <v>1</v>
      </c>
      <c r="Z487">
        <v>28</v>
      </c>
      <c r="AA487">
        <v>0</v>
      </c>
      <c r="AB487">
        <v>0</v>
      </c>
      <c r="AC487">
        <v>1</v>
      </c>
      <c r="AD487">
        <v>1</v>
      </c>
      <c r="AE487">
        <v>3</v>
      </c>
      <c r="AF487">
        <v>1</v>
      </c>
      <c r="AG487">
        <v>1</v>
      </c>
      <c r="AH487">
        <v>2</v>
      </c>
      <c r="AI487">
        <v>259</v>
      </c>
      <c r="AJ487">
        <v>2</v>
      </c>
      <c r="AK487">
        <v>11</v>
      </c>
      <c r="AL487">
        <v>4</v>
      </c>
      <c r="AM487">
        <v>270</v>
      </c>
      <c r="AN487">
        <v>2</v>
      </c>
      <c r="AO487">
        <v>29</v>
      </c>
      <c r="AP487">
        <v>2</v>
      </c>
      <c r="AQ487">
        <v>31</v>
      </c>
      <c r="AR487">
        <v>7.8873239436619724E-2</v>
      </c>
      <c r="AS487">
        <v>0</v>
      </c>
      <c r="AT487">
        <v>8.4507042253521118E-3</v>
      </c>
      <c r="AU487">
        <v>2.8169014084507039E-3</v>
      </c>
      <c r="AV487">
        <v>0.72957746478873242</v>
      </c>
      <c r="AW487">
        <v>0.76056338028169013</v>
      </c>
      <c r="AX487">
        <v>8.1690140845070425E-2</v>
      </c>
      <c r="AY487">
        <v>8.7323943661971826E-2</v>
      </c>
      <c r="AZ487">
        <v>-0.6788732394366197</v>
      </c>
      <c r="BA487">
        <v>0.5</v>
      </c>
      <c r="BB487">
        <v>0.52941176470588236</v>
      </c>
      <c r="BC487">
        <v>0.1333333333333333</v>
      </c>
      <c r="BD487">
        <v>0.20070422535211269</v>
      </c>
      <c r="BE487">
        <v>4</v>
      </c>
      <c r="BF487">
        <v>0.34086233084783207</v>
      </c>
      <c r="BG487">
        <v>0.45</v>
      </c>
      <c r="BH487" t="s">
        <v>71</v>
      </c>
      <c r="BI487">
        <v>0.34</v>
      </c>
      <c r="BJ487" t="s">
        <v>104</v>
      </c>
      <c r="BK487" s="2">
        <f t="shared" si="15"/>
        <v>0.10999999999999999</v>
      </c>
      <c r="BL487" t="b">
        <f t="shared" si="16"/>
        <v>0</v>
      </c>
    </row>
    <row r="488" spans="1:64" x14ac:dyDescent="0.35">
      <c r="A488" t="s">
        <v>1401</v>
      </c>
      <c r="B488" t="s">
        <v>1402</v>
      </c>
      <c r="C488">
        <v>2016</v>
      </c>
      <c r="D488" t="s">
        <v>1403</v>
      </c>
      <c r="E488" t="s">
        <v>1404</v>
      </c>
      <c r="F488" t="s">
        <v>66</v>
      </c>
      <c r="G488" t="s">
        <v>101</v>
      </c>
      <c r="H488" t="s">
        <v>170</v>
      </c>
      <c r="I488" t="s">
        <v>1405</v>
      </c>
      <c r="J488" t="s">
        <v>70</v>
      </c>
      <c r="L488">
        <v>1</v>
      </c>
      <c r="M488" t="b">
        <v>0</v>
      </c>
      <c r="N488">
        <v>1</v>
      </c>
      <c r="O488">
        <v>1</v>
      </c>
      <c r="P488">
        <v>7</v>
      </c>
      <c r="Q488">
        <v>4</v>
      </c>
      <c r="R488">
        <v>3</v>
      </c>
      <c r="S488">
        <v>4</v>
      </c>
      <c r="T488">
        <v>25</v>
      </c>
      <c r="U488">
        <v>1208</v>
      </c>
      <c r="V488">
        <v>93</v>
      </c>
      <c r="W488">
        <v>18</v>
      </c>
      <c r="X488">
        <v>5.166666666666667</v>
      </c>
      <c r="Y488">
        <v>3</v>
      </c>
      <c r="Z488">
        <v>177</v>
      </c>
      <c r="AA488">
        <v>0</v>
      </c>
      <c r="AB488">
        <v>0</v>
      </c>
      <c r="AC488">
        <v>1</v>
      </c>
      <c r="AD488">
        <v>1</v>
      </c>
      <c r="AE488">
        <v>24</v>
      </c>
      <c r="AF488">
        <v>1</v>
      </c>
      <c r="AG488">
        <v>4</v>
      </c>
      <c r="AH488">
        <v>2</v>
      </c>
      <c r="AI488">
        <v>16</v>
      </c>
      <c r="AJ488">
        <v>1</v>
      </c>
      <c r="AK488">
        <v>7</v>
      </c>
      <c r="AL488">
        <v>3</v>
      </c>
      <c r="AM488">
        <v>23</v>
      </c>
      <c r="AN488">
        <v>4</v>
      </c>
      <c r="AO488">
        <v>181</v>
      </c>
      <c r="AP488">
        <v>4</v>
      </c>
      <c r="AQ488">
        <v>201</v>
      </c>
      <c r="AR488">
        <v>0.14652317880794699</v>
      </c>
      <c r="AS488">
        <v>0</v>
      </c>
      <c r="AT488">
        <v>1.986754966887417E-2</v>
      </c>
      <c r="AU488">
        <v>3.3112582781456949E-3</v>
      </c>
      <c r="AV488">
        <v>1.324503311258278E-2</v>
      </c>
      <c r="AW488">
        <v>1.9039735099337748E-2</v>
      </c>
      <c r="AX488">
        <v>0.1498344370860927</v>
      </c>
      <c r="AY488">
        <v>0.16639072847682121</v>
      </c>
      <c r="AZ488">
        <v>0.130794701986755</v>
      </c>
      <c r="BA488">
        <v>0.5</v>
      </c>
      <c r="BB488">
        <v>0.69444444444444453</v>
      </c>
      <c r="BC488">
        <v>0.26666666666666672</v>
      </c>
      <c r="BD488">
        <v>0.70674668874172186</v>
      </c>
      <c r="BE488">
        <v>4</v>
      </c>
      <c r="BF488">
        <v>0.54196444996320825</v>
      </c>
      <c r="BG488">
        <v>0.54</v>
      </c>
      <c r="BH488" t="s">
        <v>71</v>
      </c>
      <c r="BI488">
        <v>0.54</v>
      </c>
      <c r="BJ488" t="s">
        <v>71</v>
      </c>
      <c r="BK488" s="2">
        <f t="shared" si="15"/>
        <v>0</v>
      </c>
      <c r="BL488" t="b">
        <f t="shared" si="16"/>
        <v>1</v>
      </c>
    </row>
    <row r="489" spans="1:64" x14ac:dyDescent="0.35">
      <c r="A489" t="s">
        <v>1406</v>
      </c>
      <c r="B489" t="s">
        <v>1402</v>
      </c>
      <c r="C489">
        <v>2017</v>
      </c>
      <c r="D489" t="s">
        <v>1403</v>
      </c>
      <c r="E489" t="s">
        <v>1404</v>
      </c>
      <c r="F489" t="s">
        <v>66</v>
      </c>
      <c r="G489" t="s">
        <v>101</v>
      </c>
      <c r="H489" t="s">
        <v>170</v>
      </c>
      <c r="I489" t="s">
        <v>1405</v>
      </c>
      <c r="J489" t="s">
        <v>70</v>
      </c>
      <c r="L489">
        <v>1</v>
      </c>
      <c r="M489" t="b">
        <v>0</v>
      </c>
      <c r="N489">
        <v>3</v>
      </c>
      <c r="O489">
        <v>1</v>
      </c>
      <c r="P489">
        <v>4</v>
      </c>
      <c r="Q489">
        <v>3</v>
      </c>
      <c r="R489">
        <v>1</v>
      </c>
      <c r="S489">
        <v>4</v>
      </c>
      <c r="T489">
        <v>19</v>
      </c>
      <c r="U489">
        <v>228</v>
      </c>
      <c r="V489">
        <v>62</v>
      </c>
      <c r="W489">
        <v>13</v>
      </c>
      <c r="X489">
        <v>4.7692307692307692</v>
      </c>
      <c r="Y489">
        <v>2</v>
      </c>
      <c r="Z489">
        <v>25</v>
      </c>
      <c r="AA489">
        <v>0</v>
      </c>
      <c r="AB489">
        <v>0</v>
      </c>
      <c r="AC489">
        <v>1</v>
      </c>
      <c r="AD489">
        <v>1</v>
      </c>
      <c r="AE489">
        <v>15</v>
      </c>
      <c r="AF489">
        <v>1</v>
      </c>
      <c r="AG489">
        <v>4</v>
      </c>
      <c r="AH489">
        <v>0</v>
      </c>
      <c r="AI489">
        <v>0</v>
      </c>
      <c r="AJ489">
        <v>1</v>
      </c>
      <c r="AK489">
        <v>5</v>
      </c>
      <c r="AL489">
        <v>2</v>
      </c>
      <c r="AM489">
        <v>17</v>
      </c>
      <c r="AN489">
        <v>3</v>
      </c>
      <c r="AO489">
        <v>29</v>
      </c>
      <c r="AP489">
        <v>3</v>
      </c>
      <c r="AQ489">
        <v>40</v>
      </c>
      <c r="AR489">
        <v>0.1096491228070175</v>
      </c>
      <c r="AS489">
        <v>0</v>
      </c>
      <c r="AT489">
        <v>6.5789473684210523E-2</v>
      </c>
      <c r="AU489">
        <v>1.754385964912281E-2</v>
      </c>
      <c r="AV489">
        <v>0</v>
      </c>
      <c r="AW489">
        <v>7.4561403508771926E-2</v>
      </c>
      <c r="AX489">
        <v>0.12719298245614041</v>
      </c>
      <c r="AY489">
        <v>0.17543859649122809</v>
      </c>
      <c r="AZ489">
        <v>5.2631578947368432E-2</v>
      </c>
      <c r="BA489">
        <v>0.5</v>
      </c>
      <c r="BB489">
        <v>0.62820512820512819</v>
      </c>
      <c r="BC489">
        <v>0.2</v>
      </c>
      <c r="BD489">
        <v>0.6578947368421052</v>
      </c>
      <c r="BE489">
        <v>4</v>
      </c>
      <c r="BF489">
        <v>0.49652496626180842</v>
      </c>
      <c r="BG489">
        <v>0.46</v>
      </c>
      <c r="BH489" t="s">
        <v>71</v>
      </c>
      <c r="BI489">
        <v>0.5</v>
      </c>
      <c r="BJ489" t="s">
        <v>71</v>
      </c>
      <c r="BK489" s="2">
        <f t="shared" si="15"/>
        <v>-3.999999999999998E-2</v>
      </c>
      <c r="BL489" t="b">
        <f t="shared" si="16"/>
        <v>1</v>
      </c>
    </row>
    <row r="490" spans="1:64" x14ac:dyDescent="0.35">
      <c r="A490" t="s">
        <v>1407</v>
      </c>
      <c r="B490" t="s">
        <v>1402</v>
      </c>
      <c r="C490">
        <v>2021</v>
      </c>
      <c r="D490" t="s">
        <v>1403</v>
      </c>
      <c r="E490" t="s">
        <v>1404</v>
      </c>
      <c r="F490" t="s">
        <v>66</v>
      </c>
      <c r="G490" t="s">
        <v>101</v>
      </c>
      <c r="H490" t="s">
        <v>170</v>
      </c>
      <c r="I490" t="s">
        <v>1405</v>
      </c>
      <c r="J490" t="s">
        <v>70</v>
      </c>
      <c r="L490">
        <v>1</v>
      </c>
      <c r="M490" t="b">
        <v>0</v>
      </c>
      <c r="N490">
        <v>4</v>
      </c>
      <c r="O490">
        <v>1</v>
      </c>
      <c r="P490">
        <v>1</v>
      </c>
      <c r="Q490">
        <v>2</v>
      </c>
      <c r="R490">
        <v>-1</v>
      </c>
      <c r="S490">
        <v>3</v>
      </c>
      <c r="T490">
        <v>17</v>
      </c>
      <c r="U490">
        <v>281</v>
      </c>
      <c r="V490">
        <v>59</v>
      </c>
      <c r="W490">
        <v>15</v>
      </c>
      <c r="X490">
        <v>3.9333333333333331</v>
      </c>
      <c r="Y490">
        <v>2</v>
      </c>
      <c r="Z490">
        <v>3</v>
      </c>
      <c r="AA490">
        <v>0</v>
      </c>
      <c r="AB490">
        <v>0</v>
      </c>
      <c r="AC490">
        <v>1</v>
      </c>
      <c r="AD490">
        <v>1</v>
      </c>
      <c r="AE490">
        <v>8</v>
      </c>
      <c r="AF490">
        <v>2</v>
      </c>
      <c r="AG490">
        <v>2</v>
      </c>
      <c r="AH490">
        <v>1</v>
      </c>
      <c r="AI490">
        <v>1</v>
      </c>
      <c r="AJ490">
        <v>2</v>
      </c>
      <c r="AK490">
        <v>17</v>
      </c>
      <c r="AL490">
        <v>4</v>
      </c>
      <c r="AM490">
        <v>21</v>
      </c>
      <c r="AN490">
        <v>4</v>
      </c>
      <c r="AO490">
        <v>5</v>
      </c>
      <c r="AP490">
        <v>3</v>
      </c>
      <c r="AQ490">
        <v>11</v>
      </c>
      <c r="AR490">
        <v>1.067615658362989E-2</v>
      </c>
      <c r="AS490">
        <v>0</v>
      </c>
      <c r="AT490">
        <v>2.846975088967971E-2</v>
      </c>
      <c r="AU490">
        <v>7.1174377224199276E-3</v>
      </c>
      <c r="AV490">
        <v>3.5587188612099638E-3</v>
      </c>
      <c r="AW490">
        <v>7.4733096085409248E-2</v>
      </c>
      <c r="AX490">
        <v>1.779359430604982E-2</v>
      </c>
      <c r="AY490">
        <v>3.9145907473309607E-2</v>
      </c>
      <c r="AZ490">
        <v>-5.6939501779359428E-2</v>
      </c>
      <c r="BA490">
        <v>0.33333333333333331</v>
      </c>
      <c r="BB490">
        <v>0.48888888888888887</v>
      </c>
      <c r="BC490">
        <v>0.2</v>
      </c>
      <c r="BD490">
        <v>0.58941281138790025</v>
      </c>
      <c r="BE490">
        <v>4</v>
      </c>
      <c r="BF490">
        <v>0.4029087584025306</v>
      </c>
      <c r="BG490">
        <v>0.41</v>
      </c>
      <c r="BH490" t="s">
        <v>71</v>
      </c>
      <c r="BI490">
        <v>0.4</v>
      </c>
      <c r="BJ490" t="s">
        <v>71</v>
      </c>
      <c r="BK490" s="2">
        <f t="shared" si="15"/>
        <v>9.9999999999999534E-3</v>
      </c>
      <c r="BL490" t="b">
        <f t="shared" si="16"/>
        <v>1</v>
      </c>
    </row>
    <row r="491" spans="1:64" x14ac:dyDescent="0.35">
      <c r="A491" t="s">
        <v>1408</v>
      </c>
      <c r="B491" t="s">
        <v>1409</v>
      </c>
      <c r="C491">
        <v>2017</v>
      </c>
      <c r="D491" t="s">
        <v>1410</v>
      </c>
      <c r="E491" t="s">
        <v>1411</v>
      </c>
      <c r="F491" t="s">
        <v>66</v>
      </c>
      <c r="G491" t="s">
        <v>101</v>
      </c>
      <c r="H491" t="s">
        <v>170</v>
      </c>
      <c r="I491" t="s">
        <v>1412</v>
      </c>
      <c r="J491" t="s">
        <v>70</v>
      </c>
      <c r="L491">
        <v>1</v>
      </c>
      <c r="M491" t="b">
        <v>0</v>
      </c>
      <c r="N491">
        <v>1</v>
      </c>
      <c r="O491">
        <v>1</v>
      </c>
      <c r="P491">
        <v>5</v>
      </c>
      <c r="Q491">
        <v>2</v>
      </c>
      <c r="R491">
        <v>3</v>
      </c>
      <c r="S491">
        <v>4</v>
      </c>
      <c r="T491">
        <v>21</v>
      </c>
      <c r="U491">
        <v>347</v>
      </c>
      <c r="V491">
        <v>73</v>
      </c>
      <c r="W491">
        <v>12</v>
      </c>
      <c r="X491">
        <v>6.083333333333333</v>
      </c>
      <c r="Y491">
        <v>1</v>
      </c>
      <c r="Z491">
        <v>7</v>
      </c>
      <c r="AA491">
        <v>0</v>
      </c>
      <c r="AB491">
        <v>0</v>
      </c>
      <c r="AC491">
        <v>2</v>
      </c>
      <c r="AD491">
        <v>2</v>
      </c>
      <c r="AE491">
        <v>15</v>
      </c>
      <c r="AF491">
        <v>2</v>
      </c>
      <c r="AG491">
        <v>14</v>
      </c>
      <c r="AH491">
        <v>0</v>
      </c>
      <c r="AI491">
        <v>0</v>
      </c>
      <c r="AJ491">
        <v>1</v>
      </c>
      <c r="AK491">
        <v>5</v>
      </c>
      <c r="AL491">
        <v>1</v>
      </c>
      <c r="AM491">
        <v>5</v>
      </c>
      <c r="AN491">
        <v>3</v>
      </c>
      <c r="AO491">
        <v>21</v>
      </c>
      <c r="AP491">
        <v>3</v>
      </c>
      <c r="AQ491">
        <v>22</v>
      </c>
      <c r="AR491">
        <v>2.0172910662824211E-2</v>
      </c>
      <c r="AS491">
        <v>0</v>
      </c>
      <c r="AT491">
        <v>4.3227665706051882E-2</v>
      </c>
      <c r="AU491">
        <v>4.0345821325648408E-2</v>
      </c>
      <c r="AV491">
        <v>0</v>
      </c>
      <c r="AW491">
        <v>1.4409221902017291E-2</v>
      </c>
      <c r="AX491">
        <v>6.0518731988472622E-2</v>
      </c>
      <c r="AY491">
        <v>6.3400576368876083E-2</v>
      </c>
      <c r="AZ491">
        <v>4.6109510086455342E-2</v>
      </c>
      <c r="BA491">
        <v>0.5</v>
      </c>
      <c r="BB491">
        <v>0.84722222222222221</v>
      </c>
      <c r="BC491">
        <v>0.2</v>
      </c>
      <c r="BD491">
        <v>0.65381844380403453</v>
      </c>
      <c r="BE491">
        <v>4</v>
      </c>
      <c r="BF491">
        <v>0.55026016650656417</v>
      </c>
      <c r="BG491">
        <v>0.54</v>
      </c>
      <c r="BH491" t="s">
        <v>71</v>
      </c>
      <c r="BI491">
        <v>0.55000000000000004</v>
      </c>
      <c r="BJ491" t="s">
        <v>71</v>
      </c>
      <c r="BK491" s="2">
        <f t="shared" si="15"/>
        <v>-1.0000000000000009E-2</v>
      </c>
      <c r="BL491" t="b">
        <f t="shared" si="16"/>
        <v>1</v>
      </c>
    </row>
    <row r="492" spans="1:64" x14ac:dyDescent="0.35">
      <c r="A492" t="s">
        <v>1413</v>
      </c>
      <c r="B492" t="s">
        <v>1409</v>
      </c>
      <c r="C492">
        <v>2022</v>
      </c>
      <c r="D492" t="s">
        <v>1410</v>
      </c>
      <c r="E492" t="s">
        <v>1411</v>
      </c>
      <c r="F492" t="s">
        <v>66</v>
      </c>
      <c r="G492" t="s">
        <v>101</v>
      </c>
      <c r="H492" t="s">
        <v>170</v>
      </c>
      <c r="I492" t="s">
        <v>1412</v>
      </c>
      <c r="J492" t="s">
        <v>70</v>
      </c>
      <c r="L492">
        <v>1</v>
      </c>
      <c r="M492" t="b">
        <v>0</v>
      </c>
      <c r="N492">
        <v>3</v>
      </c>
      <c r="O492">
        <v>1</v>
      </c>
      <c r="P492">
        <v>1</v>
      </c>
      <c r="Q492">
        <v>1</v>
      </c>
      <c r="R492">
        <v>0</v>
      </c>
      <c r="S492">
        <v>4</v>
      </c>
      <c r="T492">
        <v>12</v>
      </c>
      <c r="U492">
        <v>119</v>
      </c>
      <c r="V492">
        <v>48</v>
      </c>
      <c r="W492">
        <v>11</v>
      </c>
      <c r="X492">
        <v>4.3636363636363633</v>
      </c>
      <c r="Y492">
        <v>1</v>
      </c>
      <c r="Z492">
        <v>4</v>
      </c>
      <c r="AA492">
        <v>0</v>
      </c>
      <c r="AB492">
        <v>0</v>
      </c>
      <c r="AC492">
        <v>4</v>
      </c>
      <c r="AD492">
        <v>4</v>
      </c>
      <c r="AE492">
        <v>64</v>
      </c>
      <c r="AF492">
        <v>2</v>
      </c>
      <c r="AG492">
        <v>4</v>
      </c>
      <c r="AH492">
        <v>0</v>
      </c>
      <c r="AI492">
        <v>0</v>
      </c>
      <c r="AJ492">
        <v>1</v>
      </c>
      <c r="AK492">
        <v>5</v>
      </c>
      <c r="AL492">
        <v>1</v>
      </c>
      <c r="AM492">
        <v>5</v>
      </c>
      <c r="AN492">
        <v>3</v>
      </c>
      <c r="AO492">
        <v>8</v>
      </c>
      <c r="AP492">
        <v>5</v>
      </c>
      <c r="AQ492">
        <v>68</v>
      </c>
      <c r="AR492">
        <v>3.3613445378151259E-2</v>
      </c>
      <c r="AS492">
        <v>0</v>
      </c>
      <c r="AT492">
        <v>0.53781512605042014</v>
      </c>
      <c r="AU492">
        <v>3.3613445378151259E-2</v>
      </c>
      <c r="AV492">
        <v>0</v>
      </c>
      <c r="AW492">
        <v>4.2016806722689079E-2</v>
      </c>
      <c r="AX492">
        <v>6.7226890756302518E-2</v>
      </c>
      <c r="AY492">
        <v>0.5714285714285714</v>
      </c>
      <c r="AZ492">
        <v>2.5210084033613439E-2</v>
      </c>
      <c r="BA492">
        <v>0.5</v>
      </c>
      <c r="BB492">
        <v>0.56060606060606055</v>
      </c>
      <c r="BC492">
        <v>0.33333333333333331</v>
      </c>
      <c r="BD492">
        <v>0.64075630252100835</v>
      </c>
      <c r="BE492">
        <v>4</v>
      </c>
      <c r="BF492">
        <v>0.5086739241151006</v>
      </c>
      <c r="BG492">
        <v>0.51</v>
      </c>
      <c r="BH492" t="s">
        <v>71</v>
      </c>
      <c r="BI492">
        <v>0.51</v>
      </c>
      <c r="BJ492" t="s">
        <v>71</v>
      </c>
      <c r="BK492" s="2">
        <f t="shared" si="15"/>
        <v>0</v>
      </c>
      <c r="BL492" t="b">
        <f t="shared" si="16"/>
        <v>1</v>
      </c>
    </row>
    <row r="493" spans="1:64" x14ac:dyDescent="0.35">
      <c r="A493" t="s">
        <v>1414</v>
      </c>
      <c r="B493" t="s">
        <v>1415</v>
      </c>
      <c r="C493">
        <v>2017</v>
      </c>
      <c r="D493" t="s">
        <v>1416</v>
      </c>
      <c r="E493" t="s">
        <v>1417</v>
      </c>
      <c r="F493" t="s">
        <v>66</v>
      </c>
      <c r="G493" t="s">
        <v>101</v>
      </c>
      <c r="H493" t="s">
        <v>170</v>
      </c>
      <c r="I493" t="s">
        <v>1418</v>
      </c>
      <c r="J493" t="s">
        <v>70</v>
      </c>
      <c r="L493">
        <v>1</v>
      </c>
      <c r="M493" t="b">
        <v>0</v>
      </c>
      <c r="N493">
        <v>1</v>
      </c>
      <c r="O493">
        <v>1</v>
      </c>
      <c r="P493">
        <v>4</v>
      </c>
      <c r="Q493">
        <v>5</v>
      </c>
      <c r="R493">
        <v>-1</v>
      </c>
      <c r="S493">
        <v>4</v>
      </c>
      <c r="T493">
        <v>25</v>
      </c>
      <c r="U493">
        <v>336</v>
      </c>
      <c r="V493">
        <v>75</v>
      </c>
      <c r="W493">
        <v>17</v>
      </c>
      <c r="X493">
        <v>4.4117647058823533</v>
      </c>
      <c r="Y493">
        <v>3</v>
      </c>
      <c r="Z493">
        <v>44</v>
      </c>
      <c r="AA493">
        <v>0</v>
      </c>
      <c r="AB493">
        <v>0</v>
      </c>
      <c r="AC493">
        <v>4</v>
      </c>
      <c r="AD493">
        <v>4</v>
      </c>
      <c r="AE493">
        <v>54</v>
      </c>
      <c r="AF493">
        <v>0</v>
      </c>
      <c r="AG493">
        <v>0</v>
      </c>
      <c r="AH493">
        <v>1</v>
      </c>
      <c r="AI493">
        <v>6</v>
      </c>
      <c r="AJ493">
        <v>1</v>
      </c>
      <c r="AK493">
        <v>7</v>
      </c>
      <c r="AL493">
        <v>2</v>
      </c>
      <c r="AM493">
        <v>13</v>
      </c>
      <c r="AN493">
        <v>3</v>
      </c>
      <c r="AO493">
        <v>44</v>
      </c>
      <c r="AP493">
        <v>7</v>
      </c>
      <c r="AQ493">
        <v>98</v>
      </c>
      <c r="AR493">
        <v>0.13095238095238099</v>
      </c>
      <c r="AS493">
        <v>0</v>
      </c>
      <c r="AT493">
        <v>0.1607142857142857</v>
      </c>
      <c r="AU493">
        <v>0</v>
      </c>
      <c r="AV493">
        <v>1.785714285714286E-2</v>
      </c>
      <c r="AW493">
        <v>3.8690476190476192E-2</v>
      </c>
      <c r="AX493">
        <v>0.13095238095238099</v>
      </c>
      <c r="AY493">
        <v>0.29166666666666669</v>
      </c>
      <c r="AZ493">
        <v>9.2261904761904767E-2</v>
      </c>
      <c r="BA493">
        <v>0.5</v>
      </c>
      <c r="BB493">
        <v>0.56862745098039225</v>
      </c>
      <c r="BC493">
        <v>0.46666666666666667</v>
      </c>
      <c r="BD493">
        <v>0.68266369047619035</v>
      </c>
      <c r="BE493">
        <v>4</v>
      </c>
      <c r="BF493">
        <v>0.55448945203081235</v>
      </c>
      <c r="BG493">
        <v>0.56000000000000005</v>
      </c>
      <c r="BH493" t="s">
        <v>71</v>
      </c>
      <c r="BI493">
        <v>0.55000000000000004</v>
      </c>
      <c r="BJ493" t="s">
        <v>71</v>
      </c>
      <c r="BK493" s="2">
        <f t="shared" si="15"/>
        <v>1.0000000000000009E-2</v>
      </c>
      <c r="BL493" t="b">
        <f t="shared" si="16"/>
        <v>1</v>
      </c>
    </row>
    <row r="494" spans="1:64" x14ac:dyDescent="0.35">
      <c r="A494" t="s">
        <v>1419</v>
      </c>
      <c r="B494" t="s">
        <v>1415</v>
      </c>
      <c r="C494">
        <v>2021</v>
      </c>
      <c r="D494" t="s">
        <v>1416</v>
      </c>
      <c r="E494" t="s">
        <v>1417</v>
      </c>
      <c r="F494" t="s">
        <v>66</v>
      </c>
      <c r="G494" t="s">
        <v>101</v>
      </c>
      <c r="H494" t="s">
        <v>170</v>
      </c>
      <c r="I494" t="s">
        <v>1418</v>
      </c>
      <c r="J494" t="s">
        <v>70</v>
      </c>
      <c r="L494">
        <v>1</v>
      </c>
      <c r="M494" t="b">
        <v>0</v>
      </c>
      <c r="N494">
        <v>4</v>
      </c>
      <c r="O494">
        <v>2</v>
      </c>
      <c r="P494">
        <v>3</v>
      </c>
      <c r="Q494">
        <v>2</v>
      </c>
      <c r="R494">
        <v>1</v>
      </c>
      <c r="S494">
        <v>3</v>
      </c>
      <c r="T494">
        <v>15</v>
      </c>
      <c r="U494">
        <v>243</v>
      </c>
      <c r="V494">
        <v>48</v>
      </c>
      <c r="W494">
        <v>11</v>
      </c>
      <c r="X494">
        <v>4.3636363636363633</v>
      </c>
      <c r="Y494">
        <v>1</v>
      </c>
      <c r="Z494">
        <v>22</v>
      </c>
      <c r="AA494">
        <v>0</v>
      </c>
      <c r="AB494">
        <v>0</v>
      </c>
      <c r="AC494">
        <v>1</v>
      </c>
      <c r="AD494">
        <v>1</v>
      </c>
      <c r="AE494">
        <v>2</v>
      </c>
      <c r="AF494">
        <v>1</v>
      </c>
      <c r="AG494">
        <v>1</v>
      </c>
      <c r="AH494">
        <v>2</v>
      </c>
      <c r="AI494">
        <v>180</v>
      </c>
      <c r="AJ494">
        <v>2</v>
      </c>
      <c r="AK494">
        <v>17</v>
      </c>
      <c r="AL494">
        <v>4</v>
      </c>
      <c r="AM494">
        <v>197</v>
      </c>
      <c r="AN494">
        <v>2</v>
      </c>
      <c r="AO494">
        <v>23</v>
      </c>
      <c r="AP494">
        <v>2</v>
      </c>
      <c r="AQ494">
        <v>24</v>
      </c>
      <c r="AR494">
        <v>9.0534979423868317E-2</v>
      </c>
      <c r="AS494">
        <v>0</v>
      </c>
      <c r="AT494">
        <v>8.23045267489712E-3</v>
      </c>
      <c r="AU494">
        <v>4.11522633744856E-3</v>
      </c>
      <c r="AV494">
        <v>0.7407407407407407</v>
      </c>
      <c r="AW494">
        <v>0.81069958847736623</v>
      </c>
      <c r="AX494">
        <v>9.4650205761316872E-2</v>
      </c>
      <c r="AY494">
        <v>9.8765432098765427E-2</v>
      </c>
      <c r="AZ494">
        <v>-0.71604938271604934</v>
      </c>
      <c r="BA494">
        <v>0.33333333333333331</v>
      </c>
      <c r="BB494">
        <v>0.56060606060606055</v>
      </c>
      <c r="BC494">
        <v>0.1333333333333333</v>
      </c>
      <c r="BD494">
        <v>0.17746913580246909</v>
      </c>
      <c r="BE494">
        <v>4</v>
      </c>
      <c r="BF494">
        <v>0.30118546576879912</v>
      </c>
      <c r="BG494">
        <v>0.41</v>
      </c>
      <c r="BH494" t="s">
        <v>71</v>
      </c>
      <c r="BI494">
        <v>0.3</v>
      </c>
      <c r="BJ494" t="s">
        <v>104</v>
      </c>
      <c r="BK494" s="2">
        <f t="shared" si="15"/>
        <v>0.10999999999999999</v>
      </c>
      <c r="BL494" t="b">
        <f t="shared" si="16"/>
        <v>0</v>
      </c>
    </row>
    <row r="495" spans="1:64" x14ac:dyDescent="0.35">
      <c r="A495" t="s">
        <v>1420</v>
      </c>
      <c r="B495" t="s">
        <v>1421</v>
      </c>
      <c r="C495">
        <v>2017</v>
      </c>
      <c r="D495" t="s">
        <v>1422</v>
      </c>
      <c r="E495" t="s">
        <v>1423</v>
      </c>
      <c r="F495" t="s">
        <v>66</v>
      </c>
      <c r="G495" t="s">
        <v>101</v>
      </c>
      <c r="H495" t="s">
        <v>170</v>
      </c>
      <c r="I495" t="s">
        <v>1424</v>
      </c>
      <c r="J495" t="s">
        <v>70</v>
      </c>
      <c r="L495">
        <v>1</v>
      </c>
      <c r="M495" t="b">
        <v>0</v>
      </c>
      <c r="N495">
        <v>1</v>
      </c>
      <c r="O495">
        <v>1</v>
      </c>
      <c r="P495">
        <v>8</v>
      </c>
      <c r="Q495">
        <v>2</v>
      </c>
      <c r="R495">
        <v>6</v>
      </c>
      <c r="S495">
        <v>5</v>
      </c>
      <c r="T495">
        <v>24</v>
      </c>
      <c r="U495">
        <v>313</v>
      </c>
      <c r="V495">
        <v>85</v>
      </c>
      <c r="W495">
        <v>16</v>
      </c>
      <c r="X495">
        <v>5.3125</v>
      </c>
      <c r="Y495">
        <v>3</v>
      </c>
      <c r="Z495">
        <v>36</v>
      </c>
      <c r="AA495">
        <v>0</v>
      </c>
      <c r="AB495">
        <v>0</v>
      </c>
      <c r="AC495">
        <v>2</v>
      </c>
      <c r="AD495">
        <v>2</v>
      </c>
      <c r="AE495">
        <v>25</v>
      </c>
      <c r="AF495">
        <v>0</v>
      </c>
      <c r="AG495">
        <v>0</v>
      </c>
      <c r="AH495">
        <v>2</v>
      </c>
      <c r="AI495">
        <v>10</v>
      </c>
      <c r="AJ495">
        <v>1</v>
      </c>
      <c r="AK495">
        <v>5</v>
      </c>
      <c r="AL495">
        <v>3</v>
      </c>
      <c r="AM495">
        <v>15</v>
      </c>
      <c r="AN495">
        <v>3</v>
      </c>
      <c r="AO495">
        <v>36</v>
      </c>
      <c r="AP495">
        <v>5</v>
      </c>
      <c r="AQ495">
        <v>61</v>
      </c>
      <c r="AR495">
        <v>0.11501597444089461</v>
      </c>
      <c r="AS495">
        <v>0</v>
      </c>
      <c r="AT495">
        <v>7.9872204472843447E-2</v>
      </c>
      <c r="AU495">
        <v>0</v>
      </c>
      <c r="AV495">
        <v>3.1948881789137379E-2</v>
      </c>
      <c r="AW495">
        <v>4.7923322683706068E-2</v>
      </c>
      <c r="AX495">
        <v>0.11501597444089461</v>
      </c>
      <c r="AY495">
        <v>0.194888178913738</v>
      </c>
      <c r="AZ495">
        <v>6.7092651757188496E-2</v>
      </c>
      <c r="BA495">
        <v>0.66666666666666663</v>
      </c>
      <c r="BB495">
        <v>0.71875</v>
      </c>
      <c r="BC495">
        <v>0.33333333333333331</v>
      </c>
      <c r="BD495">
        <v>0.66693290734824284</v>
      </c>
      <c r="BE495">
        <v>4</v>
      </c>
      <c r="BF495">
        <v>0.59642072683706071</v>
      </c>
      <c r="BG495">
        <v>0.6</v>
      </c>
      <c r="BH495" t="s">
        <v>86</v>
      </c>
      <c r="BI495">
        <v>0.6</v>
      </c>
      <c r="BJ495" t="s">
        <v>86</v>
      </c>
      <c r="BK495" s="2">
        <f t="shared" si="15"/>
        <v>0</v>
      </c>
      <c r="BL495" t="b">
        <f t="shared" si="16"/>
        <v>1</v>
      </c>
    </row>
    <row r="496" spans="1:64" x14ac:dyDescent="0.35">
      <c r="A496" t="s">
        <v>1425</v>
      </c>
      <c r="B496" t="s">
        <v>1421</v>
      </c>
      <c r="C496">
        <v>2021</v>
      </c>
      <c r="D496" t="s">
        <v>1422</v>
      </c>
      <c r="E496" t="s">
        <v>1423</v>
      </c>
      <c r="F496" t="s">
        <v>66</v>
      </c>
      <c r="G496" t="s">
        <v>101</v>
      </c>
      <c r="H496" t="s">
        <v>170</v>
      </c>
      <c r="I496" t="s">
        <v>1424</v>
      </c>
      <c r="J496" t="s">
        <v>70</v>
      </c>
      <c r="L496">
        <v>1</v>
      </c>
      <c r="M496" t="b">
        <v>0</v>
      </c>
      <c r="N496">
        <v>1</v>
      </c>
      <c r="O496">
        <v>2</v>
      </c>
      <c r="P496">
        <v>10</v>
      </c>
      <c r="Q496">
        <v>1</v>
      </c>
      <c r="R496">
        <v>9</v>
      </c>
      <c r="S496">
        <v>6</v>
      </c>
      <c r="T496">
        <v>33</v>
      </c>
      <c r="U496">
        <v>315</v>
      </c>
      <c r="V496">
        <v>147</v>
      </c>
      <c r="W496">
        <v>25</v>
      </c>
      <c r="X496">
        <v>5.88</v>
      </c>
      <c r="Y496">
        <v>6</v>
      </c>
      <c r="Z496">
        <v>57</v>
      </c>
      <c r="AA496">
        <v>1</v>
      </c>
      <c r="AB496">
        <v>6</v>
      </c>
      <c r="AC496">
        <v>3</v>
      </c>
      <c r="AD496">
        <v>3</v>
      </c>
      <c r="AE496">
        <v>87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3</v>
      </c>
      <c r="AL496">
        <v>1</v>
      </c>
      <c r="AM496">
        <v>3</v>
      </c>
      <c r="AN496">
        <v>7</v>
      </c>
      <c r="AO496">
        <v>63</v>
      </c>
      <c r="AP496">
        <v>10</v>
      </c>
      <c r="AQ496">
        <v>150</v>
      </c>
      <c r="AR496">
        <v>0.18095238095238089</v>
      </c>
      <c r="AS496">
        <v>1.9047619047619049E-2</v>
      </c>
      <c r="AT496">
        <v>0.27619047619047621</v>
      </c>
      <c r="AU496">
        <v>0</v>
      </c>
      <c r="AV496">
        <v>0</v>
      </c>
      <c r="AW496">
        <v>9.5238095238095247E-3</v>
      </c>
      <c r="AX496">
        <v>0.2</v>
      </c>
      <c r="AY496">
        <v>0.47619047619047622</v>
      </c>
      <c r="AZ496">
        <v>0.19047619047619049</v>
      </c>
      <c r="BA496">
        <v>0.83333333333333337</v>
      </c>
      <c r="BB496">
        <v>0.81333333333333335</v>
      </c>
      <c r="BC496">
        <v>0.66666666666666663</v>
      </c>
      <c r="BD496">
        <v>0.74404761904761896</v>
      </c>
      <c r="BE496">
        <v>4</v>
      </c>
      <c r="BF496">
        <v>0.76434523809523802</v>
      </c>
      <c r="BG496">
        <v>0.76</v>
      </c>
      <c r="BH496" t="s">
        <v>86</v>
      </c>
      <c r="BI496">
        <v>0.76</v>
      </c>
      <c r="BJ496" t="s">
        <v>86</v>
      </c>
      <c r="BK496" s="2">
        <f t="shared" si="15"/>
        <v>0</v>
      </c>
      <c r="BL496" t="b">
        <f t="shared" si="16"/>
        <v>1</v>
      </c>
    </row>
    <row r="497" spans="1:64" x14ac:dyDescent="0.35">
      <c r="A497" t="s">
        <v>1426</v>
      </c>
      <c r="B497" t="s">
        <v>1427</v>
      </c>
      <c r="C497">
        <v>2017</v>
      </c>
      <c r="D497" t="s">
        <v>1428</v>
      </c>
      <c r="E497" t="s">
        <v>1429</v>
      </c>
      <c r="F497" t="s">
        <v>66</v>
      </c>
      <c r="G497" t="s">
        <v>101</v>
      </c>
      <c r="H497" t="s">
        <v>170</v>
      </c>
      <c r="I497" t="s">
        <v>1430</v>
      </c>
      <c r="J497" t="s">
        <v>70</v>
      </c>
      <c r="L497">
        <v>1</v>
      </c>
      <c r="M497" t="b">
        <v>0</v>
      </c>
      <c r="N497">
        <v>3</v>
      </c>
      <c r="O497">
        <v>1</v>
      </c>
      <c r="P497">
        <v>1</v>
      </c>
      <c r="Q497">
        <v>2</v>
      </c>
      <c r="R497">
        <v>-1</v>
      </c>
      <c r="S497">
        <v>4</v>
      </c>
      <c r="T497">
        <v>11</v>
      </c>
      <c r="U497">
        <v>361</v>
      </c>
      <c r="V497">
        <v>37</v>
      </c>
      <c r="W497">
        <v>8</v>
      </c>
      <c r="X497">
        <v>4.625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  <c r="AE497">
        <v>65</v>
      </c>
      <c r="AF497">
        <v>0</v>
      </c>
      <c r="AG497">
        <v>0</v>
      </c>
      <c r="AH497">
        <v>2</v>
      </c>
      <c r="AI497">
        <v>2</v>
      </c>
      <c r="AJ497">
        <v>0</v>
      </c>
      <c r="AK497">
        <v>0</v>
      </c>
      <c r="AL497">
        <v>2</v>
      </c>
      <c r="AM497">
        <v>2</v>
      </c>
      <c r="AN497">
        <v>0</v>
      </c>
      <c r="AO497">
        <v>0</v>
      </c>
      <c r="AP497">
        <v>1</v>
      </c>
      <c r="AQ497">
        <v>65</v>
      </c>
      <c r="AR497">
        <v>0</v>
      </c>
      <c r="AS497">
        <v>0</v>
      </c>
      <c r="AT497">
        <v>0.18005540166204989</v>
      </c>
      <c r="AU497">
        <v>0</v>
      </c>
      <c r="AV497">
        <v>5.5401662049861496E-3</v>
      </c>
      <c r="AW497">
        <v>5.5401662049861496E-3</v>
      </c>
      <c r="AX497">
        <v>0</v>
      </c>
      <c r="AY497">
        <v>0.18005540166204989</v>
      </c>
      <c r="AZ497">
        <v>-5.5401662049861496E-3</v>
      </c>
      <c r="BA497">
        <v>0.5</v>
      </c>
      <c r="BB497">
        <v>0.60416666666666663</v>
      </c>
      <c r="BC497">
        <v>6.6666666666666666E-2</v>
      </c>
      <c r="BD497">
        <v>0.62153739612188363</v>
      </c>
      <c r="BE497">
        <v>4</v>
      </c>
      <c r="BF497">
        <v>0.44809268236380417</v>
      </c>
      <c r="BG497">
        <v>0.45</v>
      </c>
      <c r="BH497" t="s">
        <v>71</v>
      </c>
      <c r="BI497">
        <v>0.45</v>
      </c>
      <c r="BJ497" t="s">
        <v>71</v>
      </c>
      <c r="BK497" s="2">
        <f t="shared" si="15"/>
        <v>0</v>
      </c>
      <c r="BL497" t="b">
        <f t="shared" si="16"/>
        <v>1</v>
      </c>
    </row>
    <row r="498" spans="1:64" x14ac:dyDescent="0.35">
      <c r="A498" t="s">
        <v>1431</v>
      </c>
      <c r="B498" t="s">
        <v>1427</v>
      </c>
      <c r="C498">
        <v>2020</v>
      </c>
      <c r="D498" t="s">
        <v>1428</v>
      </c>
      <c r="E498" t="s">
        <v>1429</v>
      </c>
      <c r="F498" t="s">
        <v>66</v>
      </c>
      <c r="G498" t="s">
        <v>101</v>
      </c>
      <c r="H498" t="s">
        <v>170</v>
      </c>
      <c r="I498" t="s">
        <v>1430</v>
      </c>
      <c r="J498" t="s">
        <v>70</v>
      </c>
      <c r="L498">
        <v>1</v>
      </c>
      <c r="M498" t="b">
        <v>0</v>
      </c>
      <c r="N498">
        <v>1</v>
      </c>
      <c r="O498">
        <v>1</v>
      </c>
      <c r="P498">
        <v>3</v>
      </c>
      <c r="Q498">
        <v>4</v>
      </c>
      <c r="R498">
        <v>-1</v>
      </c>
      <c r="S498">
        <v>4</v>
      </c>
      <c r="T498">
        <v>15</v>
      </c>
      <c r="U498">
        <v>200</v>
      </c>
      <c r="V498">
        <v>63</v>
      </c>
      <c r="W498">
        <v>13</v>
      </c>
      <c r="X498">
        <v>4.8461538461538458</v>
      </c>
      <c r="Y498">
        <v>2</v>
      </c>
      <c r="Z498">
        <v>74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2</v>
      </c>
      <c r="AH498">
        <v>2</v>
      </c>
      <c r="AI498">
        <v>18</v>
      </c>
      <c r="AJ498">
        <v>2</v>
      </c>
      <c r="AK498">
        <v>11</v>
      </c>
      <c r="AL498">
        <v>4</v>
      </c>
      <c r="AM498">
        <v>29</v>
      </c>
      <c r="AN498">
        <v>3</v>
      </c>
      <c r="AO498">
        <v>76</v>
      </c>
      <c r="AP498">
        <v>2</v>
      </c>
      <c r="AQ498">
        <v>74</v>
      </c>
      <c r="AR498">
        <v>0.37</v>
      </c>
      <c r="AS498">
        <v>0</v>
      </c>
      <c r="AT498">
        <v>0</v>
      </c>
      <c r="AU498">
        <v>0.01</v>
      </c>
      <c r="AV498">
        <v>0.09</v>
      </c>
      <c r="AW498">
        <v>0.14499999999999999</v>
      </c>
      <c r="AX498">
        <v>0.38</v>
      </c>
      <c r="AY498">
        <v>0.37</v>
      </c>
      <c r="AZ498">
        <v>0.23499999999999999</v>
      </c>
      <c r="BA498">
        <v>0.5</v>
      </c>
      <c r="BB498">
        <v>0.64102564102564097</v>
      </c>
      <c r="BC498">
        <v>0.1333333333333333</v>
      </c>
      <c r="BD498">
        <v>0.77187499999999987</v>
      </c>
      <c r="BE498">
        <v>4</v>
      </c>
      <c r="BF498">
        <v>0.51155849358974359</v>
      </c>
      <c r="BG498">
        <v>0.53</v>
      </c>
      <c r="BH498" t="s">
        <v>71</v>
      </c>
      <c r="BI498">
        <v>0.51</v>
      </c>
      <c r="BJ498" t="s">
        <v>71</v>
      </c>
      <c r="BK498" s="2">
        <f t="shared" si="15"/>
        <v>2.0000000000000018E-2</v>
      </c>
      <c r="BL498" t="b">
        <f t="shared" si="16"/>
        <v>1</v>
      </c>
    </row>
    <row r="499" spans="1:64" x14ac:dyDescent="0.35">
      <c r="A499" t="s">
        <v>1432</v>
      </c>
      <c r="B499" t="s">
        <v>1433</v>
      </c>
      <c r="C499">
        <v>2017</v>
      </c>
      <c r="D499" t="s">
        <v>1434</v>
      </c>
      <c r="E499" t="s">
        <v>1435</v>
      </c>
      <c r="F499" t="s">
        <v>66</v>
      </c>
      <c r="G499" t="s">
        <v>101</v>
      </c>
      <c r="H499" t="s">
        <v>195</v>
      </c>
      <c r="I499" t="s">
        <v>1436</v>
      </c>
      <c r="J499" t="s">
        <v>70</v>
      </c>
      <c r="L499">
        <v>1</v>
      </c>
      <c r="M499" t="b">
        <v>0</v>
      </c>
      <c r="N499">
        <v>1</v>
      </c>
      <c r="O499">
        <v>1</v>
      </c>
      <c r="P499">
        <v>6</v>
      </c>
      <c r="Q499">
        <v>5</v>
      </c>
      <c r="R499">
        <v>1</v>
      </c>
      <c r="S499">
        <v>4</v>
      </c>
      <c r="T499">
        <v>24</v>
      </c>
      <c r="U499">
        <v>438</v>
      </c>
      <c r="V499">
        <v>100</v>
      </c>
      <c r="W499">
        <v>19</v>
      </c>
      <c r="X499">
        <v>5.2631578947368416</v>
      </c>
      <c r="Y499">
        <v>3</v>
      </c>
      <c r="Z499">
        <v>13</v>
      </c>
      <c r="AA499">
        <v>0</v>
      </c>
      <c r="AB499">
        <v>0</v>
      </c>
      <c r="AC499">
        <v>5</v>
      </c>
      <c r="AD499">
        <v>5</v>
      </c>
      <c r="AE499">
        <v>84</v>
      </c>
      <c r="AF499">
        <v>0</v>
      </c>
      <c r="AG499">
        <v>0</v>
      </c>
      <c r="AH499">
        <v>1</v>
      </c>
      <c r="AI499">
        <v>23</v>
      </c>
      <c r="AJ499">
        <v>4</v>
      </c>
      <c r="AK499">
        <v>12</v>
      </c>
      <c r="AL499">
        <v>5</v>
      </c>
      <c r="AM499">
        <v>35</v>
      </c>
      <c r="AN499">
        <v>3</v>
      </c>
      <c r="AO499">
        <v>13</v>
      </c>
      <c r="AP499">
        <v>8</v>
      </c>
      <c r="AQ499">
        <v>97</v>
      </c>
      <c r="AR499">
        <v>2.9680365296803651E-2</v>
      </c>
      <c r="AS499">
        <v>0</v>
      </c>
      <c r="AT499">
        <v>0.19178082191780821</v>
      </c>
      <c r="AU499">
        <v>0</v>
      </c>
      <c r="AV499">
        <v>5.2511415525114152E-2</v>
      </c>
      <c r="AW499">
        <v>7.9908675799086754E-2</v>
      </c>
      <c r="AX499">
        <v>2.9680365296803651E-2</v>
      </c>
      <c r="AY499">
        <v>0.22146118721461189</v>
      </c>
      <c r="AZ499">
        <v>-5.0228310502283102E-2</v>
      </c>
      <c r="BA499">
        <v>0.5</v>
      </c>
      <c r="BB499">
        <v>0.71052631578947356</v>
      </c>
      <c r="BC499">
        <v>0.53333333333333333</v>
      </c>
      <c r="BD499">
        <v>0.59360730593607303</v>
      </c>
      <c r="BE499">
        <v>4</v>
      </c>
      <c r="BF499">
        <v>0.58436673876472001</v>
      </c>
      <c r="BG499">
        <v>0.59</v>
      </c>
      <c r="BH499" t="s">
        <v>71</v>
      </c>
      <c r="BI499">
        <v>0.57999999999999996</v>
      </c>
      <c r="BJ499" t="s">
        <v>71</v>
      </c>
      <c r="BK499" s="2">
        <f t="shared" si="15"/>
        <v>1.0000000000000009E-2</v>
      </c>
      <c r="BL499" t="b">
        <f t="shared" si="16"/>
        <v>1</v>
      </c>
    </row>
    <row r="500" spans="1:64" x14ac:dyDescent="0.35">
      <c r="A500" t="s">
        <v>1437</v>
      </c>
      <c r="B500" t="s">
        <v>1433</v>
      </c>
      <c r="C500">
        <v>2022</v>
      </c>
      <c r="D500" t="s">
        <v>1434</v>
      </c>
      <c r="E500" t="s">
        <v>1435</v>
      </c>
      <c r="F500" t="s">
        <v>66</v>
      </c>
      <c r="G500" t="s">
        <v>101</v>
      </c>
      <c r="H500" t="s">
        <v>195</v>
      </c>
      <c r="I500" t="s">
        <v>1436</v>
      </c>
      <c r="J500" t="s">
        <v>70</v>
      </c>
      <c r="L500">
        <v>1</v>
      </c>
      <c r="M500" t="b">
        <v>0</v>
      </c>
      <c r="N500">
        <v>1</v>
      </c>
      <c r="O500">
        <v>1</v>
      </c>
      <c r="P500">
        <v>7</v>
      </c>
      <c r="Q500">
        <v>2</v>
      </c>
      <c r="R500">
        <v>5</v>
      </c>
      <c r="S500">
        <v>5</v>
      </c>
      <c r="T500">
        <v>26</v>
      </c>
      <c r="U500">
        <v>890</v>
      </c>
      <c r="V500">
        <v>109</v>
      </c>
      <c r="W500">
        <v>20</v>
      </c>
      <c r="X500">
        <v>5.45</v>
      </c>
      <c r="Y500">
        <v>4</v>
      </c>
      <c r="Z500">
        <v>208</v>
      </c>
      <c r="AA500">
        <v>0</v>
      </c>
      <c r="AB500">
        <v>0</v>
      </c>
      <c r="AC500">
        <v>4</v>
      </c>
      <c r="AD500">
        <v>4</v>
      </c>
      <c r="AE500">
        <v>82</v>
      </c>
      <c r="AF500">
        <v>0</v>
      </c>
      <c r="AG500">
        <v>0</v>
      </c>
      <c r="AH500">
        <v>2</v>
      </c>
      <c r="AI500">
        <v>364</v>
      </c>
      <c r="AJ500">
        <v>0</v>
      </c>
      <c r="AK500">
        <v>0</v>
      </c>
      <c r="AL500">
        <v>2</v>
      </c>
      <c r="AM500">
        <v>364</v>
      </c>
      <c r="AN500">
        <v>4</v>
      </c>
      <c r="AO500">
        <v>208</v>
      </c>
      <c r="AP500">
        <v>8</v>
      </c>
      <c r="AQ500">
        <v>290</v>
      </c>
      <c r="AR500">
        <v>0.23370786516853931</v>
      </c>
      <c r="AS500">
        <v>0</v>
      </c>
      <c r="AT500">
        <v>9.2134831460674152E-2</v>
      </c>
      <c r="AU500">
        <v>0</v>
      </c>
      <c r="AV500">
        <v>0.40898876404494378</v>
      </c>
      <c r="AW500">
        <v>0.40898876404494378</v>
      </c>
      <c r="AX500">
        <v>0.23370786516853931</v>
      </c>
      <c r="AY500">
        <v>0.3258426966292135</v>
      </c>
      <c r="AZ500">
        <v>-0.1752808988764045</v>
      </c>
      <c r="BA500">
        <v>0.66666666666666663</v>
      </c>
      <c r="BB500">
        <v>0.7416666666666667</v>
      </c>
      <c r="BC500">
        <v>0.53333333333333333</v>
      </c>
      <c r="BD500">
        <v>0.51544943820224709</v>
      </c>
      <c r="BE500">
        <v>4</v>
      </c>
      <c r="BF500">
        <v>0.61427902621722841</v>
      </c>
      <c r="BG500">
        <v>0.69</v>
      </c>
      <c r="BH500" t="s">
        <v>86</v>
      </c>
      <c r="BI500">
        <v>0.61</v>
      </c>
      <c r="BJ500" t="s">
        <v>86</v>
      </c>
      <c r="BK500" s="2">
        <f t="shared" si="15"/>
        <v>7.999999999999996E-2</v>
      </c>
      <c r="BL500" t="b">
        <f t="shared" si="16"/>
        <v>1</v>
      </c>
    </row>
    <row r="501" spans="1:64" x14ac:dyDescent="0.35">
      <c r="A501" t="s">
        <v>1438</v>
      </c>
      <c r="B501" t="s">
        <v>1439</v>
      </c>
      <c r="C501">
        <v>2019</v>
      </c>
      <c r="D501" t="s">
        <v>1440</v>
      </c>
      <c r="E501" t="s">
        <v>1441</v>
      </c>
      <c r="F501" t="s">
        <v>66</v>
      </c>
      <c r="G501" t="s">
        <v>101</v>
      </c>
      <c r="H501" t="s">
        <v>195</v>
      </c>
      <c r="I501" t="s">
        <v>1442</v>
      </c>
      <c r="J501" t="s">
        <v>70</v>
      </c>
      <c r="L501">
        <v>1</v>
      </c>
      <c r="M501" t="b">
        <v>0</v>
      </c>
      <c r="N501">
        <v>4</v>
      </c>
      <c r="O501">
        <v>2</v>
      </c>
      <c r="P501">
        <v>1</v>
      </c>
      <c r="Q501">
        <v>3</v>
      </c>
      <c r="R501">
        <v>-2</v>
      </c>
      <c r="S501">
        <v>3</v>
      </c>
      <c r="T501">
        <v>8</v>
      </c>
      <c r="U501">
        <v>11</v>
      </c>
      <c r="V501">
        <v>22</v>
      </c>
      <c r="W501">
        <v>6</v>
      </c>
      <c r="X501">
        <v>3.666666666666667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2</v>
      </c>
      <c r="AI501">
        <v>2</v>
      </c>
      <c r="AJ501">
        <v>0</v>
      </c>
      <c r="AK501">
        <v>0</v>
      </c>
      <c r="AL501">
        <v>2</v>
      </c>
      <c r="AM501">
        <v>2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0.1818181818181818</v>
      </c>
      <c r="AW501">
        <v>0.1818181818181818</v>
      </c>
      <c r="AX501">
        <v>0</v>
      </c>
      <c r="AY501">
        <v>0</v>
      </c>
      <c r="AZ501">
        <v>-0.1818181818181818</v>
      </c>
      <c r="BA501">
        <v>0.33333333333333331</v>
      </c>
      <c r="BB501">
        <v>0.44444444444444448</v>
      </c>
      <c r="BC501">
        <v>0</v>
      </c>
      <c r="BD501">
        <v>0.51136363636363635</v>
      </c>
      <c r="BE501">
        <v>4</v>
      </c>
      <c r="BF501">
        <v>0.32228535353535348</v>
      </c>
      <c r="BG501">
        <v>0.35</v>
      </c>
      <c r="BH501" t="s">
        <v>104</v>
      </c>
      <c r="BI501">
        <v>0.32</v>
      </c>
      <c r="BJ501" t="s">
        <v>104</v>
      </c>
      <c r="BK501" s="2">
        <f t="shared" si="15"/>
        <v>2.9999999999999971E-2</v>
      </c>
      <c r="BL501" t="b">
        <f t="shared" si="16"/>
        <v>1</v>
      </c>
    </row>
    <row r="502" spans="1:64" x14ac:dyDescent="0.35">
      <c r="A502" t="s">
        <v>1443</v>
      </c>
      <c r="B502" t="s">
        <v>1444</v>
      </c>
      <c r="C502">
        <v>2017</v>
      </c>
      <c r="D502" t="s">
        <v>1445</v>
      </c>
      <c r="E502" t="s">
        <v>1446</v>
      </c>
      <c r="F502" t="s">
        <v>66</v>
      </c>
      <c r="G502" t="s">
        <v>101</v>
      </c>
      <c r="H502" t="s">
        <v>102</v>
      </c>
      <c r="I502" t="s">
        <v>1447</v>
      </c>
      <c r="J502" t="s">
        <v>70</v>
      </c>
      <c r="L502">
        <v>1</v>
      </c>
      <c r="M502" t="b">
        <v>0</v>
      </c>
      <c r="N502">
        <v>3</v>
      </c>
      <c r="O502">
        <v>2</v>
      </c>
      <c r="P502">
        <v>3</v>
      </c>
      <c r="Q502">
        <v>7</v>
      </c>
      <c r="R502">
        <v>-4</v>
      </c>
      <c r="S502">
        <v>3</v>
      </c>
      <c r="T502">
        <v>24</v>
      </c>
      <c r="U502">
        <v>1505</v>
      </c>
      <c r="V502">
        <v>100</v>
      </c>
      <c r="W502">
        <v>20</v>
      </c>
      <c r="X502">
        <v>5</v>
      </c>
      <c r="Y502">
        <v>1</v>
      </c>
      <c r="Z502">
        <v>49</v>
      </c>
      <c r="AA502">
        <v>0</v>
      </c>
      <c r="AB502">
        <v>0</v>
      </c>
      <c r="AC502">
        <v>1</v>
      </c>
      <c r="AD502">
        <v>1</v>
      </c>
      <c r="AE502">
        <v>193</v>
      </c>
      <c r="AF502">
        <v>1</v>
      </c>
      <c r="AG502">
        <v>1</v>
      </c>
      <c r="AH502">
        <v>3</v>
      </c>
      <c r="AI502">
        <v>255</v>
      </c>
      <c r="AJ502">
        <v>2</v>
      </c>
      <c r="AK502">
        <v>52</v>
      </c>
      <c r="AL502">
        <v>5</v>
      </c>
      <c r="AM502">
        <v>307</v>
      </c>
      <c r="AN502">
        <v>2</v>
      </c>
      <c r="AO502">
        <v>50</v>
      </c>
      <c r="AP502">
        <v>2</v>
      </c>
      <c r="AQ502">
        <v>242</v>
      </c>
      <c r="AR502">
        <v>3.255813953488372E-2</v>
      </c>
      <c r="AS502">
        <v>0</v>
      </c>
      <c r="AT502">
        <v>0.12823920265780731</v>
      </c>
      <c r="AU502">
        <v>6.6445182724252495E-4</v>
      </c>
      <c r="AV502">
        <v>0.16943521594684391</v>
      </c>
      <c r="AW502">
        <v>0.20398671096345511</v>
      </c>
      <c r="AX502">
        <v>3.3222591362126248E-2</v>
      </c>
      <c r="AY502">
        <v>0.16079734219269101</v>
      </c>
      <c r="AZ502">
        <v>-0.1707641196013289</v>
      </c>
      <c r="BA502">
        <v>0.33333333333333331</v>
      </c>
      <c r="BB502">
        <v>0.66666666666666663</v>
      </c>
      <c r="BC502">
        <v>0.1333333333333333</v>
      </c>
      <c r="BD502">
        <v>0.51827242524916939</v>
      </c>
      <c r="BE502">
        <v>4</v>
      </c>
      <c r="BF502">
        <v>0.41290143964562559</v>
      </c>
      <c r="BG502">
        <v>0.44</v>
      </c>
      <c r="BH502" t="s">
        <v>71</v>
      </c>
      <c r="BI502">
        <v>0.41</v>
      </c>
      <c r="BJ502" t="s">
        <v>71</v>
      </c>
      <c r="BK502" s="2">
        <f t="shared" si="15"/>
        <v>3.0000000000000027E-2</v>
      </c>
      <c r="BL502" t="b">
        <f t="shared" si="16"/>
        <v>1</v>
      </c>
    </row>
    <row r="503" spans="1:64" x14ac:dyDescent="0.35">
      <c r="A503" t="s">
        <v>1448</v>
      </c>
      <c r="B503" t="s">
        <v>1444</v>
      </c>
      <c r="C503">
        <v>2022</v>
      </c>
      <c r="D503" t="s">
        <v>1445</v>
      </c>
      <c r="E503" t="s">
        <v>1446</v>
      </c>
      <c r="F503" t="s">
        <v>66</v>
      </c>
      <c r="G503" t="s">
        <v>101</v>
      </c>
      <c r="H503" t="s">
        <v>102</v>
      </c>
      <c r="I503" t="s">
        <v>1447</v>
      </c>
      <c r="J503" t="s">
        <v>70</v>
      </c>
      <c r="L503">
        <v>1</v>
      </c>
      <c r="M503" t="b">
        <v>0</v>
      </c>
      <c r="N503">
        <v>1</v>
      </c>
      <c r="O503">
        <v>2</v>
      </c>
      <c r="P503">
        <v>6</v>
      </c>
      <c r="Q503">
        <v>4</v>
      </c>
      <c r="R503">
        <v>2</v>
      </c>
      <c r="S503">
        <v>5</v>
      </c>
      <c r="T503">
        <v>30</v>
      </c>
      <c r="U503">
        <v>725</v>
      </c>
      <c r="V503">
        <v>119</v>
      </c>
      <c r="W503">
        <v>25</v>
      </c>
      <c r="X503">
        <v>4.76</v>
      </c>
      <c r="Y503">
        <v>3</v>
      </c>
      <c r="Z503">
        <v>39</v>
      </c>
      <c r="AA503">
        <v>0</v>
      </c>
      <c r="AB503">
        <v>0</v>
      </c>
      <c r="AC503">
        <v>2</v>
      </c>
      <c r="AD503">
        <v>2</v>
      </c>
      <c r="AE503">
        <v>134</v>
      </c>
      <c r="AF503">
        <v>1</v>
      </c>
      <c r="AG503">
        <v>3</v>
      </c>
      <c r="AH503">
        <v>3</v>
      </c>
      <c r="AI503">
        <v>308</v>
      </c>
      <c r="AJ503">
        <v>2</v>
      </c>
      <c r="AK503">
        <v>7</v>
      </c>
      <c r="AL503">
        <v>6</v>
      </c>
      <c r="AM503">
        <v>327</v>
      </c>
      <c r="AN503">
        <v>4</v>
      </c>
      <c r="AO503">
        <v>42</v>
      </c>
      <c r="AP503">
        <v>5</v>
      </c>
      <c r="AQ503">
        <v>173</v>
      </c>
      <c r="AR503">
        <v>5.3793103448275863E-2</v>
      </c>
      <c r="AS503">
        <v>0</v>
      </c>
      <c r="AT503">
        <v>0.18482758620689649</v>
      </c>
      <c r="AU503">
        <v>4.1379310344827587E-3</v>
      </c>
      <c r="AV503">
        <v>0.42482758620689648</v>
      </c>
      <c r="AW503">
        <v>0.45103448275862068</v>
      </c>
      <c r="AX503">
        <v>5.7931034482758617E-2</v>
      </c>
      <c r="AY503">
        <v>0.23862068965517241</v>
      </c>
      <c r="AZ503">
        <v>-0.39310344827586208</v>
      </c>
      <c r="BA503">
        <v>0.66666666666666663</v>
      </c>
      <c r="BB503">
        <v>0.62666666666666659</v>
      </c>
      <c r="BC503">
        <v>0.33333333333333331</v>
      </c>
      <c r="BD503">
        <v>0.37931034482758619</v>
      </c>
      <c r="BE503">
        <v>4</v>
      </c>
      <c r="BF503">
        <v>0.5014942528735632</v>
      </c>
      <c r="BG503">
        <v>0.56999999999999995</v>
      </c>
      <c r="BH503" t="s">
        <v>71</v>
      </c>
      <c r="BI503">
        <v>0.5</v>
      </c>
      <c r="BJ503" t="s">
        <v>71</v>
      </c>
      <c r="BK503" s="2">
        <f t="shared" si="15"/>
        <v>6.9999999999999951E-2</v>
      </c>
      <c r="BL503" t="b">
        <f t="shared" si="16"/>
        <v>1</v>
      </c>
    </row>
    <row r="504" spans="1:64" x14ac:dyDescent="0.35">
      <c r="A504" t="s">
        <v>1449</v>
      </c>
      <c r="B504" t="s">
        <v>1450</v>
      </c>
      <c r="C504">
        <v>2020</v>
      </c>
      <c r="D504" t="s">
        <v>1451</v>
      </c>
      <c r="E504" t="s">
        <v>1452</v>
      </c>
      <c r="F504" t="s">
        <v>66</v>
      </c>
      <c r="G504" t="s">
        <v>101</v>
      </c>
      <c r="H504" t="s">
        <v>102</v>
      </c>
      <c r="I504" t="s">
        <v>1453</v>
      </c>
      <c r="J504" t="s">
        <v>70</v>
      </c>
      <c r="L504">
        <v>2</v>
      </c>
      <c r="M504" t="b">
        <v>0</v>
      </c>
      <c r="N504">
        <v>1</v>
      </c>
      <c r="O504">
        <v>2</v>
      </c>
      <c r="P504">
        <v>7</v>
      </c>
      <c r="Q504">
        <v>5</v>
      </c>
      <c r="R504">
        <v>2</v>
      </c>
      <c r="S504">
        <v>5</v>
      </c>
      <c r="T504">
        <v>31</v>
      </c>
      <c r="U504">
        <v>1643</v>
      </c>
      <c r="V504">
        <v>133</v>
      </c>
      <c r="W504">
        <v>26</v>
      </c>
      <c r="X504">
        <v>5.115384615384615</v>
      </c>
      <c r="Y504">
        <v>4</v>
      </c>
      <c r="Z504">
        <v>366</v>
      </c>
      <c r="AA504">
        <v>1</v>
      </c>
      <c r="AB504">
        <v>15</v>
      </c>
      <c r="AC504">
        <v>4</v>
      </c>
      <c r="AD504">
        <v>3</v>
      </c>
      <c r="AE504">
        <v>328</v>
      </c>
      <c r="AF504">
        <v>0</v>
      </c>
      <c r="AG504">
        <v>0</v>
      </c>
      <c r="AH504">
        <v>1</v>
      </c>
      <c r="AI504">
        <v>1</v>
      </c>
      <c r="AJ504">
        <v>2</v>
      </c>
      <c r="AK504">
        <v>5</v>
      </c>
      <c r="AL504">
        <v>3</v>
      </c>
      <c r="AM504">
        <v>6</v>
      </c>
      <c r="AN504">
        <v>5</v>
      </c>
      <c r="AO504">
        <v>381</v>
      </c>
      <c r="AP504">
        <v>8</v>
      </c>
      <c r="AQ504">
        <v>709</v>
      </c>
      <c r="AR504">
        <v>0.22276323797930611</v>
      </c>
      <c r="AS504">
        <v>9.1296409007912364E-3</v>
      </c>
      <c r="AT504">
        <v>0.19963481436396829</v>
      </c>
      <c r="AU504">
        <v>0</v>
      </c>
      <c r="AV504">
        <v>6.0864272671941571E-4</v>
      </c>
      <c r="AW504">
        <v>3.6518563603164939E-3</v>
      </c>
      <c r="AX504">
        <v>0.23189287888009741</v>
      </c>
      <c r="AY504">
        <v>0.43152769324406581</v>
      </c>
      <c r="AZ504">
        <v>0.2282410225197809</v>
      </c>
      <c r="BA504">
        <v>0.66666666666666663</v>
      </c>
      <c r="BB504">
        <v>0.68589743589743579</v>
      </c>
      <c r="BC504">
        <v>0.53333333333333333</v>
      </c>
      <c r="BD504">
        <v>0.76765063907486297</v>
      </c>
      <c r="BE504">
        <v>4</v>
      </c>
      <c r="BF504">
        <v>0.66338701874307471</v>
      </c>
      <c r="BG504">
        <v>0.66</v>
      </c>
      <c r="BH504" t="s">
        <v>86</v>
      </c>
      <c r="BI504">
        <v>0.66</v>
      </c>
      <c r="BJ504" t="s">
        <v>86</v>
      </c>
      <c r="BK504" s="2">
        <f t="shared" si="15"/>
        <v>0</v>
      </c>
      <c r="BL504" t="b">
        <f t="shared" si="16"/>
        <v>1</v>
      </c>
    </row>
    <row r="505" spans="1:64" x14ac:dyDescent="0.35">
      <c r="A505" t="s">
        <v>1454</v>
      </c>
      <c r="B505" t="s">
        <v>1455</v>
      </c>
      <c r="C505">
        <v>2020</v>
      </c>
      <c r="D505" t="s">
        <v>1456</v>
      </c>
      <c r="E505" t="s">
        <v>1457</v>
      </c>
      <c r="F505" t="s">
        <v>66</v>
      </c>
      <c r="G505" t="s">
        <v>101</v>
      </c>
      <c r="H505" t="s">
        <v>102</v>
      </c>
      <c r="I505" t="s">
        <v>1458</v>
      </c>
      <c r="J505" t="s">
        <v>70</v>
      </c>
      <c r="L505">
        <v>1</v>
      </c>
      <c r="M505" t="b">
        <v>0</v>
      </c>
      <c r="N505">
        <v>1</v>
      </c>
      <c r="O505">
        <v>1</v>
      </c>
      <c r="P505">
        <v>10</v>
      </c>
      <c r="Q505">
        <v>6</v>
      </c>
      <c r="R505">
        <v>4</v>
      </c>
      <c r="S505">
        <v>5</v>
      </c>
      <c r="T505">
        <v>38</v>
      </c>
      <c r="U505">
        <v>800</v>
      </c>
      <c r="V505">
        <v>146</v>
      </c>
      <c r="W505">
        <v>26</v>
      </c>
      <c r="X505">
        <v>5.615384615384615</v>
      </c>
      <c r="Y505">
        <v>6</v>
      </c>
      <c r="Z505">
        <v>112</v>
      </c>
      <c r="AA505">
        <v>1</v>
      </c>
      <c r="AB505">
        <v>22</v>
      </c>
      <c r="AC505">
        <v>4</v>
      </c>
      <c r="AD505">
        <v>4</v>
      </c>
      <c r="AE505">
        <v>175</v>
      </c>
      <c r="AF505">
        <v>2</v>
      </c>
      <c r="AG505">
        <v>22</v>
      </c>
      <c r="AH505">
        <v>1</v>
      </c>
      <c r="AI505">
        <v>64</v>
      </c>
      <c r="AJ505">
        <v>3</v>
      </c>
      <c r="AK505">
        <v>22</v>
      </c>
      <c r="AL505">
        <v>4</v>
      </c>
      <c r="AM505">
        <v>86</v>
      </c>
      <c r="AN505">
        <v>9</v>
      </c>
      <c r="AO505">
        <v>156</v>
      </c>
      <c r="AP505">
        <v>11</v>
      </c>
      <c r="AQ505">
        <v>309</v>
      </c>
      <c r="AR505">
        <v>0.14000000000000001</v>
      </c>
      <c r="AS505">
        <v>2.75E-2</v>
      </c>
      <c r="AT505">
        <v>0.21875</v>
      </c>
      <c r="AU505">
        <v>2.75E-2</v>
      </c>
      <c r="AV505">
        <v>0.08</v>
      </c>
      <c r="AW505">
        <v>0.1075</v>
      </c>
      <c r="AX505">
        <v>0.19500000000000001</v>
      </c>
      <c r="AY505">
        <v>0.38624999999999998</v>
      </c>
      <c r="AZ505">
        <v>8.7500000000000008E-2</v>
      </c>
      <c r="BA505">
        <v>0.66666666666666663</v>
      </c>
      <c r="BB505">
        <v>0.76923076923076916</v>
      </c>
      <c r="BC505">
        <v>0.73333333333333328</v>
      </c>
      <c r="BD505">
        <v>0.67968749999999989</v>
      </c>
      <c r="BE505">
        <v>4</v>
      </c>
      <c r="BF505">
        <v>0.71222956730769227</v>
      </c>
      <c r="BG505">
        <v>0.72</v>
      </c>
      <c r="BH505" t="s">
        <v>86</v>
      </c>
      <c r="BI505">
        <v>0.71</v>
      </c>
      <c r="BJ505" t="s">
        <v>86</v>
      </c>
      <c r="BK505" s="2">
        <f t="shared" si="15"/>
        <v>1.0000000000000009E-2</v>
      </c>
      <c r="BL505" t="b">
        <f t="shared" si="16"/>
        <v>1</v>
      </c>
    </row>
    <row r="506" spans="1:64" x14ac:dyDescent="0.35">
      <c r="A506" t="s">
        <v>1459</v>
      </c>
      <c r="B506" t="s">
        <v>1460</v>
      </c>
      <c r="C506">
        <v>2017</v>
      </c>
      <c r="D506" t="s">
        <v>1461</v>
      </c>
      <c r="E506" t="s">
        <v>1462</v>
      </c>
      <c r="F506" t="s">
        <v>66</v>
      </c>
      <c r="G506" t="s">
        <v>101</v>
      </c>
      <c r="H506" t="s">
        <v>102</v>
      </c>
      <c r="I506" t="s">
        <v>1463</v>
      </c>
      <c r="J506" t="s">
        <v>70</v>
      </c>
      <c r="L506">
        <v>1</v>
      </c>
      <c r="M506" t="b">
        <v>0</v>
      </c>
      <c r="N506">
        <v>1</v>
      </c>
      <c r="O506">
        <v>2</v>
      </c>
      <c r="P506">
        <v>5</v>
      </c>
      <c r="Q506">
        <v>3</v>
      </c>
      <c r="R506">
        <v>2</v>
      </c>
      <c r="S506">
        <v>5</v>
      </c>
      <c r="T506">
        <v>21</v>
      </c>
      <c r="U506">
        <v>313</v>
      </c>
      <c r="V506">
        <v>100</v>
      </c>
      <c r="W506">
        <v>20</v>
      </c>
      <c r="X506">
        <v>5</v>
      </c>
      <c r="Y506">
        <v>2</v>
      </c>
      <c r="Z506">
        <v>14</v>
      </c>
      <c r="AA506">
        <v>2</v>
      </c>
      <c r="AB506">
        <v>34</v>
      </c>
      <c r="AC506">
        <v>2</v>
      </c>
      <c r="AD506">
        <v>2</v>
      </c>
      <c r="AE506">
        <v>48</v>
      </c>
      <c r="AF506">
        <v>3</v>
      </c>
      <c r="AG506">
        <v>8</v>
      </c>
      <c r="AH506">
        <v>1</v>
      </c>
      <c r="AI506">
        <v>7</v>
      </c>
      <c r="AJ506">
        <v>0</v>
      </c>
      <c r="AK506">
        <v>0</v>
      </c>
      <c r="AL506">
        <v>1</v>
      </c>
      <c r="AM506">
        <v>7</v>
      </c>
      <c r="AN506">
        <v>7</v>
      </c>
      <c r="AO506">
        <v>56</v>
      </c>
      <c r="AP506">
        <v>6</v>
      </c>
      <c r="AQ506">
        <v>96</v>
      </c>
      <c r="AR506">
        <v>4.472843450479233E-2</v>
      </c>
      <c r="AS506">
        <v>0.1086261980830671</v>
      </c>
      <c r="AT506">
        <v>0.15335463258785939</v>
      </c>
      <c r="AU506">
        <v>2.55591054313099E-2</v>
      </c>
      <c r="AV506">
        <v>2.2364217252396169E-2</v>
      </c>
      <c r="AW506">
        <v>2.2364217252396169E-2</v>
      </c>
      <c r="AX506">
        <v>0.17891373801916929</v>
      </c>
      <c r="AY506">
        <v>0.30670926517571878</v>
      </c>
      <c r="AZ506">
        <v>0.15654952076677309</v>
      </c>
      <c r="BA506">
        <v>0.66666666666666663</v>
      </c>
      <c r="BB506">
        <v>0.66666666666666663</v>
      </c>
      <c r="BC506">
        <v>0.4</v>
      </c>
      <c r="BD506">
        <v>0.72284345047923315</v>
      </c>
      <c r="BE506">
        <v>4</v>
      </c>
      <c r="BF506">
        <v>0.61404419595314164</v>
      </c>
      <c r="BG506">
        <v>0.65</v>
      </c>
      <c r="BH506" t="s">
        <v>86</v>
      </c>
      <c r="BI506">
        <v>0.61</v>
      </c>
      <c r="BJ506" t="s">
        <v>86</v>
      </c>
      <c r="BK506" s="2">
        <f t="shared" si="15"/>
        <v>4.0000000000000036E-2</v>
      </c>
      <c r="BL506" t="b">
        <f t="shared" si="16"/>
        <v>1</v>
      </c>
    </row>
    <row r="507" spans="1:64" x14ac:dyDescent="0.35">
      <c r="A507" t="s">
        <v>1464</v>
      </c>
      <c r="B507" t="s">
        <v>1460</v>
      </c>
      <c r="C507">
        <v>2022</v>
      </c>
      <c r="D507" t="s">
        <v>1461</v>
      </c>
      <c r="E507" t="s">
        <v>1462</v>
      </c>
      <c r="F507" t="s">
        <v>66</v>
      </c>
      <c r="G507" t="s">
        <v>101</v>
      </c>
      <c r="H507" t="s">
        <v>102</v>
      </c>
      <c r="I507" t="s">
        <v>1463</v>
      </c>
      <c r="J507" t="s">
        <v>70</v>
      </c>
      <c r="L507">
        <v>1</v>
      </c>
      <c r="M507" t="b">
        <v>0</v>
      </c>
      <c r="N507">
        <v>1</v>
      </c>
      <c r="O507">
        <v>1</v>
      </c>
      <c r="P507">
        <v>5</v>
      </c>
      <c r="Q507">
        <v>2</v>
      </c>
      <c r="R507">
        <v>3</v>
      </c>
      <c r="S507">
        <v>4</v>
      </c>
      <c r="T507">
        <v>27</v>
      </c>
      <c r="U507">
        <v>263</v>
      </c>
      <c r="V507">
        <v>117</v>
      </c>
      <c r="W507">
        <v>21</v>
      </c>
      <c r="X507">
        <v>5.5714285714285712</v>
      </c>
      <c r="Y507">
        <v>6</v>
      </c>
      <c r="Z507">
        <v>66</v>
      </c>
      <c r="AA507">
        <v>0</v>
      </c>
      <c r="AB507">
        <v>0</v>
      </c>
      <c r="AC507">
        <v>1</v>
      </c>
      <c r="AD507">
        <v>1</v>
      </c>
      <c r="AE507">
        <v>18</v>
      </c>
      <c r="AF507">
        <v>4</v>
      </c>
      <c r="AG507">
        <v>16</v>
      </c>
      <c r="AH507">
        <v>2</v>
      </c>
      <c r="AI507">
        <v>18</v>
      </c>
      <c r="AJ507">
        <v>1</v>
      </c>
      <c r="AK507">
        <v>13</v>
      </c>
      <c r="AL507">
        <v>3</v>
      </c>
      <c r="AM507">
        <v>31</v>
      </c>
      <c r="AN507">
        <v>10</v>
      </c>
      <c r="AO507">
        <v>82</v>
      </c>
      <c r="AP507">
        <v>7</v>
      </c>
      <c r="AQ507">
        <v>84</v>
      </c>
      <c r="AR507">
        <v>0.2509505703422053</v>
      </c>
      <c r="AS507">
        <v>0</v>
      </c>
      <c r="AT507">
        <v>6.8441064638783272E-2</v>
      </c>
      <c r="AU507">
        <v>6.0836501901140677E-2</v>
      </c>
      <c r="AV507">
        <v>6.8441064638783272E-2</v>
      </c>
      <c r="AW507">
        <v>0.1178707224334601</v>
      </c>
      <c r="AX507">
        <v>0.31178707224334601</v>
      </c>
      <c r="AY507">
        <v>0.3193916349809886</v>
      </c>
      <c r="AZ507">
        <v>0.1939163498098859</v>
      </c>
      <c r="BA507">
        <v>0.5</v>
      </c>
      <c r="BB507">
        <v>0.76190476190476186</v>
      </c>
      <c r="BC507">
        <v>0.46666666666666667</v>
      </c>
      <c r="BD507">
        <v>0.74619771863117867</v>
      </c>
      <c r="BE507">
        <v>4</v>
      </c>
      <c r="BF507">
        <v>0.6186922868006518</v>
      </c>
      <c r="BG507">
        <v>0.65</v>
      </c>
      <c r="BH507" t="s">
        <v>86</v>
      </c>
      <c r="BI507">
        <v>0.62</v>
      </c>
      <c r="BJ507" t="s">
        <v>86</v>
      </c>
      <c r="BK507" s="2">
        <f t="shared" si="15"/>
        <v>3.0000000000000027E-2</v>
      </c>
      <c r="BL507" t="b">
        <f t="shared" si="16"/>
        <v>1</v>
      </c>
    </row>
    <row r="508" spans="1:64" x14ac:dyDescent="0.35">
      <c r="A508" t="s">
        <v>1465</v>
      </c>
      <c r="B508" t="s">
        <v>1466</v>
      </c>
      <c r="C508">
        <v>2016</v>
      </c>
      <c r="D508" t="s">
        <v>1467</v>
      </c>
      <c r="E508" t="s">
        <v>1468</v>
      </c>
      <c r="F508" t="s">
        <v>66</v>
      </c>
      <c r="G508" t="s">
        <v>101</v>
      </c>
      <c r="H508" t="s">
        <v>102</v>
      </c>
      <c r="I508" t="s">
        <v>887</v>
      </c>
      <c r="J508" t="s">
        <v>70</v>
      </c>
      <c r="L508">
        <v>1</v>
      </c>
      <c r="M508" t="b">
        <v>0</v>
      </c>
      <c r="N508">
        <v>1</v>
      </c>
      <c r="O508">
        <v>2</v>
      </c>
      <c r="P508">
        <v>11</v>
      </c>
      <c r="Q508">
        <v>5</v>
      </c>
      <c r="R508">
        <v>6</v>
      </c>
      <c r="S508">
        <v>6</v>
      </c>
      <c r="T508">
        <v>29</v>
      </c>
      <c r="U508">
        <v>1464</v>
      </c>
      <c r="V508">
        <v>115</v>
      </c>
      <c r="W508">
        <v>20</v>
      </c>
      <c r="X508">
        <v>5.75</v>
      </c>
      <c r="Y508">
        <v>3</v>
      </c>
      <c r="Z508">
        <v>224</v>
      </c>
      <c r="AA508">
        <v>0</v>
      </c>
      <c r="AB508">
        <v>0</v>
      </c>
      <c r="AC508">
        <v>2</v>
      </c>
      <c r="AD508">
        <v>2</v>
      </c>
      <c r="AE508">
        <v>55</v>
      </c>
      <c r="AF508">
        <v>2</v>
      </c>
      <c r="AG508">
        <v>15</v>
      </c>
      <c r="AH508">
        <v>1</v>
      </c>
      <c r="AI508">
        <v>49</v>
      </c>
      <c r="AJ508">
        <v>1</v>
      </c>
      <c r="AK508">
        <v>9</v>
      </c>
      <c r="AL508">
        <v>2</v>
      </c>
      <c r="AM508">
        <v>58</v>
      </c>
      <c r="AN508">
        <v>5</v>
      </c>
      <c r="AO508">
        <v>239</v>
      </c>
      <c r="AP508">
        <v>5</v>
      </c>
      <c r="AQ508">
        <v>279</v>
      </c>
      <c r="AR508">
        <v>0.15300546448087429</v>
      </c>
      <c r="AS508">
        <v>0</v>
      </c>
      <c r="AT508">
        <v>3.7568306010928962E-2</v>
      </c>
      <c r="AU508">
        <v>1.024590163934426E-2</v>
      </c>
      <c r="AV508">
        <v>3.3469945355191259E-2</v>
      </c>
      <c r="AW508">
        <v>3.9617486338797817E-2</v>
      </c>
      <c r="AX508">
        <v>0.16325136612021859</v>
      </c>
      <c r="AY508">
        <v>0.1905737704918033</v>
      </c>
      <c r="AZ508">
        <v>0.12363387978142069</v>
      </c>
      <c r="BA508">
        <v>0.83333333333333337</v>
      </c>
      <c r="BB508">
        <v>0.79166666666666663</v>
      </c>
      <c r="BC508">
        <v>0.33333333333333331</v>
      </c>
      <c r="BD508">
        <v>0.70227117486338786</v>
      </c>
      <c r="BE508">
        <v>4</v>
      </c>
      <c r="BF508">
        <v>0.66515112704918034</v>
      </c>
      <c r="BG508">
        <v>0.66</v>
      </c>
      <c r="BH508" t="s">
        <v>86</v>
      </c>
      <c r="BI508">
        <v>0.67</v>
      </c>
      <c r="BJ508" t="s">
        <v>86</v>
      </c>
      <c r="BK508" s="2">
        <f t="shared" si="15"/>
        <v>-1.0000000000000009E-2</v>
      </c>
      <c r="BL508" t="b">
        <f t="shared" si="16"/>
        <v>1</v>
      </c>
    </row>
    <row r="509" spans="1:64" x14ac:dyDescent="0.35">
      <c r="A509" t="s">
        <v>1469</v>
      </c>
      <c r="B509" t="s">
        <v>1466</v>
      </c>
      <c r="C509">
        <v>2017</v>
      </c>
      <c r="D509" t="s">
        <v>1467</v>
      </c>
      <c r="E509" t="s">
        <v>1468</v>
      </c>
      <c r="F509" t="s">
        <v>66</v>
      </c>
      <c r="G509" t="s">
        <v>101</v>
      </c>
      <c r="H509" t="s">
        <v>102</v>
      </c>
      <c r="I509" t="s">
        <v>887</v>
      </c>
      <c r="J509" t="s">
        <v>70</v>
      </c>
      <c r="L509">
        <v>1</v>
      </c>
      <c r="M509" t="b">
        <v>0</v>
      </c>
      <c r="N509">
        <v>1</v>
      </c>
      <c r="O509">
        <v>1</v>
      </c>
      <c r="P509">
        <v>5</v>
      </c>
      <c r="Q509">
        <v>1</v>
      </c>
      <c r="R509">
        <v>4</v>
      </c>
      <c r="S509">
        <v>5</v>
      </c>
      <c r="T509">
        <v>23</v>
      </c>
      <c r="U509">
        <v>104</v>
      </c>
      <c r="V509">
        <v>111</v>
      </c>
      <c r="W509">
        <v>18</v>
      </c>
      <c r="X509">
        <v>6.166666666666667</v>
      </c>
      <c r="Y509">
        <v>2</v>
      </c>
      <c r="Z509">
        <v>16</v>
      </c>
      <c r="AA509">
        <v>2</v>
      </c>
      <c r="AB509">
        <v>10</v>
      </c>
      <c r="AC509">
        <v>3</v>
      </c>
      <c r="AD509">
        <v>3</v>
      </c>
      <c r="AE509">
        <v>6</v>
      </c>
      <c r="AF509">
        <v>2</v>
      </c>
      <c r="AG509">
        <v>5</v>
      </c>
      <c r="AH509">
        <v>2</v>
      </c>
      <c r="AI509">
        <v>7</v>
      </c>
      <c r="AJ509">
        <v>1</v>
      </c>
      <c r="AK509">
        <v>3</v>
      </c>
      <c r="AL509">
        <v>3</v>
      </c>
      <c r="AM509">
        <v>10</v>
      </c>
      <c r="AN509">
        <v>6</v>
      </c>
      <c r="AO509">
        <v>31</v>
      </c>
      <c r="AP509">
        <v>7</v>
      </c>
      <c r="AQ509">
        <v>32</v>
      </c>
      <c r="AR509">
        <v>0.15384615384615391</v>
      </c>
      <c r="AS509">
        <v>9.6153846153846159E-2</v>
      </c>
      <c r="AT509">
        <v>5.7692307692307702E-2</v>
      </c>
      <c r="AU509">
        <v>4.807692307692308E-2</v>
      </c>
      <c r="AV509">
        <v>6.7307692307692304E-2</v>
      </c>
      <c r="AW509">
        <v>9.6153846153846159E-2</v>
      </c>
      <c r="AX509">
        <v>0.29807692307692307</v>
      </c>
      <c r="AY509">
        <v>0.30769230769230771</v>
      </c>
      <c r="AZ509">
        <v>0.2019230769230769</v>
      </c>
      <c r="BA509">
        <v>0.66666666666666663</v>
      </c>
      <c r="BB509">
        <v>0.86111111111111116</v>
      </c>
      <c r="BC509">
        <v>0.46666666666666667</v>
      </c>
      <c r="BD509">
        <v>0.75120192307692302</v>
      </c>
      <c r="BE509">
        <v>4</v>
      </c>
      <c r="BF509">
        <v>0.68641159188034184</v>
      </c>
      <c r="BG509">
        <v>0.7</v>
      </c>
      <c r="BH509" t="s">
        <v>86</v>
      </c>
      <c r="BI509">
        <v>0.69</v>
      </c>
      <c r="BJ509" t="s">
        <v>86</v>
      </c>
      <c r="BK509" s="2">
        <f t="shared" si="15"/>
        <v>1.0000000000000009E-2</v>
      </c>
      <c r="BL509" t="b">
        <f t="shared" si="16"/>
        <v>1</v>
      </c>
    </row>
    <row r="510" spans="1:64" x14ac:dyDescent="0.35">
      <c r="A510" t="s">
        <v>1470</v>
      </c>
      <c r="B510" t="s">
        <v>1466</v>
      </c>
      <c r="C510">
        <v>2021</v>
      </c>
      <c r="D510" t="s">
        <v>1467</v>
      </c>
      <c r="E510" t="s">
        <v>1468</v>
      </c>
      <c r="F510" t="s">
        <v>66</v>
      </c>
      <c r="G510" t="s">
        <v>101</v>
      </c>
      <c r="H510" t="s">
        <v>102</v>
      </c>
      <c r="I510" t="s">
        <v>887</v>
      </c>
      <c r="J510" t="s">
        <v>70</v>
      </c>
      <c r="L510">
        <v>1</v>
      </c>
      <c r="M510" t="b">
        <v>0</v>
      </c>
      <c r="N510">
        <v>3</v>
      </c>
      <c r="O510">
        <v>1</v>
      </c>
      <c r="P510">
        <v>2</v>
      </c>
      <c r="Q510">
        <v>1</v>
      </c>
      <c r="R510">
        <v>1</v>
      </c>
      <c r="S510">
        <v>4</v>
      </c>
      <c r="T510">
        <v>17</v>
      </c>
      <c r="U510">
        <v>303</v>
      </c>
      <c r="V510">
        <v>54</v>
      </c>
      <c r="W510">
        <v>13</v>
      </c>
      <c r="X510">
        <v>4.1538461538461542</v>
      </c>
      <c r="Y510">
        <v>1</v>
      </c>
      <c r="Z510">
        <v>99</v>
      </c>
      <c r="AA510">
        <v>0</v>
      </c>
      <c r="AB510">
        <v>0</v>
      </c>
      <c r="AC510">
        <v>3</v>
      </c>
      <c r="AD510">
        <v>3</v>
      </c>
      <c r="AE510">
        <v>24</v>
      </c>
      <c r="AF510">
        <v>1</v>
      </c>
      <c r="AG510">
        <v>2</v>
      </c>
      <c r="AH510">
        <v>1</v>
      </c>
      <c r="AI510">
        <v>82</v>
      </c>
      <c r="AJ510">
        <v>1</v>
      </c>
      <c r="AK510">
        <v>1</v>
      </c>
      <c r="AL510">
        <v>2</v>
      </c>
      <c r="AM510">
        <v>83</v>
      </c>
      <c r="AN510">
        <v>2</v>
      </c>
      <c r="AO510">
        <v>101</v>
      </c>
      <c r="AP510">
        <v>4</v>
      </c>
      <c r="AQ510">
        <v>123</v>
      </c>
      <c r="AR510">
        <v>0.32673267326732669</v>
      </c>
      <c r="AS510">
        <v>0</v>
      </c>
      <c r="AT510">
        <v>7.9207920792079209E-2</v>
      </c>
      <c r="AU510">
        <v>6.6006600660066007E-3</v>
      </c>
      <c r="AV510">
        <v>0.27062706270627063</v>
      </c>
      <c r="AW510">
        <v>0.27392739273927391</v>
      </c>
      <c r="AX510">
        <v>0.33333333333333331</v>
      </c>
      <c r="AY510">
        <v>0.40594059405940602</v>
      </c>
      <c r="AZ510">
        <v>5.9405940594059403E-2</v>
      </c>
      <c r="BA510">
        <v>0.5</v>
      </c>
      <c r="BB510">
        <v>0.52564102564102566</v>
      </c>
      <c r="BC510">
        <v>0.26666666666666672</v>
      </c>
      <c r="BD510">
        <v>0.66212871287128716</v>
      </c>
      <c r="BE510">
        <v>4</v>
      </c>
      <c r="BF510">
        <v>0.48860910129474489</v>
      </c>
      <c r="BG510">
        <v>0.53</v>
      </c>
      <c r="BH510" t="s">
        <v>71</v>
      </c>
      <c r="BI510">
        <v>0.49</v>
      </c>
      <c r="BJ510" t="s">
        <v>71</v>
      </c>
      <c r="BK510" s="2">
        <f t="shared" si="15"/>
        <v>4.0000000000000036E-2</v>
      </c>
      <c r="BL510" t="b">
        <f t="shared" si="16"/>
        <v>1</v>
      </c>
    </row>
    <row r="511" spans="1:64" x14ac:dyDescent="0.35">
      <c r="A511" t="s">
        <v>1471</v>
      </c>
      <c r="B511" t="s">
        <v>1472</v>
      </c>
      <c r="C511">
        <v>2017</v>
      </c>
      <c r="D511" t="s">
        <v>1473</v>
      </c>
      <c r="E511" t="s">
        <v>1474</v>
      </c>
      <c r="F511" t="s">
        <v>66</v>
      </c>
      <c r="G511" t="s">
        <v>101</v>
      </c>
      <c r="H511" t="s">
        <v>102</v>
      </c>
      <c r="I511" t="s">
        <v>1475</v>
      </c>
      <c r="J511" t="s">
        <v>70</v>
      </c>
      <c r="L511">
        <v>1</v>
      </c>
      <c r="M511" t="b">
        <v>0</v>
      </c>
      <c r="N511">
        <v>1</v>
      </c>
      <c r="O511">
        <v>2</v>
      </c>
      <c r="P511">
        <v>6</v>
      </c>
      <c r="Q511">
        <v>2</v>
      </c>
      <c r="R511">
        <v>4</v>
      </c>
      <c r="S511">
        <v>6</v>
      </c>
      <c r="T511">
        <v>23</v>
      </c>
      <c r="U511">
        <v>155</v>
      </c>
      <c r="V511">
        <v>98</v>
      </c>
      <c r="W511">
        <v>16</v>
      </c>
      <c r="X511">
        <v>6.125</v>
      </c>
      <c r="Y511">
        <v>5</v>
      </c>
      <c r="Z511">
        <v>21</v>
      </c>
      <c r="AA511">
        <v>1</v>
      </c>
      <c r="AB511">
        <v>1</v>
      </c>
      <c r="AC511">
        <v>2</v>
      </c>
      <c r="AD511">
        <v>2</v>
      </c>
      <c r="AE511">
        <v>12</v>
      </c>
      <c r="AF511">
        <v>1</v>
      </c>
      <c r="AG511">
        <v>9</v>
      </c>
      <c r="AH511">
        <v>0</v>
      </c>
      <c r="AI511">
        <v>0</v>
      </c>
      <c r="AJ511">
        <v>1</v>
      </c>
      <c r="AK511">
        <v>8</v>
      </c>
      <c r="AL511">
        <v>1</v>
      </c>
      <c r="AM511">
        <v>8</v>
      </c>
      <c r="AN511">
        <v>7</v>
      </c>
      <c r="AO511">
        <v>31</v>
      </c>
      <c r="AP511">
        <v>8</v>
      </c>
      <c r="AQ511">
        <v>34</v>
      </c>
      <c r="AR511">
        <v>0.13548387096774189</v>
      </c>
      <c r="AS511">
        <v>6.4516129032258056E-3</v>
      </c>
      <c r="AT511">
        <v>7.7419354838709681E-2</v>
      </c>
      <c r="AU511">
        <v>5.8064516129032261E-2</v>
      </c>
      <c r="AV511">
        <v>0</v>
      </c>
      <c r="AW511">
        <v>5.1612903225806452E-2</v>
      </c>
      <c r="AX511">
        <v>0.2</v>
      </c>
      <c r="AY511">
        <v>0.2193548387096774</v>
      </c>
      <c r="AZ511">
        <v>0.14838709677419359</v>
      </c>
      <c r="BA511">
        <v>0.83333333333333337</v>
      </c>
      <c r="BB511">
        <v>0.85416666666666663</v>
      </c>
      <c r="BC511">
        <v>0.53333333333333333</v>
      </c>
      <c r="BD511">
        <v>0.717741935483871</v>
      </c>
      <c r="BE511">
        <v>4</v>
      </c>
      <c r="BF511">
        <v>0.73464381720430105</v>
      </c>
      <c r="BG511">
        <v>0.73</v>
      </c>
      <c r="BH511" t="s">
        <v>86</v>
      </c>
      <c r="BI511">
        <v>0.73</v>
      </c>
      <c r="BJ511" t="s">
        <v>86</v>
      </c>
      <c r="BK511" s="2">
        <f t="shared" si="15"/>
        <v>0</v>
      </c>
      <c r="BL511" t="b">
        <f t="shared" si="16"/>
        <v>1</v>
      </c>
    </row>
    <row r="512" spans="1:64" x14ac:dyDescent="0.35">
      <c r="A512" t="s">
        <v>1476</v>
      </c>
      <c r="B512" t="s">
        <v>1472</v>
      </c>
      <c r="C512">
        <v>2022</v>
      </c>
      <c r="D512" t="s">
        <v>1473</v>
      </c>
      <c r="E512" t="s">
        <v>1474</v>
      </c>
      <c r="F512" t="s">
        <v>66</v>
      </c>
      <c r="G512" t="s">
        <v>101</v>
      </c>
      <c r="H512" t="s">
        <v>102</v>
      </c>
      <c r="I512" t="s">
        <v>1475</v>
      </c>
      <c r="J512" t="s">
        <v>70</v>
      </c>
      <c r="L512">
        <v>1</v>
      </c>
      <c r="M512" t="b">
        <v>0</v>
      </c>
      <c r="N512">
        <v>3</v>
      </c>
      <c r="O512">
        <v>1</v>
      </c>
      <c r="P512">
        <v>2</v>
      </c>
      <c r="Q512">
        <v>3</v>
      </c>
      <c r="R512">
        <v>-1</v>
      </c>
      <c r="S512">
        <v>4</v>
      </c>
      <c r="T512">
        <v>22</v>
      </c>
      <c r="U512">
        <v>264</v>
      </c>
      <c r="V512">
        <v>82</v>
      </c>
      <c r="W512">
        <v>18</v>
      </c>
      <c r="X512">
        <v>4.5555555555555554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  <c r="AE512">
        <v>39</v>
      </c>
      <c r="AF512">
        <v>2</v>
      </c>
      <c r="AG512">
        <v>3</v>
      </c>
      <c r="AH512">
        <v>1</v>
      </c>
      <c r="AI512">
        <v>63</v>
      </c>
      <c r="AJ512">
        <v>2</v>
      </c>
      <c r="AK512">
        <v>50</v>
      </c>
      <c r="AL512">
        <v>3</v>
      </c>
      <c r="AM512">
        <v>113</v>
      </c>
      <c r="AN512">
        <v>2</v>
      </c>
      <c r="AO512">
        <v>3</v>
      </c>
      <c r="AP512">
        <v>1</v>
      </c>
      <c r="AQ512">
        <v>39</v>
      </c>
      <c r="AR512">
        <v>0</v>
      </c>
      <c r="AS512">
        <v>0</v>
      </c>
      <c r="AT512">
        <v>0.14772727272727271</v>
      </c>
      <c r="AU512">
        <v>1.136363636363636E-2</v>
      </c>
      <c r="AV512">
        <v>0.23863636363636359</v>
      </c>
      <c r="AW512">
        <v>0.42803030303030298</v>
      </c>
      <c r="AX512">
        <v>1.136363636363636E-2</v>
      </c>
      <c r="AY512">
        <v>0.14772727272727271</v>
      </c>
      <c r="AZ512">
        <v>-0.41666666666666669</v>
      </c>
      <c r="BA512">
        <v>0.5</v>
      </c>
      <c r="BB512">
        <v>0.59259259259259256</v>
      </c>
      <c r="BC512">
        <v>6.6666666666666666E-2</v>
      </c>
      <c r="BD512">
        <v>0.36458333333333331</v>
      </c>
      <c r="BE512">
        <v>4</v>
      </c>
      <c r="BF512">
        <v>0.38096064814814812</v>
      </c>
      <c r="BG512">
        <v>0.42</v>
      </c>
      <c r="BH512" t="s">
        <v>71</v>
      </c>
      <c r="BI512">
        <v>0.38</v>
      </c>
      <c r="BJ512" t="s">
        <v>104</v>
      </c>
      <c r="BK512" s="2">
        <f t="shared" si="15"/>
        <v>3.999999999999998E-2</v>
      </c>
      <c r="BL512" t="b">
        <f t="shared" si="16"/>
        <v>0</v>
      </c>
    </row>
    <row r="513" spans="1:64" x14ac:dyDescent="0.35">
      <c r="A513" t="s">
        <v>1477</v>
      </c>
      <c r="B513" t="s">
        <v>1478</v>
      </c>
      <c r="C513">
        <v>2017</v>
      </c>
      <c r="D513" t="s">
        <v>1479</v>
      </c>
      <c r="E513" t="s">
        <v>1480</v>
      </c>
      <c r="F513" t="s">
        <v>66</v>
      </c>
      <c r="G513" t="s">
        <v>101</v>
      </c>
      <c r="H513" t="s">
        <v>162</v>
      </c>
      <c r="I513" t="s">
        <v>1481</v>
      </c>
      <c r="J513" t="s">
        <v>70</v>
      </c>
      <c r="L513">
        <v>1</v>
      </c>
      <c r="M513" t="b">
        <v>0</v>
      </c>
      <c r="N513">
        <v>1</v>
      </c>
      <c r="O513">
        <v>1</v>
      </c>
      <c r="P513">
        <v>5</v>
      </c>
      <c r="Q513">
        <v>3</v>
      </c>
      <c r="R513">
        <v>2</v>
      </c>
      <c r="S513">
        <v>4</v>
      </c>
      <c r="T513">
        <v>20</v>
      </c>
      <c r="U513">
        <v>869</v>
      </c>
      <c r="V513">
        <v>88</v>
      </c>
      <c r="W513">
        <v>17</v>
      </c>
      <c r="X513">
        <v>5.1764705882352944</v>
      </c>
      <c r="Y513">
        <v>1</v>
      </c>
      <c r="Z513">
        <v>24</v>
      </c>
      <c r="AA513">
        <v>0</v>
      </c>
      <c r="AB513">
        <v>0</v>
      </c>
      <c r="AC513">
        <v>1</v>
      </c>
      <c r="AD513">
        <v>1</v>
      </c>
      <c r="AE513">
        <v>34</v>
      </c>
      <c r="AF513">
        <v>1</v>
      </c>
      <c r="AG513">
        <v>2</v>
      </c>
      <c r="AH513">
        <v>2</v>
      </c>
      <c r="AI513">
        <v>586</v>
      </c>
      <c r="AJ513">
        <v>3</v>
      </c>
      <c r="AK513">
        <v>14</v>
      </c>
      <c r="AL513">
        <v>5</v>
      </c>
      <c r="AM513">
        <v>600</v>
      </c>
      <c r="AN513">
        <v>2</v>
      </c>
      <c r="AO513">
        <v>26</v>
      </c>
      <c r="AP513">
        <v>2</v>
      </c>
      <c r="AQ513">
        <v>58</v>
      </c>
      <c r="AR513">
        <v>2.7617951668584578E-2</v>
      </c>
      <c r="AS513">
        <v>0</v>
      </c>
      <c r="AT513">
        <v>3.9125431530494817E-2</v>
      </c>
      <c r="AU513">
        <v>2.3014959723820479E-3</v>
      </c>
      <c r="AV513">
        <v>0.67433831990794013</v>
      </c>
      <c r="AW513">
        <v>0.69044879171461448</v>
      </c>
      <c r="AX513">
        <v>2.9919447640966629E-2</v>
      </c>
      <c r="AY513">
        <v>6.6743383199079395E-2</v>
      </c>
      <c r="AZ513">
        <v>-0.66052934407364783</v>
      </c>
      <c r="BA513">
        <v>0.5</v>
      </c>
      <c r="BB513">
        <v>0.6960784313725491</v>
      </c>
      <c r="BC513">
        <v>0.1333333333333333</v>
      </c>
      <c r="BD513">
        <v>0.21216915995397009</v>
      </c>
      <c r="BE513">
        <v>4</v>
      </c>
      <c r="BF513">
        <v>0.3853952311649631</v>
      </c>
      <c r="BG513">
        <v>0.49</v>
      </c>
      <c r="BH513" t="s">
        <v>71</v>
      </c>
      <c r="BI513">
        <v>0.39</v>
      </c>
      <c r="BJ513" t="s">
        <v>104</v>
      </c>
      <c r="BK513" s="2">
        <f t="shared" si="15"/>
        <v>9.9999999999999978E-2</v>
      </c>
      <c r="BL513" t="b">
        <f t="shared" si="16"/>
        <v>0</v>
      </c>
    </row>
    <row r="514" spans="1:64" x14ac:dyDescent="0.35">
      <c r="A514" t="s">
        <v>1482</v>
      </c>
      <c r="B514" t="s">
        <v>1478</v>
      </c>
      <c r="C514">
        <v>2022</v>
      </c>
      <c r="D514" t="s">
        <v>1479</v>
      </c>
      <c r="E514" t="s">
        <v>1480</v>
      </c>
      <c r="F514" t="s">
        <v>66</v>
      </c>
      <c r="G514" t="s">
        <v>101</v>
      </c>
      <c r="H514" t="s">
        <v>162</v>
      </c>
      <c r="I514" t="s">
        <v>1481</v>
      </c>
      <c r="J514" t="s">
        <v>70</v>
      </c>
      <c r="L514">
        <v>1</v>
      </c>
      <c r="M514" t="b">
        <v>0</v>
      </c>
      <c r="N514">
        <v>3</v>
      </c>
      <c r="O514">
        <v>2</v>
      </c>
      <c r="P514">
        <v>5</v>
      </c>
      <c r="Q514">
        <v>5</v>
      </c>
      <c r="R514">
        <v>0</v>
      </c>
      <c r="S514">
        <v>4</v>
      </c>
      <c r="T514">
        <v>19</v>
      </c>
      <c r="U514">
        <v>326</v>
      </c>
      <c r="V514">
        <v>81</v>
      </c>
      <c r="W514">
        <v>18</v>
      </c>
      <c r="X514">
        <v>4.5</v>
      </c>
      <c r="Y514">
        <v>2</v>
      </c>
      <c r="Z514">
        <v>32</v>
      </c>
      <c r="AA514">
        <v>0</v>
      </c>
      <c r="AB514">
        <v>0</v>
      </c>
      <c r="AC514">
        <v>1</v>
      </c>
      <c r="AD514">
        <v>1</v>
      </c>
      <c r="AE514">
        <v>38</v>
      </c>
      <c r="AF514">
        <v>1</v>
      </c>
      <c r="AG514">
        <v>1</v>
      </c>
      <c r="AH514">
        <v>2</v>
      </c>
      <c r="AI514">
        <v>97</v>
      </c>
      <c r="AJ514">
        <v>2</v>
      </c>
      <c r="AK514">
        <v>5</v>
      </c>
      <c r="AL514">
        <v>4</v>
      </c>
      <c r="AM514">
        <v>102</v>
      </c>
      <c r="AN514">
        <v>3</v>
      </c>
      <c r="AO514">
        <v>33</v>
      </c>
      <c r="AP514">
        <v>3</v>
      </c>
      <c r="AQ514">
        <v>70</v>
      </c>
      <c r="AR514">
        <v>9.815950920245399E-2</v>
      </c>
      <c r="AS514">
        <v>0</v>
      </c>
      <c r="AT514">
        <v>0.1165644171779141</v>
      </c>
      <c r="AU514">
        <v>3.0674846625766872E-3</v>
      </c>
      <c r="AV514">
        <v>0.29754601226993871</v>
      </c>
      <c r="AW514">
        <v>0.31288343558282211</v>
      </c>
      <c r="AX514">
        <v>0.1012269938650307</v>
      </c>
      <c r="AY514">
        <v>0.21472392638036811</v>
      </c>
      <c r="AZ514">
        <v>-0.21165644171779141</v>
      </c>
      <c r="BA514">
        <v>0.5</v>
      </c>
      <c r="BB514">
        <v>0.58333333333333337</v>
      </c>
      <c r="BC514">
        <v>0.2</v>
      </c>
      <c r="BD514">
        <v>0.49271472392638033</v>
      </c>
      <c r="BE514">
        <v>4</v>
      </c>
      <c r="BF514">
        <v>0.44401201431492843</v>
      </c>
      <c r="BG514">
        <v>0.49</v>
      </c>
      <c r="BH514" t="s">
        <v>71</v>
      </c>
      <c r="BI514">
        <v>0.44</v>
      </c>
      <c r="BJ514" t="s">
        <v>71</v>
      </c>
      <c r="BK514" s="2">
        <f t="shared" si="15"/>
        <v>4.9999999999999989E-2</v>
      </c>
      <c r="BL514" t="b">
        <f t="shared" si="16"/>
        <v>1</v>
      </c>
    </row>
    <row r="515" spans="1:64" x14ac:dyDescent="0.35">
      <c r="A515" t="s">
        <v>1483</v>
      </c>
      <c r="B515" t="s">
        <v>1484</v>
      </c>
      <c r="C515">
        <v>2017</v>
      </c>
      <c r="D515" t="s">
        <v>1485</v>
      </c>
      <c r="E515" t="s">
        <v>1486</v>
      </c>
      <c r="F515" t="s">
        <v>66</v>
      </c>
      <c r="G515" t="s">
        <v>101</v>
      </c>
      <c r="H515" t="s">
        <v>162</v>
      </c>
      <c r="I515" t="s">
        <v>1487</v>
      </c>
      <c r="J515" t="s">
        <v>70</v>
      </c>
      <c r="L515">
        <v>1</v>
      </c>
      <c r="M515" t="b">
        <v>0</v>
      </c>
      <c r="N515">
        <v>1</v>
      </c>
      <c r="O515">
        <v>1</v>
      </c>
      <c r="P515">
        <v>6</v>
      </c>
      <c r="Q515">
        <v>3</v>
      </c>
      <c r="R515">
        <v>3</v>
      </c>
      <c r="S515">
        <v>4</v>
      </c>
      <c r="T515">
        <v>30</v>
      </c>
      <c r="U515">
        <v>417</v>
      </c>
      <c r="V515">
        <v>122</v>
      </c>
      <c r="W515">
        <v>22</v>
      </c>
      <c r="X515">
        <v>5.5454545454545459</v>
      </c>
      <c r="Y515">
        <v>6</v>
      </c>
      <c r="Z515">
        <v>84</v>
      </c>
      <c r="AA515">
        <v>0</v>
      </c>
      <c r="AB515">
        <v>0</v>
      </c>
      <c r="AC515">
        <v>2</v>
      </c>
      <c r="AD515">
        <v>2</v>
      </c>
      <c r="AE515">
        <v>15</v>
      </c>
      <c r="AF515">
        <v>2</v>
      </c>
      <c r="AG515">
        <v>17</v>
      </c>
      <c r="AH515">
        <v>1</v>
      </c>
      <c r="AI515">
        <v>24</v>
      </c>
      <c r="AJ515">
        <v>1</v>
      </c>
      <c r="AK515">
        <v>3</v>
      </c>
      <c r="AL515">
        <v>2</v>
      </c>
      <c r="AM515">
        <v>27</v>
      </c>
      <c r="AN515">
        <v>8</v>
      </c>
      <c r="AO515">
        <v>101</v>
      </c>
      <c r="AP515">
        <v>8</v>
      </c>
      <c r="AQ515">
        <v>99</v>
      </c>
      <c r="AR515">
        <v>0.20143884892086331</v>
      </c>
      <c r="AS515">
        <v>0</v>
      </c>
      <c r="AT515">
        <v>3.5971223021582732E-2</v>
      </c>
      <c r="AU515">
        <v>4.0767386091127102E-2</v>
      </c>
      <c r="AV515">
        <v>5.7553956834532377E-2</v>
      </c>
      <c r="AW515">
        <v>6.4748201438848921E-2</v>
      </c>
      <c r="AX515">
        <v>0.2422062350119904</v>
      </c>
      <c r="AY515">
        <v>0.23741007194244601</v>
      </c>
      <c r="AZ515">
        <v>0.17745803357314149</v>
      </c>
      <c r="BA515">
        <v>0.5</v>
      </c>
      <c r="BB515">
        <v>0.75757575757575768</v>
      </c>
      <c r="BC515">
        <v>0.53333333333333333</v>
      </c>
      <c r="BD515">
        <v>0.73591127098321341</v>
      </c>
      <c r="BE515">
        <v>4</v>
      </c>
      <c r="BF515">
        <v>0.6317050904730761</v>
      </c>
      <c r="BG515">
        <v>0.64</v>
      </c>
      <c r="BH515" t="s">
        <v>86</v>
      </c>
      <c r="BI515">
        <v>0.63</v>
      </c>
      <c r="BJ515" t="s">
        <v>86</v>
      </c>
      <c r="BK515" s="2">
        <f t="shared" ref="BK515:BK578" si="17">BG515-BI515</f>
        <v>1.0000000000000009E-2</v>
      </c>
      <c r="BL515" t="b">
        <f t="shared" ref="BL515:BL578" si="18">EXACT(BH515,BJ515)</f>
        <v>1</v>
      </c>
    </row>
    <row r="516" spans="1:64" x14ac:dyDescent="0.35">
      <c r="A516" t="s">
        <v>1488</v>
      </c>
      <c r="B516" t="s">
        <v>1489</v>
      </c>
      <c r="C516">
        <v>2017</v>
      </c>
      <c r="D516" t="s">
        <v>1490</v>
      </c>
      <c r="E516" t="s">
        <v>1491</v>
      </c>
      <c r="F516" t="s">
        <v>66</v>
      </c>
      <c r="G516" t="s">
        <v>101</v>
      </c>
      <c r="H516" t="s">
        <v>129</v>
      </c>
      <c r="I516" t="s">
        <v>1492</v>
      </c>
      <c r="J516" t="s">
        <v>70</v>
      </c>
      <c r="L516">
        <v>1</v>
      </c>
      <c r="M516" t="b">
        <v>0</v>
      </c>
      <c r="N516">
        <v>1</v>
      </c>
      <c r="O516">
        <v>1</v>
      </c>
      <c r="P516">
        <v>8</v>
      </c>
      <c r="Q516">
        <v>3</v>
      </c>
      <c r="R516">
        <v>5</v>
      </c>
      <c r="S516">
        <v>5</v>
      </c>
      <c r="T516">
        <v>25</v>
      </c>
      <c r="U516">
        <v>497</v>
      </c>
      <c r="V516">
        <v>119</v>
      </c>
      <c r="W516">
        <v>19</v>
      </c>
      <c r="X516">
        <v>6.2631578947368416</v>
      </c>
      <c r="Y516">
        <v>4</v>
      </c>
      <c r="Z516">
        <v>139</v>
      </c>
      <c r="AA516">
        <v>0</v>
      </c>
      <c r="AB516">
        <v>0</v>
      </c>
      <c r="AC516">
        <v>3</v>
      </c>
      <c r="AD516">
        <v>3</v>
      </c>
      <c r="AE516">
        <v>29</v>
      </c>
      <c r="AF516">
        <v>1</v>
      </c>
      <c r="AG516">
        <v>1</v>
      </c>
      <c r="AH516">
        <v>0</v>
      </c>
      <c r="AI516">
        <v>0</v>
      </c>
      <c r="AJ516">
        <v>3</v>
      </c>
      <c r="AK516">
        <v>6</v>
      </c>
      <c r="AL516">
        <v>3</v>
      </c>
      <c r="AM516">
        <v>6</v>
      </c>
      <c r="AN516">
        <v>5</v>
      </c>
      <c r="AO516">
        <v>140</v>
      </c>
      <c r="AP516">
        <v>7</v>
      </c>
      <c r="AQ516">
        <v>168</v>
      </c>
      <c r="AR516">
        <v>0.27967806841046278</v>
      </c>
      <c r="AS516">
        <v>0</v>
      </c>
      <c r="AT516">
        <v>5.8350100603621731E-2</v>
      </c>
      <c r="AU516">
        <v>2.012072434607646E-3</v>
      </c>
      <c r="AV516">
        <v>0</v>
      </c>
      <c r="AW516">
        <v>1.2072434607645869E-2</v>
      </c>
      <c r="AX516">
        <v>0.28169014084507038</v>
      </c>
      <c r="AY516">
        <v>0.3380281690140845</v>
      </c>
      <c r="AZ516">
        <v>0.26961770623742448</v>
      </c>
      <c r="BA516">
        <v>0.66666666666666663</v>
      </c>
      <c r="BB516">
        <v>0.8771929824561403</v>
      </c>
      <c r="BC516">
        <v>0.46666666666666667</v>
      </c>
      <c r="BD516">
        <v>0.79351106639839031</v>
      </c>
      <c r="BE516">
        <v>4</v>
      </c>
      <c r="BF516">
        <v>0.70100934554696592</v>
      </c>
      <c r="BG516">
        <v>0.7</v>
      </c>
      <c r="BH516" t="s">
        <v>86</v>
      </c>
      <c r="BI516">
        <v>0.7</v>
      </c>
      <c r="BJ516" t="s">
        <v>86</v>
      </c>
      <c r="BK516" s="2">
        <f t="shared" si="17"/>
        <v>0</v>
      </c>
      <c r="BL516" t="b">
        <f t="shared" si="18"/>
        <v>1</v>
      </c>
    </row>
    <row r="517" spans="1:64" x14ac:dyDescent="0.35">
      <c r="A517" t="s">
        <v>1493</v>
      </c>
      <c r="B517" t="s">
        <v>1494</v>
      </c>
      <c r="C517">
        <v>2016</v>
      </c>
      <c r="D517" t="s">
        <v>1495</v>
      </c>
      <c r="E517" t="s">
        <v>1496</v>
      </c>
      <c r="F517" t="s">
        <v>66</v>
      </c>
      <c r="G517" t="s">
        <v>101</v>
      </c>
      <c r="H517" t="s">
        <v>129</v>
      </c>
      <c r="I517" t="s">
        <v>1497</v>
      </c>
      <c r="J517" t="s">
        <v>70</v>
      </c>
      <c r="L517">
        <v>3</v>
      </c>
      <c r="M517" t="b">
        <v>0</v>
      </c>
      <c r="N517">
        <v>1</v>
      </c>
      <c r="O517">
        <v>1</v>
      </c>
      <c r="P517">
        <v>3</v>
      </c>
      <c r="Q517">
        <v>2</v>
      </c>
      <c r="R517">
        <v>1</v>
      </c>
      <c r="S517">
        <v>4</v>
      </c>
      <c r="T517">
        <v>12</v>
      </c>
      <c r="U517">
        <v>129</v>
      </c>
      <c r="V517">
        <v>51</v>
      </c>
      <c r="W517">
        <v>9</v>
      </c>
      <c r="X517">
        <v>5.666666666666667</v>
      </c>
      <c r="Y517">
        <v>1</v>
      </c>
      <c r="Z517">
        <v>22</v>
      </c>
      <c r="AA517">
        <v>1</v>
      </c>
      <c r="AB517">
        <v>4</v>
      </c>
      <c r="AC517">
        <v>3</v>
      </c>
      <c r="AD517">
        <v>3</v>
      </c>
      <c r="AE517">
        <v>40</v>
      </c>
      <c r="AF517">
        <v>0</v>
      </c>
      <c r="AG517">
        <v>0</v>
      </c>
      <c r="AH517">
        <v>2</v>
      </c>
      <c r="AI517">
        <v>37</v>
      </c>
      <c r="AJ517">
        <v>0</v>
      </c>
      <c r="AK517">
        <v>0</v>
      </c>
      <c r="AL517">
        <v>2</v>
      </c>
      <c r="AM517">
        <v>37</v>
      </c>
      <c r="AN517">
        <v>2</v>
      </c>
      <c r="AO517">
        <v>26</v>
      </c>
      <c r="AP517">
        <v>5</v>
      </c>
      <c r="AQ517">
        <v>66</v>
      </c>
      <c r="AR517">
        <v>0.1705426356589147</v>
      </c>
      <c r="AS517">
        <v>3.1007751937984499E-2</v>
      </c>
      <c r="AT517">
        <v>0.31007751937984501</v>
      </c>
      <c r="AU517">
        <v>0</v>
      </c>
      <c r="AV517">
        <v>0.2868217054263566</v>
      </c>
      <c r="AW517">
        <v>0.2868217054263566</v>
      </c>
      <c r="AX517">
        <v>0.20155038759689919</v>
      </c>
      <c r="AY517">
        <v>0.51162790697674421</v>
      </c>
      <c r="AZ517">
        <v>-8.5271317829457377E-2</v>
      </c>
      <c r="BA517">
        <v>0.5</v>
      </c>
      <c r="BB517">
        <v>0.77777777777777779</v>
      </c>
      <c r="BC517">
        <v>0.33333333333333331</v>
      </c>
      <c r="BD517">
        <v>0.57170542635658905</v>
      </c>
      <c r="BE517">
        <v>4</v>
      </c>
      <c r="BF517">
        <v>0.545704134366925</v>
      </c>
      <c r="BG517">
        <v>0.59</v>
      </c>
      <c r="BH517" t="s">
        <v>71</v>
      </c>
      <c r="BI517">
        <v>0.55000000000000004</v>
      </c>
      <c r="BJ517" t="s">
        <v>71</v>
      </c>
      <c r="BK517" s="2">
        <f t="shared" si="17"/>
        <v>3.9999999999999925E-2</v>
      </c>
      <c r="BL517" t="b">
        <f t="shared" si="18"/>
        <v>1</v>
      </c>
    </row>
    <row r="518" spans="1:64" x14ac:dyDescent="0.35">
      <c r="A518" t="s">
        <v>1498</v>
      </c>
      <c r="B518" t="s">
        <v>1494</v>
      </c>
      <c r="C518">
        <v>2017</v>
      </c>
      <c r="D518" t="s">
        <v>1495</v>
      </c>
      <c r="E518" t="s">
        <v>1496</v>
      </c>
      <c r="F518" t="s">
        <v>66</v>
      </c>
      <c r="G518" t="s">
        <v>101</v>
      </c>
      <c r="H518" t="s">
        <v>129</v>
      </c>
      <c r="I518" t="s">
        <v>1497</v>
      </c>
      <c r="J518" t="s">
        <v>70</v>
      </c>
      <c r="L518">
        <v>3</v>
      </c>
      <c r="M518" t="b">
        <v>0</v>
      </c>
      <c r="N518">
        <v>2</v>
      </c>
      <c r="O518">
        <v>1</v>
      </c>
      <c r="P518">
        <v>3</v>
      </c>
      <c r="Q518">
        <v>3</v>
      </c>
      <c r="R518">
        <v>0</v>
      </c>
      <c r="S518">
        <v>4</v>
      </c>
      <c r="T518">
        <v>17</v>
      </c>
      <c r="U518">
        <v>130</v>
      </c>
      <c r="V518">
        <v>58</v>
      </c>
      <c r="W518">
        <v>13</v>
      </c>
      <c r="X518">
        <v>4.4615384615384617</v>
      </c>
      <c r="Y518">
        <v>1</v>
      </c>
      <c r="Z518">
        <v>11</v>
      </c>
      <c r="AA518">
        <v>0</v>
      </c>
      <c r="AB518">
        <v>0</v>
      </c>
      <c r="AC518">
        <v>5</v>
      </c>
      <c r="AD518">
        <v>5</v>
      </c>
      <c r="AE518">
        <v>43</v>
      </c>
      <c r="AF518">
        <v>0</v>
      </c>
      <c r="AG518">
        <v>0</v>
      </c>
      <c r="AH518">
        <v>1</v>
      </c>
      <c r="AI518">
        <v>8</v>
      </c>
      <c r="AJ518">
        <v>1</v>
      </c>
      <c r="AK518">
        <v>3</v>
      </c>
      <c r="AL518">
        <v>2</v>
      </c>
      <c r="AM518">
        <v>11</v>
      </c>
      <c r="AN518">
        <v>1</v>
      </c>
      <c r="AO518">
        <v>11</v>
      </c>
      <c r="AP518">
        <v>6</v>
      </c>
      <c r="AQ518">
        <v>54</v>
      </c>
      <c r="AR518">
        <v>8.461538461538462E-2</v>
      </c>
      <c r="AS518">
        <v>0</v>
      </c>
      <c r="AT518">
        <v>0.33076923076923082</v>
      </c>
      <c r="AU518">
        <v>0</v>
      </c>
      <c r="AV518">
        <v>6.1538461538461542E-2</v>
      </c>
      <c r="AW518">
        <v>8.461538461538462E-2</v>
      </c>
      <c r="AX518">
        <v>8.461538461538462E-2</v>
      </c>
      <c r="AY518">
        <v>0.41538461538461541</v>
      </c>
      <c r="AZ518">
        <v>0</v>
      </c>
      <c r="BA518">
        <v>0.5</v>
      </c>
      <c r="BB518">
        <v>0.57692307692307698</v>
      </c>
      <c r="BC518">
        <v>0.4</v>
      </c>
      <c r="BD518">
        <v>0.625</v>
      </c>
      <c r="BE518">
        <v>4</v>
      </c>
      <c r="BF518">
        <v>0.52548076923076925</v>
      </c>
      <c r="BG518">
        <v>0.54</v>
      </c>
      <c r="BH518" t="s">
        <v>71</v>
      </c>
      <c r="BI518">
        <v>0.53</v>
      </c>
      <c r="BJ518" t="s">
        <v>71</v>
      </c>
      <c r="BK518" s="2">
        <f t="shared" si="17"/>
        <v>1.0000000000000009E-2</v>
      </c>
      <c r="BL518" t="b">
        <f t="shared" si="18"/>
        <v>1</v>
      </c>
    </row>
    <row r="519" spans="1:64" x14ac:dyDescent="0.35">
      <c r="A519" t="s">
        <v>1499</v>
      </c>
      <c r="B519" t="s">
        <v>1494</v>
      </c>
      <c r="C519">
        <v>2022</v>
      </c>
      <c r="D519" t="s">
        <v>1495</v>
      </c>
      <c r="E519" t="s">
        <v>1496</v>
      </c>
      <c r="F519" t="s">
        <v>66</v>
      </c>
      <c r="G519" t="s">
        <v>101</v>
      </c>
      <c r="H519" t="s">
        <v>129</v>
      </c>
      <c r="I519" t="s">
        <v>1497</v>
      </c>
      <c r="J519" t="s">
        <v>70</v>
      </c>
      <c r="L519">
        <v>3</v>
      </c>
      <c r="M519" t="b">
        <v>0</v>
      </c>
      <c r="N519">
        <v>1</v>
      </c>
      <c r="O519">
        <v>1</v>
      </c>
      <c r="P519">
        <v>5</v>
      </c>
      <c r="Q519">
        <v>0</v>
      </c>
      <c r="R519">
        <v>5</v>
      </c>
      <c r="S519">
        <v>5</v>
      </c>
      <c r="T519">
        <v>11</v>
      </c>
      <c r="U519">
        <v>74</v>
      </c>
      <c r="V519">
        <v>68</v>
      </c>
      <c r="W519">
        <v>10</v>
      </c>
      <c r="X519">
        <v>6.8</v>
      </c>
      <c r="Y519">
        <v>2</v>
      </c>
      <c r="Z519">
        <v>10</v>
      </c>
      <c r="AA519">
        <v>1</v>
      </c>
      <c r="AB519">
        <v>4</v>
      </c>
      <c r="AC519">
        <v>1</v>
      </c>
      <c r="AD519">
        <v>1</v>
      </c>
      <c r="AE519">
        <v>4</v>
      </c>
      <c r="AF519">
        <v>1</v>
      </c>
      <c r="AG519">
        <v>4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4</v>
      </c>
      <c r="AN519">
        <v>4</v>
      </c>
      <c r="AO519">
        <v>18</v>
      </c>
      <c r="AP519">
        <v>4</v>
      </c>
      <c r="AQ519">
        <v>18</v>
      </c>
      <c r="AR519">
        <v>0.13513513513513509</v>
      </c>
      <c r="AS519">
        <v>5.4054054054054057E-2</v>
      </c>
      <c r="AT519">
        <v>5.4054054054054057E-2</v>
      </c>
      <c r="AU519">
        <v>5.4054054054054057E-2</v>
      </c>
      <c r="AV519">
        <v>0</v>
      </c>
      <c r="AW519">
        <v>5.4054054054054057E-2</v>
      </c>
      <c r="AX519">
        <v>0.24324324324324331</v>
      </c>
      <c r="AY519">
        <v>0.24324324324324331</v>
      </c>
      <c r="AZ519">
        <v>0.1891891891891892</v>
      </c>
      <c r="BA519">
        <v>0.66666666666666663</v>
      </c>
      <c r="BB519">
        <v>0.96666666666666667</v>
      </c>
      <c r="BC519">
        <v>0.26666666666666672</v>
      </c>
      <c r="BD519">
        <v>0.7432432432432432</v>
      </c>
      <c r="BE519">
        <v>4</v>
      </c>
      <c r="BF519">
        <v>0.66081081081081083</v>
      </c>
      <c r="BG519">
        <v>0.7</v>
      </c>
      <c r="BH519" t="s">
        <v>86</v>
      </c>
      <c r="BI519">
        <v>0.66</v>
      </c>
      <c r="BJ519" t="s">
        <v>86</v>
      </c>
      <c r="BK519" s="2">
        <f t="shared" si="17"/>
        <v>3.9999999999999925E-2</v>
      </c>
      <c r="BL519" t="b">
        <f t="shared" si="18"/>
        <v>1</v>
      </c>
    </row>
    <row r="520" spans="1:64" x14ac:dyDescent="0.35">
      <c r="A520" t="s">
        <v>1500</v>
      </c>
      <c r="B520" t="s">
        <v>1501</v>
      </c>
      <c r="C520">
        <v>2017</v>
      </c>
      <c r="D520" t="s">
        <v>1502</v>
      </c>
      <c r="E520" t="s">
        <v>1503</v>
      </c>
      <c r="F520" t="s">
        <v>66</v>
      </c>
      <c r="G520" t="s">
        <v>101</v>
      </c>
      <c r="H520" t="s">
        <v>129</v>
      </c>
      <c r="I520" t="s">
        <v>1504</v>
      </c>
      <c r="J520" t="s">
        <v>70</v>
      </c>
      <c r="L520">
        <v>1</v>
      </c>
      <c r="M520" t="b">
        <v>0</v>
      </c>
      <c r="N520">
        <v>3</v>
      </c>
      <c r="O520">
        <v>2</v>
      </c>
      <c r="P520">
        <v>4</v>
      </c>
      <c r="Q520">
        <v>1</v>
      </c>
      <c r="R520">
        <v>3</v>
      </c>
      <c r="S520">
        <v>4</v>
      </c>
      <c r="T520">
        <v>18</v>
      </c>
      <c r="U520">
        <v>428</v>
      </c>
      <c r="V520">
        <v>67</v>
      </c>
      <c r="W520">
        <v>15</v>
      </c>
      <c r="X520">
        <v>4.4666666666666668</v>
      </c>
      <c r="Y520">
        <v>1</v>
      </c>
      <c r="Z520">
        <v>51</v>
      </c>
      <c r="AA520">
        <v>0</v>
      </c>
      <c r="AB520">
        <v>0</v>
      </c>
      <c r="AC520">
        <v>1</v>
      </c>
      <c r="AD520">
        <v>1</v>
      </c>
      <c r="AE520">
        <v>29</v>
      </c>
      <c r="AF520">
        <v>1</v>
      </c>
      <c r="AG520">
        <v>4</v>
      </c>
      <c r="AH520">
        <v>2</v>
      </c>
      <c r="AI520">
        <v>139</v>
      </c>
      <c r="AJ520">
        <v>0</v>
      </c>
      <c r="AK520">
        <v>0</v>
      </c>
      <c r="AL520">
        <v>2</v>
      </c>
      <c r="AM520">
        <v>139</v>
      </c>
      <c r="AN520">
        <v>2</v>
      </c>
      <c r="AO520">
        <v>55</v>
      </c>
      <c r="AP520">
        <v>2</v>
      </c>
      <c r="AQ520">
        <v>80</v>
      </c>
      <c r="AR520">
        <v>0.1191588785046729</v>
      </c>
      <c r="AS520">
        <v>0</v>
      </c>
      <c r="AT520">
        <v>6.7757009345794386E-2</v>
      </c>
      <c r="AU520">
        <v>9.3457943925233638E-3</v>
      </c>
      <c r="AV520">
        <v>0.32476635514018692</v>
      </c>
      <c r="AW520">
        <v>0.32476635514018692</v>
      </c>
      <c r="AX520">
        <v>0.12850467289719619</v>
      </c>
      <c r="AY520">
        <v>0.18691588785046731</v>
      </c>
      <c r="AZ520">
        <v>-0.1962616822429907</v>
      </c>
      <c r="BA520">
        <v>0.5</v>
      </c>
      <c r="BB520">
        <v>0.57777777777777783</v>
      </c>
      <c r="BC520">
        <v>0.1333333333333333</v>
      </c>
      <c r="BD520">
        <v>0.50233644859813076</v>
      </c>
      <c r="BE520">
        <v>4</v>
      </c>
      <c r="BF520">
        <v>0.4283618899273105</v>
      </c>
      <c r="BG520">
        <v>0.48</v>
      </c>
      <c r="BH520" t="s">
        <v>71</v>
      </c>
      <c r="BI520">
        <v>0.43</v>
      </c>
      <c r="BJ520" t="s">
        <v>71</v>
      </c>
      <c r="BK520" s="2">
        <f t="shared" si="17"/>
        <v>4.9999999999999989E-2</v>
      </c>
      <c r="BL520" t="b">
        <f t="shared" si="18"/>
        <v>1</v>
      </c>
    </row>
    <row r="521" spans="1:64" x14ac:dyDescent="0.35">
      <c r="A521" t="s">
        <v>1505</v>
      </c>
      <c r="B521" t="s">
        <v>1501</v>
      </c>
      <c r="C521">
        <v>2022</v>
      </c>
      <c r="D521" t="s">
        <v>1502</v>
      </c>
      <c r="E521" t="s">
        <v>1503</v>
      </c>
      <c r="F521" t="s">
        <v>66</v>
      </c>
      <c r="G521" t="s">
        <v>101</v>
      </c>
      <c r="H521" t="s">
        <v>129</v>
      </c>
      <c r="I521" t="s">
        <v>1504</v>
      </c>
      <c r="J521" t="s">
        <v>70</v>
      </c>
      <c r="L521">
        <v>1</v>
      </c>
      <c r="M521" t="b">
        <v>0</v>
      </c>
      <c r="N521">
        <v>4</v>
      </c>
      <c r="O521">
        <v>2</v>
      </c>
      <c r="P521">
        <v>3</v>
      </c>
      <c r="Q521">
        <v>5</v>
      </c>
      <c r="R521">
        <v>-2</v>
      </c>
      <c r="S521">
        <v>3</v>
      </c>
      <c r="T521">
        <v>10</v>
      </c>
      <c r="U521">
        <v>62</v>
      </c>
      <c r="V521">
        <v>36</v>
      </c>
      <c r="W521">
        <v>9</v>
      </c>
      <c r="X521">
        <v>4</v>
      </c>
      <c r="Y521">
        <v>1</v>
      </c>
      <c r="Z521">
        <v>1</v>
      </c>
      <c r="AA521">
        <v>0</v>
      </c>
      <c r="AB521">
        <v>0</v>
      </c>
      <c r="AC521">
        <v>2</v>
      </c>
      <c r="AD521">
        <v>1</v>
      </c>
      <c r="AE521">
        <v>26</v>
      </c>
      <c r="AF521">
        <v>0</v>
      </c>
      <c r="AG521">
        <v>0</v>
      </c>
      <c r="AH521">
        <v>2</v>
      </c>
      <c r="AI521">
        <v>5</v>
      </c>
      <c r="AJ521">
        <v>2</v>
      </c>
      <c r="AK521">
        <v>3</v>
      </c>
      <c r="AL521">
        <v>4</v>
      </c>
      <c r="AM521">
        <v>8</v>
      </c>
      <c r="AN521">
        <v>1</v>
      </c>
      <c r="AO521">
        <v>1</v>
      </c>
      <c r="AP521">
        <v>2</v>
      </c>
      <c r="AQ521">
        <v>27</v>
      </c>
      <c r="AR521">
        <v>1.6129032258064519E-2</v>
      </c>
      <c r="AS521">
        <v>0</v>
      </c>
      <c r="AT521">
        <v>0.41935483870967738</v>
      </c>
      <c r="AU521">
        <v>0</v>
      </c>
      <c r="AV521">
        <v>8.0645161290322578E-2</v>
      </c>
      <c r="AW521">
        <v>0.1290322580645161</v>
      </c>
      <c r="AX521">
        <v>1.6129032258064519E-2</v>
      </c>
      <c r="AY521">
        <v>0.43548387096774188</v>
      </c>
      <c r="AZ521">
        <v>-0.1129032258064516</v>
      </c>
      <c r="BA521">
        <v>0.33333333333333331</v>
      </c>
      <c r="BB521">
        <v>0.5</v>
      </c>
      <c r="BC521">
        <v>0.1333333333333333</v>
      </c>
      <c r="BD521">
        <v>0.55443548387096775</v>
      </c>
      <c r="BE521">
        <v>4</v>
      </c>
      <c r="BF521">
        <v>0.38027553763440858</v>
      </c>
      <c r="BG521">
        <v>0.39</v>
      </c>
      <c r="BH521" t="s">
        <v>104</v>
      </c>
      <c r="BI521">
        <v>0.38</v>
      </c>
      <c r="BJ521" t="s">
        <v>104</v>
      </c>
      <c r="BK521" s="2">
        <f t="shared" si="17"/>
        <v>1.0000000000000009E-2</v>
      </c>
      <c r="BL521" t="b">
        <f t="shared" si="18"/>
        <v>1</v>
      </c>
    </row>
    <row r="522" spans="1:64" x14ac:dyDescent="0.35">
      <c r="A522" t="s">
        <v>1506</v>
      </c>
      <c r="B522" t="s">
        <v>1507</v>
      </c>
      <c r="C522">
        <v>2017</v>
      </c>
      <c r="D522" t="s">
        <v>1508</v>
      </c>
      <c r="E522" t="s">
        <v>1509</v>
      </c>
      <c r="F522" t="s">
        <v>66</v>
      </c>
      <c r="G522" t="s">
        <v>101</v>
      </c>
      <c r="H522" t="s">
        <v>424</v>
      </c>
      <c r="I522" t="s">
        <v>1510</v>
      </c>
      <c r="J522" t="s">
        <v>70</v>
      </c>
      <c r="L522">
        <v>1</v>
      </c>
      <c r="M522" t="b">
        <v>0</v>
      </c>
      <c r="N522">
        <v>1</v>
      </c>
      <c r="O522">
        <v>1</v>
      </c>
      <c r="P522">
        <v>8</v>
      </c>
      <c r="Q522">
        <v>2</v>
      </c>
      <c r="R522">
        <v>6</v>
      </c>
      <c r="S522">
        <v>5</v>
      </c>
      <c r="T522">
        <v>23</v>
      </c>
      <c r="U522">
        <v>561</v>
      </c>
      <c r="V522">
        <v>93</v>
      </c>
      <c r="W522">
        <v>18</v>
      </c>
      <c r="X522">
        <v>5.166666666666667</v>
      </c>
      <c r="Y522">
        <v>1</v>
      </c>
      <c r="Z522">
        <v>14</v>
      </c>
      <c r="AA522">
        <v>0</v>
      </c>
      <c r="AB522">
        <v>0</v>
      </c>
      <c r="AC522">
        <v>4</v>
      </c>
      <c r="AD522">
        <v>4</v>
      </c>
      <c r="AE522">
        <v>181</v>
      </c>
      <c r="AF522">
        <v>0</v>
      </c>
      <c r="AG522">
        <v>0</v>
      </c>
      <c r="AH522">
        <v>1</v>
      </c>
      <c r="AI522">
        <v>27</v>
      </c>
      <c r="AJ522">
        <v>1</v>
      </c>
      <c r="AK522">
        <v>1</v>
      </c>
      <c r="AL522">
        <v>2</v>
      </c>
      <c r="AM522">
        <v>28</v>
      </c>
      <c r="AN522">
        <v>1</v>
      </c>
      <c r="AO522">
        <v>14</v>
      </c>
      <c r="AP522">
        <v>5</v>
      </c>
      <c r="AQ522">
        <v>195</v>
      </c>
      <c r="AR522">
        <v>2.4955436720142599E-2</v>
      </c>
      <c r="AS522">
        <v>0</v>
      </c>
      <c r="AT522">
        <v>0.32263814616755793</v>
      </c>
      <c r="AU522">
        <v>0</v>
      </c>
      <c r="AV522">
        <v>4.8128342245989303E-2</v>
      </c>
      <c r="AW522">
        <v>4.9910873440285212E-2</v>
      </c>
      <c r="AX522">
        <v>2.4955436720142599E-2</v>
      </c>
      <c r="AY522">
        <v>0.34759358288770048</v>
      </c>
      <c r="AZ522">
        <v>-2.4955436720142599E-2</v>
      </c>
      <c r="BA522">
        <v>0.66666666666666663</v>
      </c>
      <c r="BB522">
        <v>0.69444444444444453</v>
      </c>
      <c r="BC522">
        <v>0.33333333333333331</v>
      </c>
      <c r="BD522">
        <v>0.60940285204991085</v>
      </c>
      <c r="BE522">
        <v>4</v>
      </c>
      <c r="BF522">
        <v>0.57596182412358887</v>
      </c>
      <c r="BG522">
        <v>0.57999999999999996</v>
      </c>
      <c r="BH522" t="s">
        <v>71</v>
      </c>
      <c r="BI522">
        <v>0.57999999999999996</v>
      </c>
      <c r="BJ522" t="s">
        <v>71</v>
      </c>
      <c r="BK522" s="2">
        <f t="shared" si="17"/>
        <v>0</v>
      </c>
      <c r="BL522" t="b">
        <f t="shared" si="18"/>
        <v>1</v>
      </c>
    </row>
    <row r="523" spans="1:64" x14ac:dyDescent="0.35">
      <c r="A523" t="s">
        <v>1511</v>
      </c>
      <c r="B523" t="s">
        <v>1507</v>
      </c>
      <c r="C523">
        <v>2020</v>
      </c>
      <c r="D523" t="s">
        <v>1508</v>
      </c>
      <c r="E523" t="s">
        <v>1509</v>
      </c>
      <c r="F523" t="s">
        <v>66</v>
      </c>
      <c r="G523" t="s">
        <v>101</v>
      </c>
      <c r="H523" t="s">
        <v>424</v>
      </c>
      <c r="I523" t="s">
        <v>1510</v>
      </c>
      <c r="J523" t="s">
        <v>70</v>
      </c>
      <c r="L523">
        <v>1</v>
      </c>
      <c r="M523" t="b">
        <v>0</v>
      </c>
      <c r="N523">
        <v>3</v>
      </c>
      <c r="O523">
        <v>1</v>
      </c>
      <c r="P523">
        <v>2</v>
      </c>
      <c r="Q523">
        <v>1</v>
      </c>
      <c r="R523">
        <v>1</v>
      </c>
      <c r="S523">
        <v>4</v>
      </c>
      <c r="T523">
        <v>20</v>
      </c>
      <c r="U523">
        <v>687</v>
      </c>
      <c r="V523">
        <v>65</v>
      </c>
      <c r="W523">
        <v>15</v>
      </c>
      <c r="X523">
        <v>4.333333333333333</v>
      </c>
      <c r="Y523">
        <v>2</v>
      </c>
      <c r="Z523">
        <v>72</v>
      </c>
      <c r="AA523">
        <v>0</v>
      </c>
      <c r="AB523">
        <v>0</v>
      </c>
      <c r="AC523">
        <v>7</v>
      </c>
      <c r="AD523">
        <v>7</v>
      </c>
      <c r="AE523">
        <v>276</v>
      </c>
      <c r="AF523">
        <v>2</v>
      </c>
      <c r="AG523">
        <v>28</v>
      </c>
      <c r="AH523">
        <v>2</v>
      </c>
      <c r="AI523">
        <v>84</v>
      </c>
      <c r="AJ523">
        <v>0</v>
      </c>
      <c r="AK523">
        <v>0</v>
      </c>
      <c r="AL523">
        <v>2</v>
      </c>
      <c r="AM523">
        <v>84</v>
      </c>
      <c r="AN523">
        <v>4</v>
      </c>
      <c r="AO523">
        <v>100</v>
      </c>
      <c r="AP523">
        <v>9</v>
      </c>
      <c r="AQ523">
        <v>348</v>
      </c>
      <c r="AR523">
        <v>0.1048034934497817</v>
      </c>
      <c r="AS523">
        <v>0</v>
      </c>
      <c r="AT523">
        <v>0.40174672489082969</v>
      </c>
      <c r="AU523">
        <v>4.0756914119359527E-2</v>
      </c>
      <c r="AV523">
        <v>0.1222707423580786</v>
      </c>
      <c r="AW523">
        <v>0.1222707423580786</v>
      </c>
      <c r="AX523">
        <v>0.14556040756914121</v>
      </c>
      <c r="AY523">
        <v>0.50655021834061131</v>
      </c>
      <c r="AZ523">
        <v>2.3289665211062589E-2</v>
      </c>
      <c r="BA523">
        <v>0.5</v>
      </c>
      <c r="BB523">
        <v>0.55555555555555547</v>
      </c>
      <c r="BC523">
        <v>0.6</v>
      </c>
      <c r="BD523">
        <v>0.63955604075691408</v>
      </c>
      <c r="BE523">
        <v>4</v>
      </c>
      <c r="BF523">
        <v>0.57377789907811738</v>
      </c>
      <c r="BG523">
        <v>0.59</v>
      </c>
      <c r="BH523" t="s">
        <v>71</v>
      </c>
      <c r="BI523">
        <v>0.56999999999999995</v>
      </c>
      <c r="BJ523" t="s">
        <v>71</v>
      </c>
      <c r="BK523" s="2">
        <f t="shared" si="17"/>
        <v>2.0000000000000018E-2</v>
      </c>
      <c r="BL523" t="b">
        <f t="shared" si="18"/>
        <v>1</v>
      </c>
    </row>
    <row r="524" spans="1:64" x14ac:dyDescent="0.35">
      <c r="A524" t="s">
        <v>1512</v>
      </c>
      <c r="B524" t="s">
        <v>1513</v>
      </c>
      <c r="C524">
        <v>2016</v>
      </c>
      <c r="D524" t="s">
        <v>1514</v>
      </c>
      <c r="E524" t="s">
        <v>1515</v>
      </c>
      <c r="F524" t="s">
        <v>66</v>
      </c>
      <c r="G524" t="s">
        <v>91</v>
      </c>
      <c r="H524" t="s">
        <v>91</v>
      </c>
      <c r="I524" t="s">
        <v>612</v>
      </c>
      <c r="J524" t="s">
        <v>70</v>
      </c>
      <c r="L524">
        <v>1</v>
      </c>
      <c r="M524" t="b">
        <v>0</v>
      </c>
      <c r="N524">
        <v>3</v>
      </c>
      <c r="O524">
        <v>1</v>
      </c>
      <c r="P524">
        <v>4</v>
      </c>
      <c r="Q524">
        <v>3</v>
      </c>
      <c r="R524">
        <v>1</v>
      </c>
      <c r="S524">
        <v>4</v>
      </c>
      <c r="T524">
        <v>21</v>
      </c>
      <c r="U524">
        <v>368</v>
      </c>
      <c r="V524">
        <v>76</v>
      </c>
      <c r="W524">
        <v>15</v>
      </c>
      <c r="X524">
        <v>5.0666666666666664</v>
      </c>
      <c r="Y524">
        <v>4</v>
      </c>
      <c r="Z524">
        <v>84</v>
      </c>
      <c r="AA524">
        <v>0</v>
      </c>
      <c r="AB524">
        <v>0</v>
      </c>
      <c r="AC524">
        <v>2</v>
      </c>
      <c r="AD524">
        <v>2</v>
      </c>
      <c r="AE524">
        <v>58</v>
      </c>
      <c r="AF524">
        <v>3</v>
      </c>
      <c r="AG524">
        <v>28</v>
      </c>
      <c r="AH524">
        <v>1</v>
      </c>
      <c r="AI524">
        <v>39</v>
      </c>
      <c r="AJ524">
        <v>1</v>
      </c>
      <c r="AK524">
        <v>10</v>
      </c>
      <c r="AL524">
        <v>2</v>
      </c>
      <c r="AM524">
        <v>49</v>
      </c>
      <c r="AN524">
        <v>7</v>
      </c>
      <c r="AO524">
        <v>112</v>
      </c>
      <c r="AP524">
        <v>6</v>
      </c>
      <c r="AQ524">
        <v>142</v>
      </c>
      <c r="AR524">
        <v>0.22826086956521741</v>
      </c>
      <c r="AS524">
        <v>0</v>
      </c>
      <c r="AT524">
        <v>0.15760869565217389</v>
      </c>
      <c r="AU524">
        <v>7.6086956521739135E-2</v>
      </c>
      <c r="AV524">
        <v>0.1059782608695652</v>
      </c>
      <c r="AW524">
        <v>0.13315217391304349</v>
      </c>
      <c r="AX524">
        <v>0.30434782608695649</v>
      </c>
      <c r="AY524">
        <v>0.3858695652173913</v>
      </c>
      <c r="AZ524">
        <v>0.17119565217391311</v>
      </c>
      <c r="BA524">
        <v>0.5</v>
      </c>
      <c r="BB524">
        <v>0.6777777777777777</v>
      </c>
      <c r="BC524">
        <v>0.4</v>
      </c>
      <c r="BD524">
        <v>0.73199728260869568</v>
      </c>
      <c r="BE524">
        <v>4</v>
      </c>
      <c r="BF524">
        <v>0.57744376509661832</v>
      </c>
      <c r="BG524">
        <v>0.59</v>
      </c>
      <c r="BH524" t="s">
        <v>71</v>
      </c>
      <c r="BI524">
        <v>0.57999999999999996</v>
      </c>
      <c r="BJ524" t="s">
        <v>71</v>
      </c>
      <c r="BK524" s="2">
        <f t="shared" si="17"/>
        <v>1.0000000000000009E-2</v>
      </c>
      <c r="BL524" t="b">
        <f t="shared" si="18"/>
        <v>1</v>
      </c>
    </row>
    <row r="525" spans="1:64" x14ac:dyDescent="0.35">
      <c r="A525" t="s">
        <v>1516</v>
      </c>
      <c r="B525" t="s">
        <v>1513</v>
      </c>
      <c r="C525">
        <v>2020</v>
      </c>
      <c r="D525" t="s">
        <v>1514</v>
      </c>
      <c r="E525" t="s">
        <v>1515</v>
      </c>
      <c r="F525" t="s">
        <v>66</v>
      </c>
      <c r="G525" t="s">
        <v>91</v>
      </c>
      <c r="H525" t="s">
        <v>91</v>
      </c>
      <c r="I525" t="s">
        <v>612</v>
      </c>
      <c r="J525" t="s">
        <v>70</v>
      </c>
      <c r="L525">
        <v>1</v>
      </c>
      <c r="M525" t="b">
        <v>0</v>
      </c>
      <c r="N525">
        <v>1</v>
      </c>
      <c r="O525">
        <v>1</v>
      </c>
      <c r="P525">
        <v>7</v>
      </c>
      <c r="Q525">
        <v>2</v>
      </c>
      <c r="R525">
        <v>5</v>
      </c>
      <c r="S525">
        <v>5</v>
      </c>
      <c r="T525">
        <v>28</v>
      </c>
      <c r="U525">
        <v>488</v>
      </c>
      <c r="V525">
        <v>110</v>
      </c>
      <c r="W525">
        <v>21</v>
      </c>
      <c r="X525">
        <v>5.2380952380952381</v>
      </c>
      <c r="Y525">
        <v>4</v>
      </c>
      <c r="Z525">
        <v>107</v>
      </c>
      <c r="AA525">
        <v>0</v>
      </c>
      <c r="AB525">
        <v>0</v>
      </c>
      <c r="AC525">
        <v>4</v>
      </c>
      <c r="AD525">
        <v>4</v>
      </c>
      <c r="AE525">
        <v>146</v>
      </c>
      <c r="AF525">
        <v>4</v>
      </c>
      <c r="AG525">
        <v>20</v>
      </c>
      <c r="AH525">
        <v>1</v>
      </c>
      <c r="AI525">
        <v>50</v>
      </c>
      <c r="AJ525">
        <v>1</v>
      </c>
      <c r="AK525">
        <v>19</v>
      </c>
      <c r="AL525">
        <v>2</v>
      </c>
      <c r="AM525">
        <v>69</v>
      </c>
      <c r="AN525">
        <v>8</v>
      </c>
      <c r="AO525">
        <v>127</v>
      </c>
      <c r="AP525">
        <v>8</v>
      </c>
      <c r="AQ525">
        <v>253</v>
      </c>
      <c r="AR525">
        <v>0.21926229508196721</v>
      </c>
      <c r="AS525">
        <v>0</v>
      </c>
      <c r="AT525">
        <v>0.29918032786885251</v>
      </c>
      <c r="AU525">
        <v>4.0983606557377053E-2</v>
      </c>
      <c r="AV525">
        <v>0.1024590163934426</v>
      </c>
      <c r="AW525">
        <v>0.14139344262295081</v>
      </c>
      <c r="AX525">
        <v>0.26024590163934419</v>
      </c>
      <c r="AY525">
        <v>0.51844262295081966</v>
      </c>
      <c r="AZ525">
        <v>0.11885245901639339</v>
      </c>
      <c r="BA525">
        <v>0.66666666666666663</v>
      </c>
      <c r="BB525">
        <v>0.70634920634920639</v>
      </c>
      <c r="BC525">
        <v>0.53333333333333333</v>
      </c>
      <c r="BD525">
        <v>0.69928278688524581</v>
      </c>
      <c r="BE525">
        <v>4</v>
      </c>
      <c r="BF525">
        <v>0.65140799830861307</v>
      </c>
      <c r="BG525">
        <v>0.68</v>
      </c>
      <c r="BH525" t="s">
        <v>86</v>
      </c>
      <c r="BI525">
        <v>0.65</v>
      </c>
      <c r="BJ525" t="s">
        <v>86</v>
      </c>
      <c r="BK525" s="2">
        <f t="shared" si="17"/>
        <v>3.0000000000000027E-2</v>
      </c>
      <c r="BL525" t="b">
        <f t="shared" si="18"/>
        <v>1</v>
      </c>
    </row>
    <row r="526" spans="1:64" x14ac:dyDescent="0.35">
      <c r="A526" t="s">
        <v>1517</v>
      </c>
      <c r="B526" t="s">
        <v>1518</v>
      </c>
      <c r="C526">
        <v>2017</v>
      </c>
      <c r="D526" t="s">
        <v>1519</v>
      </c>
      <c r="E526" t="s">
        <v>1520</v>
      </c>
      <c r="F526" t="s">
        <v>66</v>
      </c>
      <c r="G526" t="s">
        <v>101</v>
      </c>
      <c r="H526" t="s">
        <v>348</v>
      </c>
      <c r="I526" t="s">
        <v>349</v>
      </c>
      <c r="J526" t="s">
        <v>70</v>
      </c>
      <c r="L526">
        <v>4</v>
      </c>
      <c r="M526" t="b">
        <v>0</v>
      </c>
      <c r="N526">
        <v>3</v>
      </c>
      <c r="O526">
        <v>1</v>
      </c>
      <c r="P526">
        <v>2</v>
      </c>
      <c r="Q526">
        <v>4</v>
      </c>
      <c r="R526">
        <v>-2</v>
      </c>
      <c r="S526">
        <v>3</v>
      </c>
      <c r="T526">
        <v>22</v>
      </c>
      <c r="U526">
        <v>341</v>
      </c>
      <c r="V526">
        <v>71</v>
      </c>
      <c r="W526">
        <v>16</v>
      </c>
      <c r="X526">
        <v>4.4375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27</v>
      </c>
      <c r="AF526">
        <v>2</v>
      </c>
      <c r="AG526">
        <v>21</v>
      </c>
      <c r="AH526">
        <v>1</v>
      </c>
      <c r="AI526">
        <v>39</v>
      </c>
      <c r="AJ526">
        <v>1</v>
      </c>
      <c r="AK526">
        <v>6</v>
      </c>
      <c r="AL526">
        <v>2</v>
      </c>
      <c r="AM526">
        <v>45</v>
      </c>
      <c r="AN526">
        <v>2</v>
      </c>
      <c r="AO526">
        <v>21</v>
      </c>
      <c r="AP526">
        <v>1</v>
      </c>
      <c r="AQ526">
        <v>27</v>
      </c>
      <c r="AR526">
        <v>0</v>
      </c>
      <c r="AS526">
        <v>0</v>
      </c>
      <c r="AT526">
        <v>7.9178885630498533E-2</v>
      </c>
      <c r="AU526">
        <v>6.1583577712609971E-2</v>
      </c>
      <c r="AV526">
        <v>0.1143695014662757</v>
      </c>
      <c r="AW526">
        <v>0.13196480938416419</v>
      </c>
      <c r="AX526">
        <v>6.1583577712609971E-2</v>
      </c>
      <c r="AY526">
        <v>7.9178885630498533E-2</v>
      </c>
      <c r="AZ526">
        <v>-7.0381231671554245E-2</v>
      </c>
      <c r="BA526">
        <v>0.33333333333333331</v>
      </c>
      <c r="BB526">
        <v>0.57291666666666663</v>
      </c>
      <c r="BC526">
        <v>6.6666666666666666E-2</v>
      </c>
      <c r="BD526">
        <v>0.58101173020527863</v>
      </c>
      <c r="BE526">
        <v>4</v>
      </c>
      <c r="BF526">
        <v>0.38848209921798632</v>
      </c>
      <c r="BG526">
        <v>0.41</v>
      </c>
      <c r="BH526" t="s">
        <v>71</v>
      </c>
      <c r="BI526">
        <v>0.39</v>
      </c>
      <c r="BJ526" t="s">
        <v>104</v>
      </c>
      <c r="BK526" s="2">
        <f t="shared" si="17"/>
        <v>1.9999999999999962E-2</v>
      </c>
      <c r="BL526" t="b">
        <f t="shared" si="18"/>
        <v>0</v>
      </c>
    </row>
    <row r="527" spans="1:64" x14ac:dyDescent="0.35">
      <c r="A527" t="s">
        <v>1521</v>
      </c>
      <c r="B527" t="s">
        <v>1518</v>
      </c>
      <c r="C527">
        <v>2020</v>
      </c>
      <c r="D527" t="s">
        <v>1519</v>
      </c>
      <c r="E527" t="s">
        <v>1520</v>
      </c>
      <c r="F527" t="s">
        <v>66</v>
      </c>
      <c r="G527" t="s">
        <v>101</v>
      </c>
      <c r="H527" t="s">
        <v>348</v>
      </c>
      <c r="I527" t="s">
        <v>349</v>
      </c>
      <c r="J527" t="s">
        <v>70</v>
      </c>
      <c r="L527">
        <v>4</v>
      </c>
      <c r="M527" t="b">
        <v>0</v>
      </c>
      <c r="N527">
        <v>4</v>
      </c>
      <c r="O527">
        <v>1</v>
      </c>
      <c r="P527">
        <v>0</v>
      </c>
      <c r="Q527">
        <v>4</v>
      </c>
      <c r="R527">
        <v>-4</v>
      </c>
      <c r="S527">
        <v>2</v>
      </c>
      <c r="T527">
        <v>14</v>
      </c>
      <c r="U527">
        <v>249</v>
      </c>
      <c r="V527">
        <v>39</v>
      </c>
      <c r="W527">
        <v>11</v>
      </c>
      <c r="X527">
        <v>3.545454545454545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18</v>
      </c>
      <c r="AF527">
        <v>1</v>
      </c>
      <c r="AG527">
        <v>4</v>
      </c>
      <c r="AH527">
        <v>1</v>
      </c>
      <c r="AI527">
        <v>5</v>
      </c>
      <c r="AJ527">
        <v>1</v>
      </c>
      <c r="AK527">
        <v>6</v>
      </c>
      <c r="AL527">
        <v>2</v>
      </c>
      <c r="AM527">
        <v>11</v>
      </c>
      <c r="AN527">
        <v>1</v>
      </c>
      <c r="AO527">
        <v>4</v>
      </c>
      <c r="AP527">
        <v>1</v>
      </c>
      <c r="AQ527">
        <v>18</v>
      </c>
      <c r="AR527">
        <v>0</v>
      </c>
      <c r="AS527">
        <v>0</v>
      </c>
      <c r="AT527">
        <v>7.2289156626506021E-2</v>
      </c>
      <c r="AU527">
        <v>1.6064257028112448E-2</v>
      </c>
      <c r="AV527">
        <v>2.0080321285140559E-2</v>
      </c>
      <c r="AW527">
        <v>4.4176706827309238E-2</v>
      </c>
      <c r="AX527">
        <v>1.6064257028112448E-2</v>
      </c>
      <c r="AY527">
        <v>7.2289156626506021E-2</v>
      </c>
      <c r="AZ527">
        <v>-2.811244979919679E-2</v>
      </c>
      <c r="BA527">
        <v>0.16666666666666671</v>
      </c>
      <c r="BB527">
        <v>0.42424242424242409</v>
      </c>
      <c r="BC527">
        <v>6.6666666666666666E-2</v>
      </c>
      <c r="BD527">
        <v>0.60742971887550201</v>
      </c>
      <c r="BE527">
        <v>4</v>
      </c>
      <c r="BF527">
        <v>0.31625136911281487</v>
      </c>
      <c r="BG527">
        <v>0.32</v>
      </c>
      <c r="BH527" t="s">
        <v>104</v>
      </c>
      <c r="BI527">
        <v>0.32</v>
      </c>
      <c r="BJ527" t="s">
        <v>104</v>
      </c>
      <c r="BK527" s="2">
        <f t="shared" si="17"/>
        <v>0</v>
      </c>
      <c r="BL527" t="b">
        <f t="shared" si="18"/>
        <v>1</v>
      </c>
    </row>
    <row r="528" spans="1:64" x14ac:dyDescent="0.35">
      <c r="A528" t="s">
        <v>1522</v>
      </c>
      <c r="B528" t="s">
        <v>1523</v>
      </c>
      <c r="C528">
        <v>2015</v>
      </c>
      <c r="D528" t="s">
        <v>1524</v>
      </c>
      <c r="E528" t="s">
        <v>1525</v>
      </c>
      <c r="F528" t="s">
        <v>66</v>
      </c>
      <c r="G528" t="s">
        <v>101</v>
      </c>
      <c r="H528" t="s">
        <v>129</v>
      </c>
      <c r="I528" t="s">
        <v>129</v>
      </c>
      <c r="J528" t="s">
        <v>70</v>
      </c>
      <c r="L528">
        <v>5</v>
      </c>
      <c r="M528" t="b">
        <v>0</v>
      </c>
      <c r="N528">
        <v>2</v>
      </c>
      <c r="O528">
        <v>1</v>
      </c>
      <c r="P528">
        <v>6</v>
      </c>
      <c r="Q528">
        <v>1</v>
      </c>
      <c r="R528">
        <v>5</v>
      </c>
      <c r="S528">
        <v>5</v>
      </c>
      <c r="T528">
        <v>27</v>
      </c>
      <c r="U528">
        <v>906</v>
      </c>
      <c r="V528">
        <v>106</v>
      </c>
      <c r="W528">
        <v>20</v>
      </c>
      <c r="X528">
        <v>5.3</v>
      </c>
      <c r="Y528">
        <v>3</v>
      </c>
      <c r="Z528">
        <v>60</v>
      </c>
      <c r="AA528">
        <v>1</v>
      </c>
      <c r="AB528">
        <v>26</v>
      </c>
      <c r="AC528">
        <v>4</v>
      </c>
      <c r="AD528">
        <v>4</v>
      </c>
      <c r="AE528">
        <v>263</v>
      </c>
      <c r="AF528">
        <v>1</v>
      </c>
      <c r="AG528">
        <v>86</v>
      </c>
      <c r="AH528">
        <v>1</v>
      </c>
      <c r="AI528">
        <v>65</v>
      </c>
      <c r="AJ528">
        <v>1</v>
      </c>
      <c r="AK528">
        <v>1</v>
      </c>
      <c r="AL528">
        <v>3</v>
      </c>
      <c r="AM528">
        <v>186</v>
      </c>
      <c r="AN528">
        <v>5</v>
      </c>
      <c r="AO528">
        <v>172</v>
      </c>
      <c r="AP528">
        <v>8</v>
      </c>
      <c r="AQ528">
        <v>349</v>
      </c>
      <c r="AR528">
        <v>6.6225165562913912E-2</v>
      </c>
      <c r="AS528">
        <v>2.8697571743929361E-2</v>
      </c>
      <c r="AT528">
        <v>0.29028697571743928</v>
      </c>
      <c r="AU528">
        <v>9.4922737306843266E-2</v>
      </c>
      <c r="AV528">
        <v>7.1743929359823405E-2</v>
      </c>
      <c r="AW528">
        <v>0.20529801324503311</v>
      </c>
      <c r="AX528">
        <v>0.1898454746136865</v>
      </c>
      <c r="AY528">
        <v>0.38520971302428259</v>
      </c>
      <c r="AZ528">
        <v>-1.5452538631346571E-2</v>
      </c>
      <c r="BA528">
        <v>0.66666666666666663</v>
      </c>
      <c r="BB528">
        <v>0.71666666666666667</v>
      </c>
      <c r="BC528">
        <v>0.53333333333333333</v>
      </c>
      <c r="BD528">
        <v>0.61534216335540837</v>
      </c>
      <c r="BE528">
        <v>4</v>
      </c>
      <c r="BF528">
        <v>0.63300220750551872</v>
      </c>
      <c r="BG528">
        <v>0.66</v>
      </c>
      <c r="BH528" t="s">
        <v>86</v>
      </c>
      <c r="BI528">
        <v>0.63</v>
      </c>
      <c r="BJ528" t="s">
        <v>86</v>
      </c>
      <c r="BK528" s="2">
        <f t="shared" si="17"/>
        <v>3.0000000000000027E-2</v>
      </c>
      <c r="BL528" t="b">
        <f t="shared" si="18"/>
        <v>1</v>
      </c>
    </row>
    <row r="529" spans="1:64" x14ac:dyDescent="0.35">
      <c r="A529" t="s">
        <v>1526</v>
      </c>
      <c r="B529" t="s">
        <v>1523</v>
      </c>
      <c r="C529">
        <v>2019</v>
      </c>
      <c r="D529" t="s">
        <v>1524</v>
      </c>
      <c r="E529" t="s">
        <v>1525</v>
      </c>
      <c r="F529" t="s">
        <v>66</v>
      </c>
      <c r="G529" t="s">
        <v>101</v>
      </c>
      <c r="H529" t="s">
        <v>129</v>
      </c>
      <c r="I529" t="s">
        <v>129</v>
      </c>
      <c r="J529" t="s">
        <v>70</v>
      </c>
      <c r="L529">
        <v>5</v>
      </c>
      <c r="M529" t="b">
        <v>0</v>
      </c>
      <c r="N529">
        <v>1</v>
      </c>
      <c r="O529">
        <v>2</v>
      </c>
      <c r="P529">
        <v>12</v>
      </c>
      <c r="Q529">
        <v>2</v>
      </c>
      <c r="R529">
        <v>10</v>
      </c>
      <c r="S529">
        <v>7</v>
      </c>
      <c r="T529">
        <v>43</v>
      </c>
      <c r="U529">
        <v>1813</v>
      </c>
      <c r="V529">
        <v>187</v>
      </c>
      <c r="W529">
        <v>30</v>
      </c>
      <c r="X529">
        <v>6.2333333333333334</v>
      </c>
      <c r="Y529">
        <v>7</v>
      </c>
      <c r="Z529">
        <v>315</v>
      </c>
      <c r="AA529">
        <v>0</v>
      </c>
      <c r="AB529">
        <v>0</v>
      </c>
      <c r="AC529">
        <v>5</v>
      </c>
      <c r="AD529">
        <v>5</v>
      </c>
      <c r="AE529">
        <v>412</v>
      </c>
      <c r="AF529">
        <v>2</v>
      </c>
      <c r="AG529">
        <v>28</v>
      </c>
      <c r="AH529">
        <v>1</v>
      </c>
      <c r="AI529">
        <v>40</v>
      </c>
      <c r="AJ529">
        <v>3</v>
      </c>
      <c r="AK529">
        <v>9</v>
      </c>
      <c r="AL529">
        <v>5</v>
      </c>
      <c r="AM529">
        <v>196</v>
      </c>
      <c r="AN529">
        <v>9</v>
      </c>
      <c r="AO529">
        <v>343</v>
      </c>
      <c r="AP529">
        <v>12</v>
      </c>
      <c r="AQ529">
        <v>727</v>
      </c>
      <c r="AR529">
        <v>0.17374517374517379</v>
      </c>
      <c r="AS529">
        <v>0</v>
      </c>
      <c r="AT529">
        <v>0.2272476558190844</v>
      </c>
      <c r="AU529">
        <v>1.5444015444015439E-2</v>
      </c>
      <c r="AV529">
        <v>2.2062879205736349E-2</v>
      </c>
      <c r="AW529">
        <v>0.1081081081081081</v>
      </c>
      <c r="AX529">
        <v>0.1891891891891892</v>
      </c>
      <c r="AY529">
        <v>0.40099282956425808</v>
      </c>
      <c r="AZ529">
        <v>8.1081081081081086E-2</v>
      </c>
      <c r="BA529">
        <v>1</v>
      </c>
      <c r="BB529">
        <v>0.87222222222222223</v>
      </c>
      <c r="BC529">
        <v>0.8</v>
      </c>
      <c r="BD529">
        <v>0.67567567567567566</v>
      </c>
      <c r="BE529">
        <v>4</v>
      </c>
      <c r="BF529">
        <v>0.83697447447447448</v>
      </c>
      <c r="BG529">
        <v>0.81</v>
      </c>
      <c r="BH529" t="s">
        <v>164</v>
      </c>
      <c r="BI529">
        <v>0.84</v>
      </c>
      <c r="BJ529" t="s">
        <v>164</v>
      </c>
      <c r="BK529" s="2">
        <f t="shared" si="17"/>
        <v>-2.9999999999999916E-2</v>
      </c>
      <c r="BL529" t="b">
        <f t="shared" si="18"/>
        <v>1</v>
      </c>
    </row>
    <row r="530" spans="1:64" x14ac:dyDescent="0.35">
      <c r="A530" t="s">
        <v>1527</v>
      </c>
      <c r="B530" t="s">
        <v>1528</v>
      </c>
      <c r="C530">
        <v>2017</v>
      </c>
      <c r="D530" t="s">
        <v>1529</v>
      </c>
      <c r="E530" t="s">
        <v>1530</v>
      </c>
      <c r="F530" t="s">
        <v>66</v>
      </c>
      <c r="G530" t="s">
        <v>101</v>
      </c>
      <c r="H530" t="s">
        <v>211</v>
      </c>
      <c r="I530" t="s">
        <v>1531</v>
      </c>
      <c r="J530" t="s">
        <v>70</v>
      </c>
      <c r="L530">
        <v>1</v>
      </c>
      <c r="M530" t="b">
        <v>0</v>
      </c>
      <c r="N530">
        <v>3</v>
      </c>
      <c r="O530">
        <v>1</v>
      </c>
      <c r="P530">
        <v>2</v>
      </c>
      <c r="Q530">
        <v>6</v>
      </c>
      <c r="R530">
        <v>-4</v>
      </c>
      <c r="S530">
        <v>3</v>
      </c>
      <c r="T530">
        <v>21</v>
      </c>
      <c r="U530">
        <v>510</v>
      </c>
      <c r="V530">
        <v>61</v>
      </c>
      <c r="W530">
        <v>14</v>
      </c>
      <c r="X530">
        <v>4.3571428571428568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2</v>
      </c>
      <c r="AE530">
        <v>77</v>
      </c>
      <c r="AF530">
        <v>1</v>
      </c>
      <c r="AG530">
        <v>1</v>
      </c>
      <c r="AH530">
        <v>1</v>
      </c>
      <c r="AI530">
        <v>88</v>
      </c>
      <c r="AJ530">
        <v>3</v>
      </c>
      <c r="AK530">
        <v>29</v>
      </c>
      <c r="AL530">
        <v>5</v>
      </c>
      <c r="AM530">
        <v>143</v>
      </c>
      <c r="AN530">
        <v>1</v>
      </c>
      <c r="AO530">
        <v>1</v>
      </c>
      <c r="AP530">
        <v>2</v>
      </c>
      <c r="AQ530">
        <v>77</v>
      </c>
      <c r="AR530">
        <v>0</v>
      </c>
      <c r="AS530">
        <v>0</v>
      </c>
      <c r="AT530">
        <v>0.15098039215686271</v>
      </c>
      <c r="AU530">
        <v>1.9607843137254902E-3</v>
      </c>
      <c r="AV530">
        <v>0.17254901960784311</v>
      </c>
      <c r="AW530">
        <v>0.2803921568627451</v>
      </c>
      <c r="AX530">
        <v>1.9607843137254902E-3</v>
      </c>
      <c r="AY530">
        <v>0.15098039215686271</v>
      </c>
      <c r="AZ530">
        <v>-0.27843137254901962</v>
      </c>
      <c r="BA530">
        <v>0.33333333333333331</v>
      </c>
      <c r="BB530">
        <v>0.55952380952380942</v>
      </c>
      <c r="BC530">
        <v>0.1333333333333333</v>
      </c>
      <c r="BD530">
        <v>0.4509803921568627</v>
      </c>
      <c r="BE530">
        <v>4</v>
      </c>
      <c r="BF530">
        <v>0.3692927170868347</v>
      </c>
      <c r="BG530">
        <v>0.4</v>
      </c>
      <c r="BH530" t="s">
        <v>71</v>
      </c>
      <c r="BI530">
        <v>0.37</v>
      </c>
      <c r="BJ530" t="s">
        <v>104</v>
      </c>
      <c r="BK530" s="2">
        <f t="shared" si="17"/>
        <v>3.0000000000000027E-2</v>
      </c>
      <c r="BL530" t="b">
        <f t="shared" si="18"/>
        <v>0</v>
      </c>
    </row>
    <row r="531" spans="1:64" x14ac:dyDescent="0.35">
      <c r="A531" t="s">
        <v>1532</v>
      </c>
      <c r="B531" t="s">
        <v>1528</v>
      </c>
      <c r="C531">
        <v>2020</v>
      </c>
      <c r="D531" t="s">
        <v>1529</v>
      </c>
      <c r="E531" t="s">
        <v>1530</v>
      </c>
      <c r="F531" t="s">
        <v>66</v>
      </c>
      <c r="G531" t="s">
        <v>101</v>
      </c>
      <c r="H531" t="s">
        <v>211</v>
      </c>
      <c r="I531" t="s">
        <v>1531</v>
      </c>
      <c r="J531" t="s">
        <v>70</v>
      </c>
      <c r="L531">
        <v>1</v>
      </c>
      <c r="M531" t="b">
        <v>0</v>
      </c>
      <c r="N531">
        <v>1</v>
      </c>
      <c r="O531">
        <v>1</v>
      </c>
      <c r="P531">
        <v>6</v>
      </c>
      <c r="Q531">
        <v>5</v>
      </c>
      <c r="R531">
        <v>1</v>
      </c>
      <c r="S531">
        <v>4</v>
      </c>
      <c r="T531">
        <v>27</v>
      </c>
      <c r="U531">
        <v>414</v>
      </c>
      <c r="V531">
        <v>106</v>
      </c>
      <c r="W531">
        <v>22</v>
      </c>
      <c r="X531">
        <v>4.8181818181818183</v>
      </c>
      <c r="Y531">
        <v>2</v>
      </c>
      <c r="Z531">
        <v>32</v>
      </c>
      <c r="AA531">
        <v>0</v>
      </c>
      <c r="AB531">
        <v>0</v>
      </c>
      <c r="AC531">
        <v>3</v>
      </c>
      <c r="AD531">
        <v>3</v>
      </c>
      <c r="AE531">
        <v>56</v>
      </c>
      <c r="AF531">
        <v>0</v>
      </c>
      <c r="AG531">
        <v>0</v>
      </c>
      <c r="AH531">
        <v>3</v>
      </c>
      <c r="AI531">
        <v>73</v>
      </c>
      <c r="AJ531">
        <v>2</v>
      </c>
      <c r="AK531">
        <v>10</v>
      </c>
      <c r="AL531">
        <v>6</v>
      </c>
      <c r="AM531">
        <v>89</v>
      </c>
      <c r="AN531">
        <v>2</v>
      </c>
      <c r="AO531">
        <v>32</v>
      </c>
      <c r="AP531">
        <v>5</v>
      </c>
      <c r="AQ531">
        <v>88</v>
      </c>
      <c r="AR531">
        <v>7.7294685990338161E-2</v>
      </c>
      <c r="AS531">
        <v>0</v>
      </c>
      <c r="AT531">
        <v>0.13526570048309181</v>
      </c>
      <c r="AU531">
        <v>0</v>
      </c>
      <c r="AV531">
        <v>0.17632850241545889</v>
      </c>
      <c r="AW531">
        <v>0.214975845410628</v>
      </c>
      <c r="AX531">
        <v>7.7294685990338161E-2</v>
      </c>
      <c r="AY531">
        <v>0.21256038647343001</v>
      </c>
      <c r="AZ531">
        <v>-0.13768115942028991</v>
      </c>
      <c r="BA531">
        <v>0.5</v>
      </c>
      <c r="BB531">
        <v>0.63636363636363635</v>
      </c>
      <c r="BC531">
        <v>0.33333333333333331</v>
      </c>
      <c r="BD531">
        <v>0.53894927536231874</v>
      </c>
      <c r="BE531">
        <v>4</v>
      </c>
      <c r="BF531">
        <v>0.50216156126482214</v>
      </c>
      <c r="BG531">
        <v>0.53</v>
      </c>
      <c r="BH531" t="s">
        <v>71</v>
      </c>
      <c r="BI531">
        <v>0.5</v>
      </c>
      <c r="BJ531" t="s">
        <v>71</v>
      </c>
      <c r="BK531" s="2">
        <f t="shared" si="17"/>
        <v>3.0000000000000027E-2</v>
      </c>
      <c r="BL531" t="b">
        <f t="shared" si="18"/>
        <v>1</v>
      </c>
    </row>
    <row r="532" spans="1:64" x14ac:dyDescent="0.35">
      <c r="A532" t="s">
        <v>1533</v>
      </c>
      <c r="B532" t="s">
        <v>1534</v>
      </c>
      <c r="C532">
        <v>2014</v>
      </c>
      <c r="D532" t="s">
        <v>1535</v>
      </c>
      <c r="E532" t="s">
        <v>1536</v>
      </c>
      <c r="F532" t="s">
        <v>66</v>
      </c>
      <c r="G532" t="s">
        <v>101</v>
      </c>
      <c r="H532" t="s">
        <v>365</v>
      </c>
      <c r="I532" t="s">
        <v>631</v>
      </c>
      <c r="J532" t="s">
        <v>70</v>
      </c>
      <c r="L532">
        <v>3</v>
      </c>
      <c r="M532" t="b">
        <v>1</v>
      </c>
      <c r="N532">
        <v>1</v>
      </c>
      <c r="O532">
        <v>5</v>
      </c>
      <c r="P532">
        <v>18</v>
      </c>
      <c r="Q532">
        <v>2</v>
      </c>
      <c r="R532">
        <v>16</v>
      </c>
      <c r="S532">
        <v>7</v>
      </c>
      <c r="T532">
        <v>39</v>
      </c>
      <c r="U532">
        <v>835</v>
      </c>
      <c r="V532">
        <v>177</v>
      </c>
      <c r="W532">
        <v>25</v>
      </c>
      <c r="X532">
        <v>7.08</v>
      </c>
      <c r="Y532">
        <v>4</v>
      </c>
      <c r="Z532">
        <v>233</v>
      </c>
      <c r="AA532">
        <v>4</v>
      </c>
      <c r="AB532">
        <v>25</v>
      </c>
      <c r="AC532">
        <v>4</v>
      </c>
      <c r="AD532">
        <v>4</v>
      </c>
      <c r="AE532">
        <v>10</v>
      </c>
      <c r="AF532">
        <v>0</v>
      </c>
      <c r="AG532">
        <v>0</v>
      </c>
      <c r="AH532">
        <v>0</v>
      </c>
      <c r="AI532">
        <v>0</v>
      </c>
      <c r="AJ532">
        <v>2</v>
      </c>
      <c r="AK532">
        <v>2</v>
      </c>
      <c r="AL532">
        <v>2</v>
      </c>
      <c r="AM532">
        <v>2</v>
      </c>
      <c r="AN532">
        <v>8</v>
      </c>
      <c r="AO532">
        <v>258</v>
      </c>
      <c r="AP532">
        <v>12</v>
      </c>
      <c r="AQ532">
        <v>268</v>
      </c>
      <c r="AR532">
        <v>0.27904191616766472</v>
      </c>
      <c r="AS532">
        <v>2.9940119760479039E-2</v>
      </c>
      <c r="AT532">
        <v>1.1976047904191619E-2</v>
      </c>
      <c r="AU532">
        <v>0</v>
      </c>
      <c r="AV532">
        <v>0</v>
      </c>
      <c r="AW532">
        <v>2.3952095808383229E-3</v>
      </c>
      <c r="AX532">
        <v>0.30898203592814372</v>
      </c>
      <c r="AY532">
        <v>0.32095808383233532</v>
      </c>
      <c r="AZ532">
        <v>0.30658682634730539</v>
      </c>
      <c r="BA532">
        <v>1</v>
      </c>
      <c r="BB532">
        <v>1.013333333333333</v>
      </c>
      <c r="BC532">
        <v>0.8</v>
      </c>
      <c r="BD532">
        <v>0.81661676646706594</v>
      </c>
      <c r="BE532">
        <v>4</v>
      </c>
      <c r="BF532">
        <v>0.90748752495009988</v>
      </c>
      <c r="BG532">
        <v>0.9</v>
      </c>
      <c r="BH532" t="s">
        <v>164</v>
      </c>
      <c r="BI532">
        <v>0.91</v>
      </c>
      <c r="BJ532" t="s">
        <v>164</v>
      </c>
      <c r="BK532" s="2">
        <f t="shared" si="17"/>
        <v>-1.0000000000000009E-2</v>
      </c>
      <c r="BL532" t="b">
        <f t="shared" si="18"/>
        <v>1</v>
      </c>
    </row>
    <row r="533" spans="1:64" x14ac:dyDescent="0.35">
      <c r="A533" t="s">
        <v>1537</v>
      </c>
      <c r="B533" t="s">
        <v>1534</v>
      </c>
      <c r="C533">
        <v>2015</v>
      </c>
      <c r="D533" t="s">
        <v>1535</v>
      </c>
      <c r="E533" t="s">
        <v>1536</v>
      </c>
      <c r="F533" t="s">
        <v>66</v>
      </c>
      <c r="G533" t="s">
        <v>101</v>
      </c>
      <c r="H533" t="s">
        <v>365</v>
      </c>
      <c r="I533" t="s">
        <v>631</v>
      </c>
      <c r="J533" t="s">
        <v>70</v>
      </c>
      <c r="L533">
        <v>3</v>
      </c>
      <c r="M533" t="b">
        <v>1</v>
      </c>
      <c r="N533">
        <v>1</v>
      </c>
      <c r="O533">
        <v>5</v>
      </c>
      <c r="P533">
        <v>15</v>
      </c>
      <c r="Q533">
        <v>1</v>
      </c>
      <c r="R533">
        <v>14</v>
      </c>
      <c r="S533">
        <v>7</v>
      </c>
      <c r="T533">
        <v>40</v>
      </c>
      <c r="U533">
        <v>695</v>
      </c>
      <c r="V533">
        <v>206</v>
      </c>
      <c r="W533">
        <v>30</v>
      </c>
      <c r="X533">
        <v>6.8666666666666663</v>
      </c>
      <c r="Y533">
        <v>3</v>
      </c>
      <c r="Z533">
        <v>46</v>
      </c>
      <c r="AA533">
        <v>2</v>
      </c>
      <c r="AB533">
        <v>23</v>
      </c>
      <c r="AC533">
        <v>6</v>
      </c>
      <c r="AD533">
        <v>6</v>
      </c>
      <c r="AE533">
        <v>28</v>
      </c>
      <c r="AF533">
        <v>1</v>
      </c>
      <c r="AG533">
        <v>1</v>
      </c>
      <c r="AH533">
        <v>0</v>
      </c>
      <c r="AI533">
        <v>0</v>
      </c>
      <c r="AJ533">
        <v>2</v>
      </c>
      <c r="AK533">
        <v>7</v>
      </c>
      <c r="AL533">
        <v>2</v>
      </c>
      <c r="AM533">
        <v>7</v>
      </c>
      <c r="AN533">
        <v>6</v>
      </c>
      <c r="AO533">
        <v>70</v>
      </c>
      <c r="AP533">
        <v>11</v>
      </c>
      <c r="AQ533">
        <v>97</v>
      </c>
      <c r="AR533">
        <v>6.6187050359712229E-2</v>
      </c>
      <c r="AS533">
        <v>3.3093525179856108E-2</v>
      </c>
      <c r="AT533">
        <v>4.0287769784172658E-2</v>
      </c>
      <c r="AU533">
        <v>1.438848920863309E-3</v>
      </c>
      <c r="AV533">
        <v>0</v>
      </c>
      <c r="AW533">
        <v>1.0071942446043159E-2</v>
      </c>
      <c r="AX533">
        <v>0.10071942446043169</v>
      </c>
      <c r="AY533">
        <v>0.13956834532374099</v>
      </c>
      <c r="AZ533">
        <v>9.0647482014388492E-2</v>
      </c>
      <c r="BA533">
        <v>1</v>
      </c>
      <c r="BB533">
        <v>0.97777777777777775</v>
      </c>
      <c r="BC533">
        <v>0.73333333333333328</v>
      </c>
      <c r="BD533">
        <v>0.68165467625899279</v>
      </c>
      <c r="BE533">
        <v>4</v>
      </c>
      <c r="BF533">
        <v>0.84819144684252601</v>
      </c>
      <c r="BG533">
        <v>0.86</v>
      </c>
      <c r="BH533" t="s">
        <v>164</v>
      </c>
      <c r="BI533">
        <v>0.85</v>
      </c>
      <c r="BJ533" t="s">
        <v>164</v>
      </c>
      <c r="BK533" s="2">
        <f t="shared" si="17"/>
        <v>1.0000000000000009E-2</v>
      </c>
      <c r="BL533" t="b">
        <f t="shared" si="18"/>
        <v>1</v>
      </c>
    </row>
    <row r="534" spans="1:64" x14ac:dyDescent="0.35">
      <c r="A534" t="s">
        <v>1538</v>
      </c>
      <c r="B534" t="s">
        <v>1534</v>
      </c>
      <c r="C534">
        <v>2016</v>
      </c>
      <c r="D534" t="s">
        <v>1535</v>
      </c>
      <c r="E534" t="s">
        <v>1536</v>
      </c>
      <c r="F534" t="s">
        <v>66</v>
      </c>
      <c r="G534" t="s">
        <v>101</v>
      </c>
      <c r="H534" t="s">
        <v>365</v>
      </c>
      <c r="I534" t="s">
        <v>631</v>
      </c>
      <c r="J534" t="s">
        <v>70</v>
      </c>
      <c r="L534">
        <v>3</v>
      </c>
      <c r="M534" t="b">
        <v>1</v>
      </c>
      <c r="N534">
        <v>1</v>
      </c>
      <c r="O534">
        <v>4</v>
      </c>
      <c r="P534">
        <v>9</v>
      </c>
      <c r="Q534">
        <v>4</v>
      </c>
      <c r="R534">
        <v>5</v>
      </c>
      <c r="S534">
        <v>6</v>
      </c>
      <c r="T534">
        <v>22</v>
      </c>
      <c r="U534">
        <v>626</v>
      </c>
      <c r="V534">
        <v>98</v>
      </c>
      <c r="W534">
        <v>18</v>
      </c>
      <c r="X534">
        <v>5.4444444444444446</v>
      </c>
      <c r="Y534">
        <v>3</v>
      </c>
      <c r="Z534">
        <v>61</v>
      </c>
      <c r="AA534">
        <v>1</v>
      </c>
      <c r="AB534">
        <v>68</v>
      </c>
      <c r="AC534">
        <v>5</v>
      </c>
      <c r="AD534">
        <v>5</v>
      </c>
      <c r="AE534">
        <v>72</v>
      </c>
      <c r="AF534">
        <v>0</v>
      </c>
      <c r="AG534">
        <v>0</v>
      </c>
      <c r="AH534">
        <v>1</v>
      </c>
      <c r="AI534">
        <v>3</v>
      </c>
      <c r="AJ534">
        <v>2</v>
      </c>
      <c r="AK534">
        <v>12</v>
      </c>
      <c r="AL534">
        <v>3</v>
      </c>
      <c r="AM534">
        <v>15</v>
      </c>
      <c r="AN534">
        <v>4</v>
      </c>
      <c r="AO534">
        <v>129</v>
      </c>
      <c r="AP534">
        <v>9</v>
      </c>
      <c r="AQ534">
        <v>201</v>
      </c>
      <c r="AR534">
        <v>9.7444089456869012E-2</v>
      </c>
      <c r="AS534">
        <v>0.1086261980830671</v>
      </c>
      <c r="AT534">
        <v>0.11501597444089461</v>
      </c>
      <c r="AU534">
        <v>0</v>
      </c>
      <c r="AV534">
        <v>4.7923322683706068E-3</v>
      </c>
      <c r="AW534">
        <v>2.3961661341853031E-2</v>
      </c>
      <c r="AX534">
        <v>0.20607028753993609</v>
      </c>
      <c r="AY534">
        <v>0.32108626198083068</v>
      </c>
      <c r="AZ534">
        <v>0.1821086261980831</v>
      </c>
      <c r="BA534">
        <v>0.83333333333333337</v>
      </c>
      <c r="BB534">
        <v>0.74074074074074081</v>
      </c>
      <c r="BC534">
        <v>0.6</v>
      </c>
      <c r="BD534">
        <v>0.73881789137380194</v>
      </c>
      <c r="BE534">
        <v>4</v>
      </c>
      <c r="BF534">
        <v>0.728222991361969</v>
      </c>
      <c r="BG534">
        <v>0.72</v>
      </c>
      <c r="BH534" t="s">
        <v>86</v>
      </c>
      <c r="BI534">
        <v>0.73</v>
      </c>
      <c r="BJ534" t="s">
        <v>86</v>
      </c>
      <c r="BK534" s="2">
        <f t="shared" si="17"/>
        <v>-1.0000000000000009E-2</v>
      </c>
      <c r="BL534" t="b">
        <f t="shared" si="18"/>
        <v>1</v>
      </c>
    </row>
    <row r="535" spans="1:64" x14ac:dyDescent="0.35">
      <c r="A535" t="s">
        <v>1539</v>
      </c>
      <c r="B535" t="s">
        <v>1534</v>
      </c>
      <c r="C535">
        <v>2017</v>
      </c>
      <c r="D535" t="s">
        <v>1535</v>
      </c>
      <c r="E535" t="s">
        <v>1536</v>
      </c>
      <c r="F535" t="s">
        <v>66</v>
      </c>
      <c r="G535" t="s">
        <v>101</v>
      </c>
      <c r="H535" t="s">
        <v>365</v>
      </c>
      <c r="I535" t="s">
        <v>631</v>
      </c>
      <c r="J535" t="s">
        <v>70</v>
      </c>
      <c r="L535">
        <v>3</v>
      </c>
      <c r="M535" t="b">
        <v>1</v>
      </c>
      <c r="N535">
        <v>1</v>
      </c>
      <c r="O535">
        <v>4</v>
      </c>
      <c r="P535">
        <v>7</v>
      </c>
      <c r="Q535">
        <v>1</v>
      </c>
      <c r="R535">
        <v>6</v>
      </c>
      <c r="S535">
        <v>6</v>
      </c>
      <c r="T535">
        <v>18</v>
      </c>
      <c r="U535">
        <v>425</v>
      </c>
      <c r="V535">
        <v>79</v>
      </c>
      <c r="W535">
        <v>14</v>
      </c>
      <c r="X535">
        <v>5.6428571428571432</v>
      </c>
      <c r="Y535">
        <v>3</v>
      </c>
      <c r="Z535">
        <v>69</v>
      </c>
      <c r="AA535">
        <v>2</v>
      </c>
      <c r="AB535">
        <v>49</v>
      </c>
      <c r="AC535">
        <v>4</v>
      </c>
      <c r="AD535">
        <v>4</v>
      </c>
      <c r="AE535">
        <v>113</v>
      </c>
      <c r="AF535">
        <v>0</v>
      </c>
      <c r="AG535">
        <v>0</v>
      </c>
      <c r="AH535">
        <v>0</v>
      </c>
      <c r="AI535">
        <v>0</v>
      </c>
      <c r="AJ535">
        <v>2</v>
      </c>
      <c r="AK535">
        <v>4</v>
      </c>
      <c r="AL535">
        <v>3</v>
      </c>
      <c r="AM535">
        <v>15</v>
      </c>
      <c r="AN535">
        <v>5</v>
      </c>
      <c r="AO535">
        <v>118</v>
      </c>
      <c r="AP535">
        <v>9</v>
      </c>
      <c r="AQ535">
        <v>231</v>
      </c>
      <c r="AR535">
        <v>0.16235294117647059</v>
      </c>
      <c r="AS535">
        <v>0.1152941176470588</v>
      </c>
      <c r="AT535">
        <v>0.26588235294117651</v>
      </c>
      <c r="AU535">
        <v>0</v>
      </c>
      <c r="AV535">
        <v>0</v>
      </c>
      <c r="AW535">
        <v>3.5294117647058823E-2</v>
      </c>
      <c r="AX535">
        <v>0.27764705882352941</v>
      </c>
      <c r="AY535">
        <v>0.54352941176470593</v>
      </c>
      <c r="AZ535">
        <v>0.2423529411764706</v>
      </c>
      <c r="BA535">
        <v>0.83333333333333337</v>
      </c>
      <c r="BB535">
        <v>0.77380952380952384</v>
      </c>
      <c r="BC535">
        <v>0.6</v>
      </c>
      <c r="BD535">
        <v>0.77647058823529413</v>
      </c>
      <c r="BE535">
        <v>4</v>
      </c>
      <c r="BF535">
        <v>0.74590336134453783</v>
      </c>
      <c r="BG535">
        <v>0.75</v>
      </c>
      <c r="BH535" t="s">
        <v>86</v>
      </c>
      <c r="BI535">
        <v>0.75</v>
      </c>
      <c r="BJ535" t="s">
        <v>86</v>
      </c>
      <c r="BK535" s="2">
        <f t="shared" si="17"/>
        <v>0</v>
      </c>
      <c r="BL535" t="b">
        <f t="shared" si="18"/>
        <v>1</v>
      </c>
    </row>
    <row r="536" spans="1:64" x14ac:dyDescent="0.35">
      <c r="A536" t="s">
        <v>1540</v>
      </c>
      <c r="B536" t="s">
        <v>1534</v>
      </c>
      <c r="C536">
        <v>2020</v>
      </c>
      <c r="D536" t="s">
        <v>1535</v>
      </c>
      <c r="E536" t="s">
        <v>1536</v>
      </c>
      <c r="F536" t="s">
        <v>66</v>
      </c>
      <c r="G536" t="s">
        <v>101</v>
      </c>
      <c r="H536" t="s">
        <v>365</v>
      </c>
      <c r="I536" t="s">
        <v>631</v>
      </c>
      <c r="J536" t="s">
        <v>70</v>
      </c>
      <c r="L536">
        <v>3</v>
      </c>
      <c r="M536" t="b">
        <v>1</v>
      </c>
      <c r="N536">
        <v>1</v>
      </c>
      <c r="O536">
        <v>3</v>
      </c>
      <c r="P536">
        <v>11</v>
      </c>
      <c r="Q536">
        <v>1</v>
      </c>
      <c r="R536">
        <v>10</v>
      </c>
      <c r="S536">
        <v>7</v>
      </c>
      <c r="T536">
        <v>27</v>
      </c>
      <c r="U536">
        <v>422</v>
      </c>
      <c r="V536">
        <v>143</v>
      </c>
      <c r="W536">
        <v>21</v>
      </c>
      <c r="X536">
        <v>6.8095238095238093</v>
      </c>
      <c r="Y536">
        <v>3</v>
      </c>
      <c r="Z536">
        <v>57</v>
      </c>
      <c r="AA536">
        <v>3</v>
      </c>
      <c r="AB536">
        <v>76</v>
      </c>
      <c r="AC536">
        <v>6</v>
      </c>
      <c r="AD536">
        <v>6</v>
      </c>
      <c r="AE536">
        <v>69</v>
      </c>
      <c r="AF536">
        <v>1</v>
      </c>
      <c r="AG536">
        <v>1</v>
      </c>
      <c r="AH536">
        <v>2</v>
      </c>
      <c r="AI536">
        <v>23</v>
      </c>
      <c r="AJ536">
        <v>1</v>
      </c>
      <c r="AK536">
        <v>9</v>
      </c>
      <c r="AL536">
        <v>3</v>
      </c>
      <c r="AM536">
        <v>32</v>
      </c>
      <c r="AN536">
        <v>7</v>
      </c>
      <c r="AO536">
        <v>134</v>
      </c>
      <c r="AP536">
        <v>12</v>
      </c>
      <c r="AQ536">
        <v>202</v>
      </c>
      <c r="AR536">
        <v>0.1350710900473934</v>
      </c>
      <c r="AS536">
        <v>0.18009478672985779</v>
      </c>
      <c r="AT536">
        <v>0.1635071090047393</v>
      </c>
      <c r="AU536">
        <v>2.3696682464454978E-3</v>
      </c>
      <c r="AV536">
        <v>5.4502369668246453E-2</v>
      </c>
      <c r="AW536">
        <v>7.582938388625593E-2</v>
      </c>
      <c r="AX536">
        <v>0.31753554502369669</v>
      </c>
      <c r="AY536">
        <v>0.47867298578199052</v>
      </c>
      <c r="AZ536">
        <v>0.24170616113744081</v>
      </c>
      <c r="BA536">
        <v>1</v>
      </c>
      <c r="BB536">
        <v>0.96825396825396826</v>
      </c>
      <c r="BC536">
        <v>0.8</v>
      </c>
      <c r="BD536">
        <v>0.77606635071090058</v>
      </c>
      <c r="BE536">
        <v>4</v>
      </c>
      <c r="BF536">
        <v>0.88608007974121716</v>
      </c>
      <c r="BG536">
        <v>0.9</v>
      </c>
      <c r="BH536" t="s">
        <v>164</v>
      </c>
      <c r="BI536">
        <v>0.89</v>
      </c>
      <c r="BJ536" t="s">
        <v>164</v>
      </c>
      <c r="BK536" s="2">
        <f t="shared" si="17"/>
        <v>1.0000000000000009E-2</v>
      </c>
      <c r="BL536" t="b">
        <f t="shared" si="18"/>
        <v>1</v>
      </c>
    </row>
    <row r="537" spans="1:64" x14ac:dyDescent="0.35">
      <c r="A537" t="s">
        <v>1541</v>
      </c>
      <c r="B537" t="s">
        <v>1542</v>
      </c>
      <c r="C537">
        <v>2016</v>
      </c>
      <c r="D537" t="s">
        <v>1543</v>
      </c>
      <c r="E537" t="s">
        <v>1544</v>
      </c>
      <c r="F537" t="s">
        <v>66</v>
      </c>
      <c r="G537" t="s">
        <v>101</v>
      </c>
      <c r="H537" t="s">
        <v>348</v>
      </c>
      <c r="I537" t="s">
        <v>1545</v>
      </c>
      <c r="J537" t="s">
        <v>70</v>
      </c>
      <c r="L537">
        <v>1</v>
      </c>
      <c r="M537" t="b">
        <v>1</v>
      </c>
      <c r="N537">
        <v>1</v>
      </c>
      <c r="O537">
        <v>3</v>
      </c>
      <c r="P537">
        <v>9</v>
      </c>
      <c r="Q537">
        <v>2</v>
      </c>
      <c r="R537">
        <v>7</v>
      </c>
      <c r="S537">
        <v>6</v>
      </c>
      <c r="T537">
        <v>24</v>
      </c>
      <c r="U537">
        <v>297</v>
      </c>
      <c r="V537">
        <v>116</v>
      </c>
      <c r="W537">
        <v>18</v>
      </c>
      <c r="X537">
        <v>6.4444444444444446</v>
      </c>
      <c r="Y537">
        <v>3</v>
      </c>
      <c r="Z537">
        <v>72</v>
      </c>
      <c r="AA537">
        <v>2</v>
      </c>
      <c r="AB537">
        <v>26</v>
      </c>
      <c r="AC537">
        <v>6</v>
      </c>
      <c r="AD537">
        <v>6</v>
      </c>
      <c r="AE537">
        <v>21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5</v>
      </c>
      <c r="AO537">
        <v>98</v>
      </c>
      <c r="AP537">
        <v>11</v>
      </c>
      <c r="AQ537">
        <v>119</v>
      </c>
      <c r="AR537">
        <v>0.2424242424242424</v>
      </c>
      <c r="AS537">
        <v>8.7542087542087546E-2</v>
      </c>
      <c r="AT537">
        <v>7.0707070707070704E-2</v>
      </c>
      <c r="AU537">
        <v>0</v>
      </c>
      <c r="AV537">
        <v>0</v>
      </c>
      <c r="AW537">
        <v>0</v>
      </c>
      <c r="AX537">
        <v>0.32996632996633002</v>
      </c>
      <c r="AY537">
        <v>0.40067340067340068</v>
      </c>
      <c r="AZ537">
        <v>0.32996632996633002</v>
      </c>
      <c r="BA537">
        <v>0.83333333333333337</v>
      </c>
      <c r="BB537">
        <v>0.90740740740740744</v>
      </c>
      <c r="BC537">
        <v>0.73333333333333328</v>
      </c>
      <c r="BD537">
        <v>0.83122895622895621</v>
      </c>
      <c r="BE537">
        <v>4</v>
      </c>
      <c r="BF537">
        <v>0.82632575757575755</v>
      </c>
      <c r="BG537">
        <v>0.83</v>
      </c>
      <c r="BH537" t="s">
        <v>164</v>
      </c>
      <c r="BI537">
        <v>0.83</v>
      </c>
      <c r="BJ537" t="s">
        <v>164</v>
      </c>
      <c r="BK537" s="2">
        <f t="shared" si="17"/>
        <v>0</v>
      </c>
      <c r="BL537" t="b">
        <f t="shared" si="18"/>
        <v>1</v>
      </c>
    </row>
    <row r="538" spans="1:64" x14ac:dyDescent="0.35">
      <c r="A538" t="s">
        <v>1546</v>
      </c>
      <c r="B538" t="s">
        <v>1542</v>
      </c>
      <c r="C538">
        <v>2021</v>
      </c>
      <c r="D538" t="s">
        <v>1543</v>
      </c>
      <c r="E538" t="s">
        <v>1544</v>
      </c>
      <c r="F538" t="s">
        <v>66</v>
      </c>
      <c r="G538" t="s">
        <v>101</v>
      </c>
      <c r="H538" t="s">
        <v>348</v>
      </c>
      <c r="I538" t="s">
        <v>1545</v>
      </c>
      <c r="J538" t="s">
        <v>70</v>
      </c>
      <c r="L538">
        <v>1</v>
      </c>
      <c r="M538" t="b">
        <v>1</v>
      </c>
      <c r="N538">
        <v>1</v>
      </c>
      <c r="O538">
        <v>4</v>
      </c>
      <c r="P538">
        <v>9</v>
      </c>
      <c r="Q538">
        <v>3</v>
      </c>
      <c r="R538">
        <v>6</v>
      </c>
      <c r="S538">
        <v>6</v>
      </c>
      <c r="T538">
        <v>26</v>
      </c>
      <c r="U538">
        <v>341</v>
      </c>
      <c r="V538">
        <v>118</v>
      </c>
      <c r="W538">
        <v>20</v>
      </c>
      <c r="X538">
        <v>5.9</v>
      </c>
      <c r="Y538">
        <v>2</v>
      </c>
      <c r="Z538">
        <v>126</v>
      </c>
      <c r="AA538">
        <v>2</v>
      </c>
      <c r="AB538">
        <v>16</v>
      </c>
      <c r="AC538">
        <v>5</v>
      </c>
      <c r="AD538">
        <v>5</v>
      </c>
      <c r="AE538">
        <v>83</v>
      </c>
      <c r="AF538">
        <v>1</v>
      </c>
      <c r="AG538">
        <v>1</v>
      </c>
      <c r="AH538">
        <v>1</v>
      </c>
      <c r="AI538">
        <v>22</v>
      </c>
      <c r="AJ538">
        <v>1</v>
      </c>
      <c r="AK538">
        <v>1</v>
      </c>
      <c r="AL538">
        <v>2</v>
      </c>
      <c r="AM538">
        <v>23</v>
      </c>
      <c r="AN538">
        <v>5</v>
      </c>
      <c r="AO538">
        <v>143</v>
      </c>
      <c r="AP538">
        <v>9</v>
      </c>
      <c r="AQ538">
        <v>225</v>
      </c>
      <c r="AR538">
        <v>0.36950146627565977</v>
      </c>
      <c r="AS538">
        <v>4.6920821114369501E-2</v>
      </c>
      <c r="AT538">
        <v>0.24340175953079179</v>
      </c>
      <c r="AU538">
        <v>2.9325513196480938E-3</v>
      </c>
      <c r="AV538">
        <v>6.4516129032258063E-2</v>
      </c>
      <c r="AW538">
        <v>6.7448680351906154E-2</v>
      </c>
      <c r="AX538">
        <v>0.41935483870967738</v>
      </c>
      <c r="AY538">
        <v>0.65982404692082108</v>
      </c>
      <c r="AZ538">
        <v>0.35190615835777128</v>
      </c>
      <c r="BA538">
        <v>0.83333333333333337</v>
      </c>
      <c r="BB538">
        <v>0.81666666666666676</v>
      </c>
      <c r="BC538">
        <v>0.6</v>
      </c>
      <c r="BD538">
        <v>0.84494134897360706</v>
      </c>
      <c r="BE538">
        <v>4</v>
      </c>
      <c r="BF538">
        <v>0.77373533724340182</v>
      </c>
      <c r="BG538">
        <v>0.78</v>
      </c>
      <c r="BH538" t="s">
        <v>86</v>
      </c>
      <c r="BI538">
        <v>0.77</v>
      </c>
      <c r="BJ538" t="s">
        <v>86</v>
      </c>
      <c r="BK538" s="2">
        <f t="shared" si="17"/>
        <v>1.0000000000000009E-2</v>
      </c>
      <c r="BL538" t="b">
        <f t="shared" si="18"/>
        <v>1</v>
      </c>
    </row>
    <row r="539" spans="1:64" x14ac:dyDescent="0.35">
      <c r="A539" t="s">
        <v>1547</v>
      </c>
      <c r="B539" t="s">
        <v>1548</v>
      </c>
      <c r="C539">
        <v>2020</v>
      </c>
      <c r="D539" t="s">
        <v>1549</v>
      </c>
      <c r="E539" t="s">
        <v>1550</v>
      </c>
      <c r="F539" t="s">
        <v>66</v>
      </c>
      <c r="G539" t="s">
        <v>101</v>
      </c>
      <c r="H539" t="s">
        <v>348</v>
      </c>
      <c r="I539" t="s">
        <v>1551</v>
      </c>
      <c r="J539" t="s">
        <v>70</v>
      </c>
      <c r="L539">
        <v>1</v>
      </c>
      <c r="M539" t="b">
        <v>0</v>
      </c>
      <c r="N539">
        <v>1</v>
      </c>
      <c r="O539">
        <v>3</v>
      </c>
      <c r="P539">
        <v>11</v>
      </c>
      <c r="Q539">
        <v>1</v>
      </c>
      <c r="R539">
        <v>10</v>
      </c>
      <c r="S539">
        <v>7</v>
      </c>
      <c r="T539">
        <v>27</v>
      </c>
      <c r="U539">
        <v>539</v>
      </c>
      <c r="V539">
        <v>160</v>
      </c>
      <c r="W539">
        <v>23</v>
      </c>
      <c r="X539">
        <v>6.9565217391304346</v>
      </c>
      <c r="Y539">
        <v>6</v>
      </c>
      <c r="Z539">
        <v>235</v>
      </c>
      <c r="AA539">
        <v>2</v>
      </c>
      <c r="AB539">
        <v>70</v>
      </c>
      <c r="AC539">
        <v>3</v>
      </c>
      <c r="AD539">
        <v>3</v>
      </c>
      <c r="AE539">
        <v>37</v>
      </c>
      <c r="AF539">
        <v>0</v>
      </c>
      <c r="AG539">
        <v>0</v>
      </c>
      <c r="AH539">
        <v>1</v>
      </c>
      <c r="AI539">
        <v>3</v>
      </c>
      <c r="AJ539">
        <v>0</v>
      </c>
      <c r="AK539">
        <v>0</v>
      </c>
      <c r="AL539">
        <v>1</v>
      </c>
      <c r="AM539">
        <v>3</v>
      </c>
      <c r="AN539">
        <v>8</v>
      </c>
      <c r="AO539">
        <v>305</v>
      </c>
      <c r="AP539">
        <v>11</v>
      </c>
      <c r="AQ539">
        <v>342</v>
      </c>
      <c r="AR539">
        <v>0.4359925788497217</v>
      </c>
      <c r="AS539">
        <v>0.12987012987012991</v>
      </c>
      <c r="AT539">
        <v>6.8645640074211506E-2</v>
      </c>
      <c r="AU539">
        <v>0</v>
      </c>
      <c r="AV539">
        <v>5.5658627087198506E-3</v>
      </c>
      <c r="AW539">
        <v>5.5658627087198506E-3</v>
      </c>
      <c r="AX539">
        <v>0.56586270871985156</v>
      </c>
      <c r="AY539">
        <v>0.63450834879406304</v>
      </c>
      <c r="AZ539">
        <v>0.56029684601113172</v>
      </c>
      <c r="BA539">
        <v>1</v>
      </c>
      <c r="BB539">
        <v>0.99275362318840576</v>
      </c>
      <c r="BC539">
        <v>0.73333333333333328</v>
      </c>
      <c r="BD539">
        <v>0.9751855287569573</v>
      </c>
      <c r="BE539">
        <v>4</v>
      </c>
      <c r="BF539">
        <v>0.92531812131967406</v>
      </c>
      <c r="BG539">
        <v>0.93</v>
      </c>
      <c r="BH539" t="s">
        <v>164</v>
      </c>
      <c r="BI539">
        <v>0.93</v>
      </c>
      <c r="BJ539" t="s">
        <v>164</v>
      </c>
      <c r="BK539" s="2">
        <f t="shared" si="17"/>
        <v>0</v>
      </c>
      <c r="BL539" t="b">
        <f t="shared" si="18"/>
        <v>1</v>
      </c>
    </row>
    <row r="540" spans="1:64" x14ac:dyDescent="0.35">
      <c r="A540" t="s">
        <v>1552</v>
      </c>
      <c r="B540" t="s">
        <v>1553</v>
      </c>
      <c r="C540">
        <v>2016</v>
      </c>
      <c r="D540" t="s">
        <v>1554</v>
      </c>
      <c r="E540" t="s">
        <v>1555</v>
      </c>
      <c r="F540" t="s">
        <v>66</v>
      </c>
      <c r="G540" t="s">
        <v>101</v>
      </c>
      <c r="H540" t="s">
        <v>129</v>
      </c>
      <c r="I540" t="s">
        <v>418</v>
      </c>
      <c r="J540" t="s">
        <v>70</v>
      </c>
      <c r="L540">
        <v>1</v>
      </c>
      <c r="M540" t="b">
        <v>0</v>
      </c>
      <c r="N540">
        <v>1</v>
      </c>
      <c r="O540">
        <v>3</v>
      </c>
      <c r="P540">
        <v>8</v>
      </c>
      <c r="Q540">
        <v>1</v>
      </c>
      <c r="R540">
        <v>7</v>
      </c>
      <c r="S540">
        <v>6</v>
      </c>
      <c r="T540">
        <v>22</v>
      </c>
      <c r="U540">
        <v>448</v>
      </c>
      <c r="V540">
        <v>98</v>
      </c>
      <c r="W540">
        <v>18</v>
      </c>
      <c r="X540">
        <v>5.4444444444444446</v>
      </c>
      <c r="Y540">
        <v>4</v>
      </c>
      <c r="Z540">
        <v>79</v>
      </c>
      <c r="AA540">
        <v>2</v>
      </c>
      <c r="AB540">
        <v>81</v>
      </c>
      <c r="AC540">
        <v>4</v>
      </c>
      <c r="AD540">
        <v>4</v>
      </c>
      <c r="AE540">
        <v>82</v>
      </c>
      <c r="AF540">
        <v>0</v>
      </c>
      <c r="AG540">
        <v>0</v>
      </c>
      <c r="AH540">
        <v>0</v>
      </c>
      <c r="AI540">
        <v>0</v>
      </c>
      <c r="AJ540">
        <v>2</v>
      </c>
      <c r="AK540">
        <v>10</v>
      </c>
      <c r="AL540">
        <v>2</v>
      </c>
      <c r="AM540">
        <v>10</v>
      </c>
      <c r="AN540">
        <v>6</v>
      </c>
      <c r="AO540">
        <v>160</v>
      </c>
      <c r="AP540">
        <v>10</v>
      </c>
      <c r="AQ540">
        <v>242</v>
      </c>
      <c r="AR540">
        <v>0.1763392857142857</v>
      </c>
      <c r="AS540">
        <v>0.1808035714285714</v>
      </c>
      <c r="AT540">
        <v>0.1830357142857143</v>
      </c>
      <c r="AU540">
        <v>0</v>
      </c>
      <c r="AV540">
        <v>0</v>
      </c>
      <c r="AW540">
        <v>2.2321428571428568E-2</v>
      </c>
      <c r="AX540">
        <v>0.35714285714285721</v>
      </c>
      <c r="AY540">
        <v>0.5401785714285714</v>
      </c>
      <c r="AZ540">
        <v>0.3348214285714286</v>
      </c>
      <c r="BA540">
        <v>0.83333333333333337</v>
      </c>
      <c r="BB540">
        <v>0.74074074074074081</v>
      </c>
      <c r="BC540">
        <v>0.66666666666666663</v>
      </c>
      <c r="BD540">
        <v>0.83426339285714279</v>
      </c>
      <c r="BE540">
        <v>4</v>
      </c>
      <c r="BF540">
        <v>0.76875103339947093</v>
      </c>
      <c r="BG540">
        <v>0.76</v>
      </c>
      <c r="BH540" t="s">
        <v>86</v>
      </c>
      <c r="BI540">
        <v>0.77</v>
      </c>
      <c r="BJ540" t="s">
        <v>86</v>
      </c>
      <c r="BK540" s="2">
        <f t="shared" si="17"/>
        <v>-1.0000000000000009E-2</v>
      </c>
      <c r="BL540" t="b">
        <f t="shared" si="18"/>
        <v>1</v>
      </c>
    </row>
    <row r="541" spans="1:64" x14ac:dyDescent="0.35">
      <c r="A541" t="s">
        <v>1556</v>
      </c>
      <c r="B541" t="s">
        <v>1553</v>
      </c>
      <c r="C541">
        <v>2019</v>
      </c>
      <c r="D541" t="s">
        <v>1554</v>
      </c>
      <c r="E541" t="s">
        <v>1555</v>
      </c>
      <c r="F541" t="s">
        <v>66</v>
      </c>
      <c r="G541" t="s">
        <v>101</v>
      </c>
      <c r="H541" t="s">
        <v>129</v>
      </c>
      <c r="I541" t="s">
        <v>418</v>
      </c>
      <c r="J541" t="s">
        <v>70</v>
      </c>
      <c r="L541">
        <v>1</v>
      </c>
      <c r="M541" t="b">
        <v>0</v>
      </c>
      <c r="N541">
        <v>1</v>
      </c>
      <c r="O541">
        <v>2</v>
      </c>
      <c r="P541">
        <v>9</v>
      </c>
      <c r="Q541">
        <v>2</v>
      </c>
      <c r="R541">
        <v>7</v>
      </c>
      <c r="S541">
        <v>6</v>
      </c>
      <c r="T541">
        <v>26</v>
      </c>
      <c r="U541">
        <v>1050</v>
      </c>
      <c r="V541">
        <v>125</v>
      </c>
      <c r="W541">
        <v>21</v>
      </c>
      <c r="X541">
        <v>5.9523809523809534</v>
      </c>
      <c r="Y541">
        <v>4</v>
      </c>
      <c r="Z541">
        <v>86</v>
      </c>
      <c r="AA541">
        <v>1</v>
      </c>
      <c r="AB541">
        <v>24</v>
      </c>
      <c r="AC541">
        <v>3</v>
      </c>
      <c r="AD541">
        <v>3</v>
      </c>
      <c r="AE541">
        <v>210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11</v>
      </c>
      <c r="AL541">
        <v>1</v>
      </c>
      <c r="AM541">
        <v>11</v>
      </c>
      <c r="AN541">
        <v>5</v>
      </c>
      <c r="AO541">
        <v>110</v>
      </c>
      <c r="AP541">
        <v>8</v>
      </c>
      <c r="AQ541">
        <v>320</v>
      </c>
      <c r="AR541">
        <v>8.1904761904761911E-2</v>
      </c>
      <c r="AS541">
        <v>2.2857142857142861E-2</v>
      </c>
      <c r="AT541">
        <v>0.2</v>
      </c>
      <c r="AU541">
        <v>0</v>
      </c>
      <c r="AV541">
        <v>0</v>
      </c>
      <c r="AW541">
        <v>1.0476190476190479E-2</v>
      </c>
      <c r="AX541">
        <v>0.10476190476190481</v>
      </c>
      <c r="AY541">
        <v>0.30476190476190479</v>
      </c>
      <c r="AZ541">
        <v>9.4285714285714292E-2</v>
      </c>
      <c r="BA541">
        <v>0.83333333333333337</v>
      </c>
      <c r="BB541">
        <v>0.82539682539682557</v>
      </c>
      <c r="BC541">
        <v>0.53333333333333333</v>
      </c>
      <c r="BD541">
        <v>0.68392857142857144</v>
      </c>
      <c r="BE541">
        <v>4</v>
      </c>
      <c r="BF541">
        <v>0.71899801587301593</v>
      </c>
      <c r="BG541">
        <v>0.72</v>
      </c>
      <c r="BH541" t="s">
        <v>86</v>
      </c>
      <c r="BI541">
        <v>0.72</v>
      </c>
      <c r="BJ541" t="s">
        <v>86</v>
      </c>
      <c r="BK541" s="2">
        <f t="shared" si="17"/>
        <v>0</v>
      </c>
      <c r="BL541" t="b">
        <f t="shared" si="18"/>
        <v>1</v>
      </c>
    </row>
    <row r="542" spans="1:64" x14ac:dyDescent="0.35">
      <c r="A542" t="s">
        <v>1557</v>
      </c>
      <c r="B542" t="s">
        <v>1558</v>
      </c>
      <c r="C542">
        <v>2014</v>
      </c>
      <c r="D542" t="s">
        <v>1559</v>
      </c>
      <c r="E542" t="s">
        <v>1560</v>
      </c>
      <c r="F542" t="s">
        <v>66</v>
      </c>
      <c r="G542" t="s">
        <v>101</v>
      </c>
      <c r="H542" t="s">
        <v>365</v>
      </c>
      <c r="I542" t="s">
        <v>1561</v>
      </c>
      <c r="J542" t="s">
        <v>70</v>
      </c>
      <c r="L542">
        <v>1</v>
      </c>
      <c r="M542" t="b">
        <v>1</v>
      </c>
      <c r="N542">
        <v>1</v>
      </c>
      <c r="O542">
        <v>4</v>
      </c>
      <c r="P542">
        <v>17</v>
      </c>
      <c r="Q542">
        <v>5</v>
      </c>
      <c r="R542">
        <v>12</v>
      </c>
      <c r="S542">
        <v>7</v>
      </c>
      <c r="T542">
        <v>46</v>
      </c>
      <c r="U542">
        <v>719</v>
      </c>
      <c r="V542">
        <v>202</v>
      </c>
      <c r="W542">
        <v>30</v>
      </c>
      <c r="X542">
        <v>6.7333333333333334</v>
      </c>
      <c r="Y542">
        <v>5</v>
      </c>
      <c r="Z542">
        <v>107</v>
      </c>
      <c r="AA542">
        <v>3</v>
      </c>
      <c r="AB542">
        <v>19</v>
      </c>
      <c r="AC542">
        <v>5</v>
      </c>
      <c r="AD542">
        <v>4</v>
      </c>
      <c r="AE542">
        <v>47</v>
      </c>
      <c r="AF542">
        <v>2</v>
      </c>
      <c r="AG542">
        <v>14</v>
      </c>
      <c r="AH542">
        <v>1</v>
      </c>
      <c r="AI542">
        <v>3</v>
      </c>
      <c r="AJ542">
        <v>2</v>
      </c>
      <c r="AK542">
        <v>5</v>
      </c>
      <c r="AL542">
        <v>3</v>
      </c>
      <c r="AM542">
        <v>8</v>
      </c>
      <c r="AN542">
        <v>10</v>
      </c>
      <c r="AO542">
        <v>140</v>
      </c>
      <c r="AP542">
        <v>12</v>
      </c>
      <c r="AQ542">
        <v>173</v>
      </c>
      <c r="AR542">
        <v>0.14881780250347709</v>
      </c>
      <c r="AS542">
        <v>2.6425591098748261E-2</v>
      </c>
      <c r="AT542">
        <v>6.5368567454798326E-2</v>
      </c>
      <c r="AU542">
        <v>1.9471488178025031E-2</v>
      </c>
      <c r="AV542">
        <v>4.172461752433936E-3</v>
      </c>
      <c r="AW542">
        <v>1.112656467315716E-2</v>
      </c>
      <c r="AX542">
        <v>0.19471488178025029</v>
      </c>
      <c r="AY542">
        <v>0.24061196105702359</v>
      </c>
      <c r="AZ542">
        <v>0.1835883171070932</v>
      </c>
      <c r="BA542">
        <v>1</v>
      </c>
      <c r="BB542">
        <v>0.9555555555555556</v>
      </c>
      <c r="BC542">
        <v>0.8</v>
      </c>
      <c r="BD542">
        <v>0.73974269819193317</v>
      </c>
      <c r="BE542">
        <v>4</v>
      </c>
      <c r="BF542">
        <v>0.8738245634368722</v>
      </c>
      <c r="BG542">
        <v>0.87</v>
      </c>
      <c r="BH542" t="s">
        <v>164</v>
      </c>
      <c r="BI542">
        <v>0.87</v>
      </c>
      <c r="BJ542" t="s">
        <v>164</v>
      </c>
      <c r="BK542" s="2">
        <f t="shared" si="17"/>
        <v>0</v>
      </c>
      <c r="BL542" t="b">
        <f t="shared" si="18"/>
        <v>1</v>
      </c>
    </row>
    <row r="543" spans="1:64" x14ac:dyDescent="0.35">
      <c r="A543" t="s">
        <v>1562</v>
      </c>
      <c r="B543" t="s">
        <v>1558</v>
      </c>
      <c r="C543">
        <v>2021</v>
      </c>
      <c r="D543" t="s">
        <v>1559</v>
      </c>
      <c r="E543" t="s">
        <v>1560</v>
      </c>
      <c r="F543" t="s">
        <v>66</v>
      </c>
      <c r="G543" t="s">
        <v>101</v>
      </c>
      <c r="H543" t="s">
        <v>365</v>
      </c>
      <c r="I543" t="s">
        <v>1561</v>
      </c>
      <c r="J543" t="s">
        <v>70</v>
      </c>
      <c r="L543">
        <v>1</v>
      </c>
      <c r="M543" t="b">
        <v>1</v>
      </c>
      <c r="N543">
        <v>1</v>
      </c>
      <c r="O543">
        <v>3</v>
      </c>
      <c r="P543">
        <v>11</v>
      </c>
      <c r="Q543">
        <v>4</v>
      </c>
      <c r="R543">
        <v>7</v>
      </c>
      <c r="S543">
        <v>6</v>
      </c>
      <c r="T543">
        <v>35</v>
      </c>
      <c r="U543">
        <v>402</v>
      </c>
      <c r="V543">
        <v>160</v>
      </c>
      <c r="W543">
        <v>28</v>
      </c>
      <c r="X543">
        <v>5.7142857142857144</v>
      </c>
      <c r="Y543">
        <v>5</v>
      </c>
      <c r="Z543">
        <v>113</v>
      </c>
      <c r="AA543">
        <v>1</v>
      </c>
      <c r="AB543">
        <v>18</v>
      </c>
      <c r="AC543">
        <v>2</v>
      </c>
      <c r="AD543">
        <v>2</v>
      </c>
      <c r="AE543">
        <v>18</v>
      </c>
      <c r="AF543">
        <v>0</v>
      </c>
      <c r="AG543">
        <v>0</v>
      </c>
      <c r="AH543">
        <v>2</v>
      </c>
      <c r="AI543">
        <v>7</v>
      </c>
      <c r="AJ543">
        <v>3</v>
      </c>
      <c r="AK543">
        <v>19</v>
      </c>
      <c r="AL543">
        <v>5</v>
      </c>
      <c r="AM543">
        <v>26</v>
      </c>
      <c r="AN543">
        <v>6</v>
      </c>
      <c r="AO543">
        <v>131</v>
      </c>
      <c r="AP543">
        <v>8</v>
      </c>
      <c r="AQ543">
        <v>149</v>
      </c>
      <c r="AR543">
        <v>0.28109452736318408</v>
      </c>
      <c r="AS543">
        <v>4.4776119402985072E-2</v>
      </c>
      <c r="AT543">
        <v>4.4776119402985072E-2</v>
      </c>
      <c r="AU543">
        <v>0</v>
      </c>
      <c r="AV543">
        <v>1.7412935323383089E-2</v>
      </c>
      <c r="AW543">
        <v>6.4676616915422883E-2</v>
      </c>
      <c r="AX543">
        <v>0.32587064676616923</v>
      </c>
      <c r="AY543">
        <v>0.37064676616915421</v>
      </c>
      <c r="AZ543">
        <v>0.2611940298507463</v>
      </c>
      <c r="BA543">
        <v>0.83333333333333337</v>
      </c>
      <c r="BB543">
        <v>0.7857142857142857</v>
      </c>
      <c r="BC543">
        <v>0.53333333333333333</v>
      </c>
      <c r="BD543">
        <v>0.78824626865671632</v>
      </c>
      <c r="BE543">
        <v>4</v>
      </c>
      <c r="BF543">
        <v>0.73515680525941718</v>
      </c>
      <c r="BG543">
        <v>0.74</v>
      </c>
      <c r="BH543" t="s">
        <v>86</v>
      </c>
      <c r="BI543">
        <v>0.74</v>
      </c>
      <c r="BJ543" t="s">
        <v>86</v>
      </c>
      <c r="BK543" s="2">
        <f t="shared" si="17"/>
        <v>0</v>
      </c>
      <c r="BL543" t="b">
        <f t="shared" si="18"/>
        <v>1</v>
      </c>
    </row>
    <row r="544" spans="1:64" x14ac:dyDescent="0.35">
      <c r="A544" t="s">
        <v>1563</v>
      </c>
      <c r="B544" t="s">
        <v>1564</v>
      </c>
      <c r="C544">
        <v>2014</v>
      </c>
      <c r="D544" t="s">
        <v>1565</v>
      </c>
      <c r="E544" t="s">
        <v>1566</v>
      </c>
      <c r="F544" t="s">
        <v>66</v>
      </c>
      <c r="G544" t="s">
        <v>101</v>
      </c>
      <c r="H544" t="s">
        <v>150</v>
      </c>
      <c r="I544" t="s">
        <v>1567</v>
      </c>
      <c r="J544" t="s">
        <v>70</v>
      </c>
      <c r="L544">
        <v>3</v>
      </c>
      <c r="M544" t="b">
        <v>0</v>
      </c>
      <c r="N544">
        <v>1</v>
      </c>
      <c r="O544">
        <v>4</v>
      </c>
      <c r="P544">
        <v>17</v>
      </c>
      <c r="Q544">
        <v>1</v>
      </c>
      <c r="R544">
        <v>16</v>
      </c>
      <c r="S544">
        <v>7</v>
      </c>
      <c r="T544">
        <v>41</v>
      </c>
      <c r="U544">
        <v>1120</v>
      </c>
      <c r="V544">
        <v>212</v>
      </c>
      <c r="W544">
        <v>30</v>
      </c>
      <c r="X544">
        <v>7.0666666666666664</v>
      </c>
      <c r="Y544">
        <v>5</v>
      </c>
      <c r="Z544">
        <v>264</v>
      </c>
      <c r="AA544">
        <v>3</v>
      </c>
      <c r="AB544">
        <v>32</v>
      </c>
      <c r="AC544">
        <v>4</v>
      </c>
      <c r="AD544">
        <v>4</v>
      </c>
      <c r="AE544">
        <v>46</v>
      </c>
      <c r="AF544">
        <v>3</v>
      </c>
      <c r="AG544">
        <v>44</v>
      </c>
      <c r="AH544">
        <v>0</v>
      </c>
      <c r="AI544">
        <v>0</v>
      </c>
      <c r="AJ544">
        <v>1</v>
      </c>
      <c r="AK544">
        <v>3</v>
      </c>
      <c r="AL544">
        <v>1</v>
      </c>
      <c r="AM544">
        <v>3</v>
      </c>
      <c r="AN544">
        <v>11</v>
      </c>
      <c r="AO544">
        <v>340</v>
      </c>
      <c r="AP544">
        <v>12</v>
      </c>
      <c r="AQ544">
        <v>342</v>
      </c>
      <c r="AR544">
        <v>0.23571428571428571</v>
      </c>
      <c r="AS544">
        <v>2.8571428571428571E-2</v>
      </c>
      <c r="AT544">
        <v>4.1071428571428571E-2</v>
      </c>
      <c r="AU544">
        <v>3.9285714285714278E-2</v>
      </c>
      <c r="AV544">
        <v>0</v>
      </c>
      <c r="AW544">
        <v>2.678571428571429E-3</v>
      </c>
      <c r="AX544">
        <v>0.30357142857142849</v>
      </c>
      <c r="AY544">
        <v>0.30535714285714288</v>
      </c>
      <c r="AZ544">
        <v>0.30089285714285707</v>
      </c>
      <c r="BA544">
        <v>1</v>
      </c>
      <c r="BB544">
        <v>1.0111111111111111</v>
      </c>
      <c r="BC544">
        <v>0.8</v>
      </c>
      <c r="BD544">
        <v>0.81305803571428559</v>
      </c>
      <c r="BE544">
        <v>4</v>
      </c>
      <c r="BF544">
        <v>0.90604228670634912</v>
      </c>
      <c r="BG544">
        <v>0.92</v>
      </c>
      <c r="BH544" t="s">
        <v>164</v>
      </c>
      <c r="BI544">
        <v>0.91</v>
      </c>
      <c r="BJ544" t="s">
        <v>164</v>
      </c>
      <c r="BK544" s="2">
        <f t="shared" si="17"/>
        <v>1.0000000000000009E-2</v>
      </c>
      <c r="BL544" t="b">
        <f t="shared" si="18"/>
        <v>1</v>
      </c>
    </row>
    <row r="545" spans="1:64" x14ac:dyDescent="0.35">
      <c r="A545" t="s">
        <v>1568</v>
      </c>
      <c r="B545" t="s">
        <v>1564</v>
      </c>
      <c r="C545">
        <v>2015</v>
      </c>
      <c r="D545" t="s">
        <v>1565</v>
      </c>
      <c r="E545" t="s">
        <v>1566</v>
      </c>
      <c r="F545" t="s">
        <v>66</v>
      </c>
      <c r="G545" t="s">
        <v>101</v>
      </c>
      <c r="H545" t="s">
        <v>150</v>
      </c>
      <c r="I545" t="s">
        <v>1567</v>
      </c>
      <c r="J545" t="s">
        <v>70</v>
      </c>
      <c r="L545">
        <v>3</v>
      </c>
      <c r="M545" t="b">
        <v>0</v>
      </c>
      <c r="N545">
        <v>1</v>
      </c>
      <c r="O545">
        <v>2</v>
      </c>
      <c r="P545">
        <v>16</v>
      </c>
      <c r="Q545">
        <v>4</v>
      </c>
      <c r="R545">
        <v>12</v>
      </c>
      <c r="S545">
        <v>7</v>
      </c>
      <c r="T545">
        <v>54</v>
      </c>
      <c r="U545">
        <v>375</v>
      </c>
      <c r="V545">
        <v>234</v>
      </c>
      <c r="W545">
        <v>37</v>
      </c>
      <c r="X545">
        <v>6.3243243243243246</v>
      </c>
      <c r="Y545">
        <v>5</v>
      </c>
      <c r="Z545">
        <v>118</v>
      </c>
      <c r="AA545">
        <v>3</v>
      </c>
      <c r="AB545">
        <v>36</v>
      </c>
      <c r="AC545">
        <v>10</v>
      </c>
      <c r="AD545">
        <v>10</v>
      </c>
      <c r="AE545">
        <v>47</v>
      </c>
      <c r="AF545">
        <v>3</v>
      </c>
      <c r="AG545">
        <v>6</v>
      </c>
      <c r="AH545">
        <v>0</v>
      </c>
      <c r="AI545">
        <v>0</v>
      </c>
      <c r="AJ545">
        <v>2</v>
      </c>
      <c r="AK545">
        <v>2</v>
      </c>
      <c r="AL545">
        <v>2</v>
      </c>
      <c r="AM545">
        <v>2</v>
      </c>
      <c r="AN545">
        <v>11</v>
      </c>
      <c r="AO545">
        <v>160</v>
      </c>
      <c r="AP545">
        <v>18</v>
      </c>
      <c r="AQ545">
        <v>201</v>
      </c>
      <c r="AR545">
        <v>0.31466666666666671</v>
      </c>
      <c r="AS545">
        <v>9.6000000000000002E-2</v>
      </c>
      <c r="AT545">
        <v>0.1253333333333333</v>
      </c>
      <c r="AU545">
        <v>1.6E-2</v>
      </c>
      <c r="AV545">
        <v>0</v>
      </c>
      <c r="AW545">
        <v>5.3333333333333332E-3</v>
      </c>
      <c r="AX545">
        <v>0.42666666666666669</v>
      </c>
      <c r="AY545">
        <v>0.53600000000000003</v>
      </c>
      <c r="AZ545">
        <v>0.42133333333333328</v>
      </c>
      <c r="BA545">
        <v>1</v>
      </c>
      <c r="BB545">
        <v>0.88738738738738743</v>
      </c>
      <c r="BC545">
        <v>1.2</v>
      </c>
      <c r="BD545">
        <v>0.88833333333333331</v>
      </c>
      <c r="BE545">
        <v>4</v>
      </c>
      <c r="BF545">
        <v>0.9939301801801802</v>
      </c>
      <c r="BG545">
        <v>0.99</v>
      </c>
      <c r="BH545" t="s">
        <v>164</v>
      </c>
      <c r="BI545">
        <v>0.99</v>
      </c>
      <c r="BJ545" t="s">
        <v>164</v>
      </c>
      <c r="BK545" s="2">
        <f t="shared" si="17"/>
        <v>0</v>
      </c>
      <c r="BL545" t="b">
        <f t="shared" si="18"/>
        <v>1</v>
      </c>
    </row>
    <row r="546" spans="1:64" x14ac:dyDescent="0.35">
      <c r="A546" t="s">
        <v>1569</v>
      </c>
      <c r="B546" t="s">
        <v>1564</v>
      </c>
      <c r="C546">
        <v>2016</v>
      </c>
      <c r="D546" t="s">
        <v>1565</v>
      </c>
      <c r="E546" t="s">
        <v>1566</v>
      </c>
      <c r="F546" t="s">
        <v>66</v>
      </c>
      <c r="G546" t="s">
        <v>101</v>
      </c>
      <c r="H546" t="s">
        <v>150</v>
      </c>
      <c r="I546" t="s">
        <v>1567</v>
      </c>
      <c r="J546" t="s">
        <v>70</v>
      </c>
      <c r="L546">
        <v>3</v>
      </c>
      <c r="M546" t="b">
        <v>0</v>
      </c>
      <c r="N546">
        <v>1</v>
      </c>
      <c r="O546">
        <v>5</v>
      </c>
      <c r="P546">
        <v>11</v>
      </c>
      <c r="Q546">
        <v>5</v>
      </c>
      <c r="R546">
        <v>6</v>
      </c>
      <c r="S546">
        <v>6</v>
      </c>
      <c r="T546">
        <v>37</v>
      </c>
      <c r="U546">
        <v>789</v>
      </c>
      <c r="V546">
        <v>164</v>
      </c>
      <c r="W546">
        <v>29</v>
      </c>
      <c r="X546">
        <v>5.6551724137931032</v>
      </c>
      <c r="Y546">
        <v>4</v>
      </c>
      <c r="Z546">
        <v>182</v>
      </c>
      <c r="AA546">
        <v>3</v>
      </c>
      <c r="AB546">
        <v>41</v>
      </c>
      <c r="AC546">
        <v>6</v>
      </c>
      <c r="AD546">
        <v>6</v>
      </c>
      <c r="AE546">
        <v>116</v>
      </c>
      <c r="AF546">
        <v>2</v>
      </c>
      <c r="AG546">
        <v>25</v>
      </c>
      <c r="AH546">
        <v>1</v>
      </c>
      <c r="AI546">
        <v>8</v>
      </c>
      <c r="AJ546">
        <v>2</v>
      </c>
      <c r="AK546">
        <v>7</v>
      </c>
      <c r="AL546">
        <v>3</v>
      </c>
      <c r="AM546">
        <v>15</v>
      </c>
      <c r="AN546">
        <v>9</v>
      </c>
      <c r="AO546">
        <v>248</v>
      </c>
      <c r="AP546">
        <v>13</v>
      </c>
      <c r="AQ546">
        <v>339</v>
      </c>
      <c r="AR546">
        <v>0.23067173637515839</v>
      </c>
      <c r="AS546">
        <v>5.1964512040557673E-2</v>
      </c>
      <c r="AT546">
        <v>0.14702154626109001</v>
      </c>
      <c r="AU546">
        <v>3.1685678073510783E-2</v>
      </c>
      <c r="AV546">
        <v>1.013941698352345E-2</v>
      </c>
      <c r="AW546">
        <v>1.901140684410646E-2</v>
      </c>
      <c r="AX546">
        <v>0.31432192648922691</v>
      </c>
      <c r="AY546">
        <v>0.42965779467680609</v>
      </c>
      <c r="AZ546">
        <v>0.2953105196451204</v>
      </c>
      <c r="BA546">
        <v>0.83333333333333337</v>
      </c>
      <c r="BB546">
        <v>0.77586206896551724</v>
      </c>
      <c r="BC546">
        <v>0.8666666666666667</v>
      </c>
      <c r="BD546">
        <v>0.80956907477820028</v>
      </c>
      <c r="BE546">
        <v>4</v>
      </c>
      <c r="BF546">
        <v>0.82135778593592934</v>
      </c>
      <c r="BG546">
        <v>0.85</v>
      </c>
      <c r="BH546" t="s">
        <v>164</v>
      </c>
      <c r="BI546">
        <v>0.82</v>
      </c>
      <c r="BJ546" t="s">
        <v>164</v>
      </c>
      <c r="BK546" s="2">
        <f t="shared" si="17"/>
        <v>3.0000000000000027E-2</v>
      </c>
      <c r="BL546" t="b">
        <f t="shared" si="18"/>
        <v>1</v>
      </c>
    </row>
    <row r="547" spans="1:64" x14ac:dyDescent="0.35">
      <c r="A547" t="s">
        <v>1570</v>
      </c>
      <c r="B547" t="s">
        <v>1564</v>
      </c>
      <c r="C547">
        <v>2017</v>
      </c>
      <c r="D547" t="s">
        <v>1565</v>
      </c>
      <c r="E547" t="s">
        <v>1566</v>
      </c>
      <c r="F547" t="s">
        <v>66</v>
      </c>
      <c r="G547" t="s">
        <v>101</v>
      </c>
      <c r="H547" t="s">
        <v>150</v>
      </c>
      <c r="I547" t="s">
        <v>1567</v>
      </c>
      <c r="J547" t="s">
        <v>70</v>
      </c>
      <c r="L547">
        <v>3</v>
      </c>
      <c r="M547" t="b">
        <v>0</v>
      </c>
      <c r="N547">
        <v>1</v>
      </c>
      <c r="O547">
        <v>2</v>
      </c>
      <c r="P547">
        <v>8</v>
      </c>
      <c r="Q547">
        <v>2</v>
      </c>
      <c r="R547">
        <v>6</v>
      </c>
      <c r="S547">
        <v>6</v>
      </c>
      <c r="T547">
        <v>34</v>
      </c>
      <c r="U547">
        <v>370</v>
      </c>
      <c r="V547">
        <v>109</v>
      </c>
      <c r="W547">
        <v>21</v>
      </c>
      <c r="X547">
        <v>5.1904761904761907</v>
      </c>
      <c r="Y547">
        <v>1</v>
      </c>
      <c r="Z547">
        <v>1</v>
      </c>
      <c r="AA547">
        <v>1</v>
      </c>
      <c r="AB547">
        <v>6</v>
      </c>
      <c r="AC547">
        <v>6</v>
      </c>
      <c r="AD547">
        <v>6</v>
      </c>
      <c r="AE547">
        <v>34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2</v>
      </c>
      <c r="AM547">
        <v>9</v>
      </c>
      <c r="AN547">
        <v>2</v>
      </c>
      <c r="AO547">
        <v>7</v>
      </c>
      <c r="AP547">
        <v>8</v>
      </c>
      <c r="AQ547">
        <v>41</v>
      </c>
      <c r="AR547">
        <v>2.7027027027027029E-3</v>
      </c>
      <c r="AS547">
        <v>1.6216216216216221E-2</v>
      </c>
      <c r="AT547">
        <v>9.1891891891891897E-2</v>
      </c>
      <c r="AU547">
        <v>0</v>
      </c>
      <c r="AV547">
        <v>0</v>
      </c>
      <c r="AW547">
        <v>2.4324324324324329E-2</v>
      </c>
      <c r="AX547">
        <v>1.891891891891892E-2</v>
      </c>
      <c r="AY547">
        <v>0.1108108108108108</v>
      </c>
      <c r="AZ547">
        <v>-5.4054054054054057E-3</v>
      </c>
      <c r="BA547">
        <v>0.83333333333333337</v>
      </c>
      <c r="BB547">
        <v>0.69841269841269848</v>
      </c>
      <c r="BC547">
        <v>0.53333333333333333</v>
      </c>
      <c r="BD547">
        <v>0.6216216216216216</v>
      </c>
      <c r="BE547">
        <v>4</v>
      </c>
      <c r="BF547">
        <v>0.6716752466752467</v>
      </c>
      <c r="BG547">
        <v>0.69</v>
      </c>
      <c r="BH547" t="s">
        <v>86</v>
      </c>
      <c r="BI547">
        <v>0.67</v>
      </c>
      <c r="BJ547" t="s">
        <v>86</v>
      </c>
      <c r="BK547" s="2">
        <f t="shared" si="17"/>
        <v>1.9999999999999907E-2</v>
      </c>
      <c r="BL547" t="b">
        <f t="shared" si="18"/>
        <v>1</v>
      </c>
    </row>
    <row r="548" spans="1:64" x14ac:dyDescent="0.35">
      <c r="A548" t="s">
        <v>1571</v>
      </c>
      <c r="B548" t="s">
        <v>1564</v>
      </c>
      <c r="C548">
        <v>2020</v>
      </c>
      <c r="D548" t="s">
        <v>1565</v>
      </c>
      <c r="E548" t="s">
        <v>1566</v>
      </c>
      <c r="F548" t="s">
        <v>66</v>
      </c>
      <c r="G548" t="s">
        <v>101</v>
      </c>
      <c r="H548" t="s">
        <v>150</v>
      </c>
      <c r="I548" t="s">
        <v>1567</v>
      </c>
      <c r="J548" t="s">
        <v>70</v>
      </c>
      <c r="L548">
        <v>3</v>
      </c>
      <c r="M548" t="b">
        <v>0</v>
      </c>
      <c r="N548">
        <v>3</v>
      </c>
      <c r="O548">
        <v>1</v>
      </c>
      <c r="P548">
        <v>2</v>
      </c>
      <c r="Q548">
        <v>5</v>
      </c>
      <c r="R548">
        <v>-3</v>
      </c>
      <c r="S548">
        <v>3</v>
      </c>
      <c r="T548">
        <v>23</v>
      </c>
      <c r="U548">
        <v>339</v>
      </c>
      <c r="V548">
        <v>88</v>
      </c>
      <c r="W548">
        <v>17</v>
      </c>
      <c r="X548">
        <v>5.1764705882352944</v>
      </c>
      <c r="Y548">
        <v>1</v>
      </c>
      <c r="Z548">
        <v>35</v>
      </c>
      <c r="AA548">
        <v>0</v>
      </c>
      <c r="AB548">
        <v>0</v>
      </c>
      <c r="AC548">
        <v>2</v>
      </c>
      <c r="AD548">
        <v>2</v>
      </c>
      <c r="AE548">
        <v>17</v>
      </c>
      <c r="AF548">
        <v>5</v>
      </c>
      <c r="AG548">
        <v>41</v>
      </c>
      <c r="AH548">
        <v>1</v>
      </c>
      <c r="AI548">
        <v>9</v>
      </c>
      <c r="AJ548">
        <v>2</v>
      </c>
      <c r="AK548">
        <v>12</v>
      </c>
      <c r="AL548">
        <v>3</v>
      </c>
      <c r="AM548">
        <v>21</v>
      </c>
      <c r="AN548">
        <v>6</v>
      </c>
      <c r="AO548">
        <v>76</v>
      </c>
      <c r="AP548">
        <v>3</v>
      </c>
      <c r="AQ548">
        <v>52</v>
      </c>
      <c r="AR548">
        <v>0.10324483775811211</v>
      </c>
      <c r="AS548">
        <v>0</v>
      </c>
      <c r="AT548">
        <v>5.0147492625368731E-2</v>
      </c>
      <c r="AU548">
        <v>0.12094395280235989</v>
      </c>
      <c r="AV548">
        <v>2.6548672566371681E-2</v>
      </c>
      <c r="AW548">
        <v>6.1946902654867263E-2</v>
      </c>
      <c r="AX548">
        <v>0.224188790560472</v>
      </c>
      <c r="AY548">
        <v>0.1533923303834808</v>
      </c>
      <c r="AZ548">
        <v>0.1622418879056047</v>
      </c>
      <c r="BA548">
        <v>0.33333333333333331</v>
      </c>
      <c r="BB548">
        <v>0.6960784313725491</v>
      </c>
      <c r="BC548">
        <v>0.2</v>
      </c>
      <c r="BD548">
        <v>0.72640117994100284</v>
      </c>
      <c r="BE548">
        <v>4</v>
      </c>
      <c r="BF548">
        <v>0.48895323616172132</v>
      </c>
      <c r="BG548">
        <v>0.49</v>
      </c>
      <c r="BH548" t="s">
        <v>71</v>
      </c>
      <c r="BI548">
        <v>0.49</v>
      </c>
      <c r="BJ548" t="s">
        <v>71</v>
      </c>
      <c r="BK548" s="2">
        <f t="shared" si="17"/>
        <v>0</v>
      </c>
      <c r="BL548" t="b">
        <f t="shared" si="18"/>
        <v>1</v>
      </c>
    </row>
    <row r="549" spans="1:64" x14ac:dyDescent="0.35">
      <c r="A549" t="s">
        <v>1572</v>
      </c>
      <c r="B549" t="s">
        <v>1573</v>
      </c>
      <c r="C549">
        <v>2015</v>
      </c>
      <c r="D549" t="s">
        <v>1574</v>
      </c>
      <c r="E549" t="s">
        <v>1575</v>
      </c>
      <c r="F549" t="s">
        <v>66</v>
      </c>
      <c r="G549" t="s">
        <v>101</v>
      </c>
      <c r="H549" t="s">
        <v>348</v>
      </c>
      <c r="I549" t="s">
        <v>349</v>
      </c>
      <c r="J549" t="s">
        <v>70</v>
      </c>
      <c r="L549">
        <v>5</v>
      </c>
      <c r="M549" t="b">
        <v>0</v>
      </c>
      <c r="N549">
        <v>3</v>
      </c>
      <c r="O549">
        <v>2</v>
      </c>
      <c r="P549">
        <v>8</v>
      </c>
      <c r="Q549">
        <v>6</v>
      </c>
      <c r="R549">
        <v>2</v>
      </c>
      <c r="S549">
        <v>4</v>
      </c>
      <c r="T549">
        <v>39</v>
      </c>
      <c r="U549">
        <v>338</v>
      </c>
      <c r="V549">
        <v>149</v>
      </c>
      <c r="W549">
        <v>25</v>
      </c>
      <c r="X549">
        <v>5.96</v>
      </c>
      <c r="Y549">
        <v>4</v>
      </c>
      <c r="Z549">
        <v>18</v>
      </c>
      <c r="AA549">
        <v>1</v>
      </c>
      <c r="AB549">
        <v>2</v>
      </c>
      <c r="AC549">
        <v>5</v>
      </c>
      <c r="AD549">
        <v>5</v>
      </c>
      <c r="AE549">
        <v>44</v>
      </c>
      <c r="AF549">
        <v>2</v>
      </c>
      <c r="AG549">
        <v>7</v>
      </c>
      <c r="AH549">
        <v>2</v>
      </c>
      <c r="AI549">
        <v>17</v>
      </c>
      <c r="AJ549">
        <v>4</v>
      </c>
      <c r="AK549">
        <v>20</v>
      </c>
      <c r="AL549">
        <v>6</v>
      </c>
      <c r="AM549">
        <v>37</v>
      </c>
      <c r="AN549">
        <v>7</v>
      </c>
      <c r="AO549">
        <v>27</v>
      </c>
      <c r="AP549">
        <v>10</v>
      </c>
      <c r="AQ549">
        <v>64</v>
      </c>
      <c r="AR549">
        <v>5.3254437869822487E-2</v>
      </c>
      <c r="AS549">
        <v>5.9171597633136093E-3</v>
      </c>
      <c r="AT549">
        <v>0.13017751479289941</v>
      </c>
      <c r="AU549">
        <v>2.0710059171597631E-2</v>
      </c>
      <c r="AV549">
        <v>5.0295857988165681E-2</v>
      </c>
      <c r="AW549">
        <v>0.10946745562130181</v>
      </c>
      <c r="AX549">
        <v>7.9881656804733733E-2</v>
      </c>
      <c r="AY549">
        <v>0.1893491124260355</v>
      </c>
      <c r="AZ549">
        <v>-2.9585798816568049E-2</v>
      </c>
      <c r="BA549">
        <v>0.5</v>
      </c>
      <c r="BB549">
        <v>0.82666666666666666</v>
      </c>
      <c r="BC549">
        <v>0.66666666666666663</v>
      </c>
      <c r="BD549">
        <v>0.60650887573964496</v>
      </c>
      <c r="BE549">
        <v>4</v>
      </c>
      <c r="BF549">
        <v>0.64996055226824456</v>
      </c>
      <c r="BG549">
        <v>0.66</v>
      </c>
      <c r="BH549" t="s">
        <v>86</v>
      </c>
      <c r="BI549">
        <v>0.65</v>
      </c>
      <c r="BJ549" t="s">
        <v>86</v>
      </c>
      <c r="BK549" s="2">
        <f t="shared" si="17"/>
        <v>1.0000000000000009E-2</v>
      </c>
      <c r="BL549" t="b">
        <f t="shared" si="18"/>
        <v>1</v>
      </c>
    </row>
    <row r="550" spans="1:64" x14ac:dyDescent="0.35">
      <c r="A550" t="s">
        <v>1576</v>
      </c>
      <c r="B550" t="s">
        <v>1573</v>
      </c>
      <c r="C550">
        <v>2018</v>
      </c>
      <c r="D550" t="s">
        <v>1574</v>
      </c>
      <c r="E550" t="s">
        <v>1575</v>
      </c>
      <c r="F550" t="s">
        <v>66</v>
      </c>
      <c r="G550" t="s">
        <v>101</v>
      </c>
      <c r="H550" t="s">
        <v>348</v>
      </c>
      <c r="I550" t="s">
        <v>349</v>
      </c>
      <c r="J550" t="s">
        <v>70</v>
      </c>
      <c r="L550">
        <v>5</v>
      </c>
      <c r="M550" t="b">
        <v>0</v>
      </c>
      <c r="N550">
        <v>2</v>
      </c>
      <c r="O550">
        <v>2</v>
      </c>
      <c r="P550">
        <v>6</v>
      </c>
      <c r="Q550">
        <v>3</v>
      </c>
      <c r="R550">
        <v>3</v>
      </c>
      <c r="S550">
        <v>4</v>
      </c>
      <c r="T550">
        <v>26</v>
      </c>
      <c r="U550">
        <v>373</v>
      </c>
      <c r="V550">
        <v>112</v>
      </c>
      <c r="W550">
        <v>19</v>
      </c>
      <c r="X550">
        <v>5.8947368421052628</v>
      </c>
      <c r="Y550">
        <v>1</v>
      </c>
      <c r="Z550">
        <v>8</v>
      </c>
      <c r="AA550">
        <v>0</v>
      </c>
      <c r="AB550">
        <v>0</v>
      </c>
      <c r="AC550">
        <v>1</v>
      </c>
      <c r="AD550">
        <v>1</v>
      </c>
      <c r="AE550">
        <v>25</v>
      </c>
      <c r="AF550">
        <v>1</v>
      </c>
      <c r="AG550">
        <v>7</v>
      </c>
      <c r="AH550">
        <v>0</v>
      </c>
      <c r="AI550">
        <v>0</v>
      </c>
      <c r="AJ550">
        <v>1</v>
      </c>
      <c r="AK550">
        <v>5</v>
      </c>
      <c r="AL550">
        <v>1</v>
      </c>
      <c r="AM550">
        <v>5</v>
      </c>
      <c r="AN550">
        <v>2</v>
      </c>
      <c r="AO550">
        <v>15</v>
      </c>
      <c r="AP550">
        <v>2</v>
      </c>
      <c r="AQ550">
        <v>33</v>
      </c>
      <c r="AR550">
        <v>2.1447721179624669E-2</v>
      </c>
      <c r="AS550">
        <v>0</v>
      </c>
      <c r="AT550">
        <v>6.7024128686327081E-2</v>
      </c>
      <c r="AU550">
        <v>1.876675603217158E-2</v>
      </c>
      <c r="AV550">
        <v>0</v>
      </c>
      <c r="AW550">
        <v>1.3404825737265419E-2</v>
      </c>
      <c r="AX550">
        <v>4.0214477211796253E-2</v>
      </c>
      <c r="AY550">
        <v>8.8471849865951746E-2</v>
      </c>
      <c r="AZ550">
        <v>2.6809651474530832E-2</v>
      </c>
      <c r="BA550">
        <v>0.5</v>
      </c>
      <c r="BB550">
        <v>0.81578947368421051</v>
      </c>
      <c r="BC550">
        <v>0.1333333333333333</v>
      </c>
      <c r="BD550">
        <v>0.64175603217158173</v>
      </c>
      <c r="BE550">
        <v>4</v>
      </c>
      <c r="BF550">
        <v>0.52271970979728144</v>
      </c>
      <c r="BG550">
        <v>0.52</v>
      </c>
      <c r="BH550" t="s">
        <v>71</v>
      </c>
      <c r="BI550">
        <v>0.52</v>
      </c>
      <c r="BJ550" t="s">
        <v>71</v>
      </c>
      <c r="BK550" s="2">
        <f t="shared" si="17"/>
        <v>0</v>
      </c>
      <c r="BL550" t="b">
        <f t="shared" si="18"/>
        <v>1</v>
      </c>
    </row>
    <row r="551" spans="1:64" x14ac:dyDescent="0.35">
      <c r="A551" t="s">
        <v>1577</v>
      </c>
      <c r="B551" t="s">
        <v>1573</v>
      </c>
      <c r="C551">
        <v>2021</v>
      </c>
      <c r="D551" t="s">
        <v>1574</v>
      </c>
      <c r="E551" t="s">
        <v>1575</v>
      </c>
      <c r="F551" t="s">
        <v>66</v>
      </c>
      <c r="G551" t="s">
        <v>101</v>
      </c>
      <c r="H551" t="s">
        <v>348</v>
      </c>
      <c r="I551" t="s">
        <v>349</v>
      </c>
      <c r="J551" t="s">
        <v>70</v>
      </c>
      <c r="L551">
        <v>5</v>
      </c>
      <c r="M551" t="b">
        <v>0</v>
      </c>
      <c r="N551">
        <v>1</v>
      </c>
      <c r="O551">
        <v>1</v>
      </c>
      <c r="P551">
        <v>8</v>
      </c>
      <c r="Q551">
        <v>2</v>
      </c>
      <c r="R551">
        <v>6</v>
      </c>
      <c r="S551">
        <v>5</v>
      </c>
      <c r="T551">
        <v>34</v>
      </c>
      <c r="U551">
        <v>264</v>
      </c>
      <c r="V551">
        <v>160</v>
      </c>
      <c r="W551">
        <v>28</v>
      </c>
      <c r="X551">
        <v>5.7142857142857144</v>
      </c>
      <c r="Y551">
        <v>4</v>
      </c>
      <c r="Z551">
        <v>13</v>
      </c>
      <c r="AA551">
        <v>0</v>
      </c>
      <c r="AB551">
        <v>0</v>
      </c>
      <c r="AC551">
        <v>4</v>
      </c>
      <c r="AD551">
        <v>4</v>
      </c>
      <c r="AE551">
        <v>19</v>
      </c>
      <c r="AF551">
        <v>3</v>
      </c>
      <c r="AG551">
        <v>20</v>
      </c>
      <c r="AH551">
        <v>1</v>
      </c>
      <c r="AI551">
        <v>1</v>
      </c>
      <c r="AJ551">
        <v>2</v>
      </c>
      <c r="AK551">
        <v>24</v>
      </c>
      <c r="AL551">
        <v>3</v>
      </c>
      <c r="AM551">
        <v>25</v>
      </c>
      <c r="AN551">
        <v>7</v>
      </c>
      <c r="AO551">
        <v>33</v>
      </c>
      <c r="AP551">
        <v>8</v>
      </c>
      <c r="AQ551">
        <v>32</v>
      </c>
      <c r="AR551">
        <v>4.924242424242424E-2</v>
      </c>
      <c r="AS551">
        <v>0</v>
      </c>
      <c r="AT551">
        <v>7.1969696969696975E-2</v>
      </c>
      <c r="AU551">
        <v>7.575757575757576E-2</v>
      </c>
      <c r="AV551">
        <v>3.787878787878788E-3</v>
      </c>
      <c r="AW551">
        <v>9.4696969696969696E-2</v>
      </c>
      <c r="AX551">
        <v>0.125</v>
      </c>
      <c r="AY551">
        <v>0.1212121212121212</v>
      </c>
      <c r="AZ551">
        <v>3.03030303030303E-2</v>
      </c>
      <c r="BA551">
        <v>0.66666666666666663</v>
      </c>
      <c r="BB551">
        <v>0.7857142857142857</v>
      </c>
      <c r="BC551">
        <v>0.53333333333333333</v>
      </c>
      <c r="BD551">
        <v>0.64393939393939392</v>
      </c>
      <c r="BE551">
        <v>4</v>
      </c>
      <c r="BF551">
        <v>0.65741341991341984</v>
      </c>
      <c r="BG551">
        <v>0.67</v>
      </c>
      <c r="BH551" t="s">
        <v>86</v>
      </c>
      <c r="BI551">
        <v>0.66</v>
      </c>
      <c r="BJ551" t="s">
        <v>86</v>
      </c>
      <c r="BK551" s="2">
        <f t="shared" si="17"/>
        <v>1.0000000000000009E-2</v>
      </c>
      <c r="BL551" t="b">
        <f t="shared" si="18"/>
        <v>1</v>
      </c>
    </row>
    <row r="552" spans="1:64" x14ac:dyDescent="0.35">
      <c r="A552" t="s">
        <v>1578</v>
      </c>
      <c r="B552" t="s">
        <v>1579</v>
      </c>
      <c r="C552">
        <v>2014</v>
      </c>
      <c r="D552" t="s">
        <v>1580</v>
      </c>
      <c r="E552" t="s">
        <v>1581</v>
      </c>
      <c r="F552" t="s">
        <v>66</v>
      </c>
      <c r="G552" t="s">
        <v>101</v>
      </c>
      <c r="H552" t="s">
        <v>184</v>
      </c>
      <c r="I552" t="s">
        <v>101</v>
      </c>
      <c r="J552" t="s">
        <v>70</v>
      </c>
      <c r="L552">
        <v>4</v>
      </c>
      <c r="M552" t="b">
        <v>0</v>
      </c>
      <c r="N552">
        <v>3</v>
      </c>
      <c r="O552">
        <v>2</v>
      </c>
      <c r="P552">
        <v>3</v>
      </c>
      <c r="Q552">
        <v>5</v>
      </c>
      <c r="R552">
        <v>-2</v>
      </c>
      <c r="S552">
        <v>3</v>
      </c>
      <c r="T552">
        <v>29</v>
      </c>
      <c r="U552">
        <v>756</v>
      </c>
      <c r="V552">
        <v>94</v>
      </c>
      <c r="W552">
        <v>19</v>
      </c>
      <c r="X552">
        <v>4.9473684210526319</v>
      </c>
      <c r="Y552">
        <v>3</v>
      </c>
      <c r="Z552">
        <v>60</v>
      </c>
      <c r="AA552">
        <v>0</v>
      </c>
      <c r="AB552">
        <v>0</v>
      </c>
      <c r="AC552">
        <v>4</v>
      </c>
      <c r="AD552">
        <v>4</v>
      </c>
      <c r="AE552">
        <v>183</v>
      </c>
      <c r="AF552">
        <v>1</v>
      </c>
      <c r="AG552">
        <v>39</v>
      </c>
      <c r="AH552">
        <v>3</v>
      </c>
      <c r="AI552">
        <v>80</v>
      </c>
      <c r="AJ552">
        <v>1</v>
      </c>
      <c r="AK552">
        <v>6</v>
      </c>
      <c r="AL552">
        <v>4</v>
      </c>
      <c r="AM552">
        <v>86</v>
      </c>
      <c r="AN552">
        <v>4</v>
      </c>
      <c r="AO552">
        <v>99</v>
      </c>
      <c r="AP552">
        <v>7</v>
      </c>
      <c r="AQ552">
        <v>243</v>
      </c>
      <c r="AR552">
        <v>7.9365079365079361E-2</v>
      </c>
      <c r="AS552">
        <v>0</v>
      </c>
      <c r="AT552">
        <v>0.24206349206349209</v>
      </c>
      <c r="AU552">
        <v>5.1587301587301577E-2</v>
      </c>
      <c r="AV552">
        <v>0.1058201058201058</v>
      </c>
      <c r="AW552">
        <v>0.11375661375661381</v>
      </c>
      <c r="AX552">
        <v>0.13095238095238099</v>
      </c>
      <c r="AY552">
        <v>0.32142857142857151</v>
      </c>
      <c r="AZ552">
        <v>1.7195767195767209E-2</v>
      </c>
      <c r="BA552">
        <v>0.33333333333333331</v>
      </c>
      <c r="BB552">
        <v>0.65789473684210531</v>
      </c>
      <c r="BC552">
        <v>0.46666666666666667</v>
      </c>
      <c r="BD552">
        <v>0.63574735449735442</v>
      </c>
      <c r="BE552">
        <v>4</v>
      </c>
      <c r="BF552">
        <v>0.52341052283486489</v>
      </c>
      <c r="BG552">
        <v>0.54</v>
      </c>
      <c r="BH552" t="s">
        <v>71</v>
      </c>
      <c r="BI552">
        <v>0.52</v>
      </c>
      <c r="BJ552" t="s">
        <v>71</v>
      </c>
      <c r="BK552" s="2">
        <f t="shared" si="17"/>
        <v>2.0000000000000018E-2</v>
      </c>
      <c r="BL552" t="b">
        <f t="shared" si="18"/>
        <v>1</v>
      </c>
    </row>
    <row r="553" spans="1:64" x14ac:dyDescent="0.35">
      <c r="A553" t="s">
        <v>1582</v>
      </c>
      <c r="B553" t="s">
        <v>1579</v>
      </c>
      <c r="C553">
        <v>2015</v>
      </c>
      <c r="D553" t="s">
        <v>1580</v>
      </c>
      <c r="E553" t="s">
        <v>1581</v>
      </c>
      <c r="F553" t="s">
        <v>66</v>
      </c>
      <c r="G553" t="s">
        <v>101</v>
      </c>
      <c r="H553" t="s">
        <v>184</v>
      </c>
      <c r="I553" t="s">
        <v>101</v>
      </c>
      <c r="J553" t="s">
        <v>70</v>
      </c>
      <c r="L553">
        <v>4</v>
      </c>
      <c r="M553" t="b">
        <v>0</v>
      </c>
      <c r="N553">
        <v>1</v>
      </c>
      <c r="O553">
        <v>1</v>
      </c>
      <c r="P553">
        <v>9</v>
      </c>
      <c r="Q553">
        <v>5</v>
      </c>
      <c r="R553">
        <v>4</v>
      </c>
      <c r="S553">
        <v>5</v>
      </c>
      <c r="T553">
        <v>38</v>
      </c>
      <c r="U553">
        <v>1339</v>
      </c>
      <c r="V553">
        <v>157</v>
      </c>
      <c r="W553">
        <v>27</v>
      </c>
      <c r="X553">
        <v>5.8148148148148149</v>
      </c>
      <c r="Y553">
        <v>7</v>
      </c>
      <c r="Z553">
        <v>113</v>
      </c>
      <c r="AA553">
        <v>1</v>
      </c>
      <c r="AB553">
        <v>8</v>
      </c>
      <c r="AC553">
        <v>5</v>
      </c>
      <c r="AD553">
        <v>5</v>
      </c>
      <c r="AE553">
        <v>199</v>
      </c>
      <c r="AF553">
        <v>1</v>
      </c>
      <c r="AG553">
        <v>13</v>
      </c>
      <c r="AH553">
        <v>4</v>
      </c>
      <c r="AI553">
        <v>37</v>
      </c>
      <c r="AJ553">
        <v>1</v>
      </c>
      <c r="AK553">
        <v>4</v>
      </c>
      <c r="AL553">
        <v>5</v>
      </c>
      <c r="AM553">
        <v>41</v>
      </c>
      <c r="AN553">
        <v>9</v>
      </c>
      <c r="AO553">
        <v>134</v>
      </c>
      <c r="AP553">
        <v>13</v>
      </c>
      <c r="AQ553">
        <v>320</v>
      </c>
      <c r="AR553">
        <v>8.439133681852129E-2</v>
      </c>
      <c r="AS553">
        <v>5.9746079163554896E-3</v>
      </c>
      <c r="AT553">
        <v>0.1486183719193428</v>
      </c>
      <c r="AU553">
        <v>9.7087378640776691E-3</v>
      </c>
      <c r="AV553">
        <v>2.763256161314414E-2</v>
      </c>
      <c r="AW553">
        <v>3.0619865571321878E-2</v>
      </c>
      <c r="AX553">
        <v>0.1000746825989544</v>
      </c>
      <c r="AY553">
        <v>0.2389843166542196</v>
      </c>
      <c r="AZ553">
        <v>6.9454817027632565E-2</v>
      </c>
      <c r="BA553">
        <v>0.66666666666666663</v>
      </c>
      <c r="BB553">
        <v>0.80246913580246915</v>
      </c>
      <c r="BC553">
        <v>0.8666666666666667</v>
      </c>
      <c r="BD553">
        <v>0.66840926064227035</v>
      </c>
      <c r="BE553">
        <v>4</v>
      </c>
      <c r="BF553">
        <v>0.75105293244451821</v>
      </c>
      <c r="BG553">
        <v>0.81</v>
      </c>
      <c r="BH553" t="s">
        <v>164</v>
      </c>
      <c r="BI553">
        <v>0.75</v>
      </c>
      <c r="BJ553" t="s">
        <v>86</v>
      </c>
      <c r="BK553" s="2">
        <f t="shared" si="17"/>
        <v>6.0000000000000053E-2</v>
      </c>
      <c r="BL553" t="b">
        <f t="shared" si="18"/>
        <v>0</v>
      </c>
    </row>
    <row r="554" spans="1:64" x14ac:dyDescent="0.35">
      <c r="A554" t="s">
        <v>1583</v>
      </c>
      <c r="B554" t="s">
        <v>1579</v>
      </c>
      <c r="C554">
        <v>2016</v>
      </c>
      <c r="D554" t="s">
        <v>1580</v>
      </c>
      <c r="E554" t="s">
        <v>1581</v>
      </c>
      <c r="F554" t="s">
        <v>66</v>
      </c>
      <c r="G554" t="s">
        <v>101</v>
      </c>
      <c r="H554" t="s">
        <v>184</v>
      </c>
      <c r="I554" t="s">
        <v>101</v>
      </c>
      <c r="J554" t="s">
        <v>70</v>
      </c>
      <c r="L554">
        <v>4</v>
      </c>
      <c r="M554" t="b">
        <v>0</v>
      </c>
      <c r="N554">
        <v>3</v>
      </c>
      <c r="O554">
        <v>2</v>
      </c>
      <c r="P554">
        <v>2</v>
      </c>
      <c r="Q554">
        <v>6</v>
      </c>
      <c r="R554">
        <v>-4</v>
      </c>
      <c r="S554">
        <v>3</v>
      </c>
      <c r="T554">
        <v>30</v>
      </c>
      <c r="U554">
        <v>3129</v>
      </c>
      <c r="V554">
        <v>115</v>
      </c>
      <c r="W554">
        <v>22</v>
      </c>
      <c r="X554">
        <v>5.2272727272727284</v>
      </c>
      <c r="Y554">
        <v>2</v>
      </c>
      <c r="Z554">
        <v>25</v>
      </c>
      <c r="AA554">
        <v>0</v>
      </c>
      <c r="AB554">
        <v>0</v>
      </c>
      <c r="AC554">
        <v>4</v>
      </c>
      <c r="AD554">
        <v>4</v>
      </c>
      <c r="AE554">
        <v>1100</v>
      </c>
      <c r="AF554">
        <v>2</v>
      </c>
      <c r="AG554">
        <v>26</v>
      </c>
      <c r="AH554">
        <v>3</v>
      </c>
      <c r="AI554">
        <v>97</v>
      </c>
      <c r="AJ554">
        <v>4</v>
      </c>
      <c r="AK554">
        <v>10</v>
      </c>
      <c r="AL554">
        <v>7</v>
      </c>
      <c r="AM554">
        <v>107</v>
      </c>
      <c r="AN554">
        <v>4</v>
      </c>
      <c r="AO554">
        <v>51</v>
      </c>
      <c r="AP554">
        <v>6</v>
      </c>
      <c r="AQ554">
        <v>1125</v>
      </c>
      <c r="AR554">
        <v>7.9897730904442306E-3</v>
      </c>
      <c r="AS554">
        <v>0</v>
      </c>
      <c r="AT554">
        <v>0.35155001597954622</v>
      </c>
      <c r="AU554">
        <v>8.3093640140620012E-3</v>
      </c>
      <c r="AV554">
        <v>3.1000319590923621E-2</v>
      </c>
      <c r="AW554">
        <v>3.4196228827101313E-2</v>
      </c>
      <c r="AX554">
        <v>1.6299137104506228E-2</v>
      </c>
      <c r="AY554">
        <v>0.3595397890699904</v>
      </c>
      <c r="AZ554">
        <v>-1.7897091722595081E-2</v>
      </c>
      <c r="BA554">
        <v>0.33333333333333331</v>
      </c>
      <c r="BB554">
        <v>0.7045454545454547</v>
      </c>
      <c r="BC554">
        <v>0.4</v>
      </c>
      <c r="BD554">
        <v>0.61381431767337802</v>
      </c>
      <c r="BE554">
        <v>4</v>
      </c>
      <c r="BF554">
        <v>0.51292327638804147</v>
      </c>
      <c r="BG554">
        <v>0.51</v>
      </c>
      <c r="BH554" t="s">
        <v>71</v>
      </c>
      <c r="BI554">
        <v>0.51</v>
      </c>
      <c r="BJ554" t="s">
        <v>71</v>
      </c>
      <c r="BK554" s="2">
        <f t="shared" si="17"/>
        <v>0</v>
      </c>
      <c r="BL554" t="b">
        <f t="shared" si="18"/>
        <v>1</v>
      </c>
    </row>
    <row r="555" spans="1:64" x14ac:dyDescent="0.35">
      <c r="A555" t="s">
        <v>1584</v>
      </c>
      <c r="B555" t="s">
        <v>1579</v>
      </c>
      <c r="C555">
        <v>2017</v>
      </c>
      <c r="D555" t="s">
        <v>1580</v>
      </c>
      <c r="E555" t="s">
        <v>1581</v>
      </c>
      <c r="F555" t="s">
        <v>66</v>
      </c>
      <c r="G555" t="s">
        <v>101</v>
      </c>
      <c r="H555" t="s">
        <v>184</v>
      </c>
      <c r="I555" t="s">
        <v>101</v>
      </c>
      <c r="J555" t="s">
        <v>70</v>
      </c>
      <c r="L555">
        <v>4</v>
      </c>
      <c r="M555" t="b">
        <v>0</v>
      </c>
      <c r="N555">
        <v>1</v>
      </c>
      <c r="O555">
        <v>1</v>
      </c>
      <c r="P555">
        <v>5</v>
      </c>
      <c r="Q555">
        <v>5</v>
      </c>
      <c r="R555">
        <v>0</v>
      </c>
      <c r="S555">
        <v>4</v>
      </c>
      <c r="T555">
        <v>38</v>
      </c>
      <c r="U555">
        <v>1023</v>
      </c>
      <c r="V555">
        <v>110</v>
      </c>
      <c r="W555">
        <v>24</v>
      </c>
      <c r="X555">
        <v>4.583333333333333</v>
      </c>
      <c r="Y555">
        <v>7</v>
      </c>
      <c r="Z555">
        <v>153</v>
      </c>
      <c r="AA555">
        <v>0</v>
      </c>
      <c r="AB555">
        <v>0</v>
      </c>
      <c r="AC555">
        <v>4</v>
      </c>
      <c r="AD555">
        <v>4</v>
      </c>
      <c r="AE555">
        <v>123</v>
      </c>
      <c r="AF555">
        <v>4</v>
      </c>
      <c r="AG555">
        <v>28</v>
      </c>
      <c r="AH555">
        <v>3</v>
      </c>
      <c r="AI555">
        <v>210</v>
      </c>
      <c r="AJ555">
        <v>2</v>
      </c>
      <c r="AK555">
        <v>9</v>
      </c>
      <c r="AL555">
        <v>5</v>
      </c>
      <c r="AM555">
        <v>219</v>
      </c>
      <c r="AN555">
        <v>11</v>
      </c>
      <c r="AO555">
        <v>181</v>
      </c>
      <c r="AP555">
        <v>11</v>
      </c>
      <c r="AQ555">
        <v>276</v>
      </c>
      <c r="AR555">
        <v>0.14956011730205279</v>
      </c>
      <c r="AS555">
        <v>0</v>
      </c>
      <c r="AT555">
        <v>0.12023460410557189</v>
      </c>
      <c r="AU555">
        <v>2.7370478983382209E-2</v>
      </c>
      <c r="AV555">
        <v>0.20527859237536661</v>
      </c>
      <c r="AW555">
        <v>0.21407624633431091</v>
      </c>
      <c r="AX555">
        <v>0.176930596285435</v>
      </c>
      <c r="AY555">
        <v>0.26979472140762462</v>
      </c>
      <c r="AZ555">
        <v>-3.714565004887585E-2</v>
      </c>
      <c r="BA555">
        <v>0.5</v>
      </c>
      <c r="BB555">
        <v>0.59722222222222221</v>
      </c>
      <c r="BC555">
        <v>0.73333333333333328</v>
      </c>
      <c r="BD555">
        <v>0.60178396871945261</v>
      </c>
      <c r="BE555">
        <v>4</v>
      </c>
      <c r="BF555">
        <v>0.60808488106875203</v>
      </c>
      <c r="BG555">
        <v>0.63</v>
      </c>
      <c r="BH555" t="s">
        <v>86</v>
      </c>
      <c r="BI555">
        <v>0.61</v>
      </c>
      <c r="BJ555" t="s">
        <v>86</v>
      </c>
      <c r="BK555" s="2">
        <f t="shared" si="17"/>
        <v>2.0000000000000018E-2</v>
      </c>
      <c r="BL555" t="b">
        <f t="shared" si="18"/>
        <v>1</v>
      </c>
    </row>
    <row r="556" spans="1:64" x14ac:dyDescent="0.35">
      <c r="A556" t="s">
        <v>1585</v>
      </c>
      <c r="B556" t="s">
        <v>1579</v>
      </c>
      <c r="C556">
        <v>2020</v>
      </c>
      <c r="D556" t="s">
        <v>1580</v>
      </c>
      <c r="E556" t="s">
        <v>1581</v>
      </c>
      <c r="F556" t="s">
        <v>66</v>
      </c>
      <c r="G556" t="s">
        <v>101</v>
      </c>
      <c r="H556" t="s">
        <v>184</v>
      </c>
      <c r="I556" t="s">
        <v>101</v>
      </c>
      <c r="J556" t="s">
        <v>70</v>
      </c>
      <c r="L556">
        <v>4</v>
      </c>
      <c r="M556" t="b">
        <v>0</v>
      </c>
      <c r="N556">
        <v>3</v>
      </c>
      <c r="O556">
        <v>2</v>
      </c>
      <c r="P556">
        <v>2</v>
      </c>
      <c r="Q556">
        <v>4</v>
      </c>
      <c r="R556">
        <v>-2</v>
      </c>
      <c r="S556">
        <v>3</v>
      </c>
      <c r="T556">
        <v>38</v>
      </c>
      <c r="U556">
        <v>605</v>
      </c>
      <c r="V556">
        <v>116</v>
      </c>
      <c r="W556">
        <v>24</v>
      </c>
      <c r="X556">
        <v>4.833333333333333</v>
      </c>
      <c r="Y556">
        <v>4</v>
      </c>
      <c r="Z556">
        <v>62</v>
      </c>
      <c r="AA556">
        <v>0</v>
      </c>
      <c r="AB556">
        <v>0</v>
      </c>
      <c r="AC556">
        <v>4</v>
      </c>
      <c r="AD556">
        <v>4</v>
      </c>
      <c r="AE556">
        <v>101</v>
      </c>
      <c r="AF556">
        <v>2</v>
      </c>
      <c r="AG556">
        <v>12</v>
      </c>
      <c r="AH556">
        <v>2</v>
      </c>
      <c r="AI556">
        <v>46</v>
      </c>
      <c r="AJ556">
        <v>1</v>
      </c>
      <c r="AK556">
        <v>15</v>
      </c>
      <c r="AL556">
        <v>3</v>
      </c>
      <c r="AM556">
        <v>61</v>
      </c>
      <c r="AN556">
        <v>6</v>
      </c>
      <c r="AO556">
        <v>74</v>
      </c>
      <c r="AP556">
        <v>8</v>
      </c>
      <c r="AQ556">
        <v>163</v>
      </c>
      <c r="AR556">
        <v>0.10247933884297521</v>
      </c>
      <c r="AS556">
        <v>0</v>
      </c>
      <c r="AT556">
        <v>0.16694214876033059</v>
      </c>
      <c r="AU556">
        <v>1.9834710743801651E-2</v>
      </c>
      <c r="AV556">
        <v>7.6033057851239663E-2</v>
      </c>
      <c r="AW556">
        <v>0.1008264462809917</v>
      </c>
      <c r="AX556">
        <v>0.1223140495867769</v>
      </c>
      <c r="AY556">
        <v>0.26942148760330581</v>
      </c>
      <c r="AZ556">
        <v>2.1487603305785131E-2</v>
      </c>
      <c r="BA556">
        <v>0.33333333333333331</v>
      </c>
      <c r="BB556">
        <v>0.63888888888888884</v>
      </c>
      <c r="BC556">
        <v>0.53333333333333333</v>
      </c>
      <c r="BD556">
        <v>0.63842975206611563</v>
      </c>
      <c r="BE556">
        <v>4</v>
      </c>
      <c r="BF556">
        <v>0.53599632690541776</v>
      </c>
      <c r="BG556">
        <v>0.54</v>
      </c>
      <c r="BH556" t="s">
        <v>71</v>
      </c>
      <c r="BI556">
        <v>0.54</v>
      </c>
      <c r="BJ556" t="s">
        <v>71</v>
      </c>
      <c r="BK556" s="2">
        <f t="shared" si="17"/>
        <v>0</v>
      </c>
      <c r="BL556" t="b">
        <f t="shared" si="18"/>
        <v>1</v>
      </c>
    </row>
    <row r="557" spans="1:64" x14ac:dyDescent="0.35">
      <c r="A557" t="s">
        <v>1586</v>
      </c>
      <c r="B557" t="s">
        <v>1587</v>
      </c>
      <c r="C557">
        <v>2015</v>
      </c>
      <c r="D557" t="s">
        <v>1588</v>
      </c>
      <c r="E557" t="s">
        <v>1589</v>
      </c>
      <c r="F557" t="s">
        <v>66</v>
      </c>
      <c r="G557" t="s">
        <v>101</v>
      </c>
      <c r="H557" t="s">
        <v>348</v>
      </c>
      <c r="I557" t="s">
        <v>1590</v>
      </c>
      <c r="J557" t="s">
        <v>70</v>
      </c>
      <c r="L557">
        <v>3</v>
      </c>
      <c r="M557" t="b">
        <v>0</v>
      </c>
      <c r="N557">
        <v>1</v>
      </c>
      <c r="O557">
        <v>1</v>
      </c>
      <c r="P557">
        <v>7</v>
      </c>
      <c r="Q557">
        <v>2</v>
      </c>
      <c r="R557">
        <v>5</v>
      </c>
      <c r="S557">
        <v>5</v>
      </c>
      <c r="T557">
        <v>20</v>
      </c>
      <c r="U557">
        <v>208</v>
      </c>
      <c r="V557">
        <v>95</v>
      </c>
      <c r="W557">
        <v>14</v>
      </c>
      <c r="X557">
        <v>6.7857142857142856</v>
      </c>
      <c r="Y557">
        <v>1</v>
      </c>
      <c r="Z557">
        <v>1</v>
      </c>
      <c r="AA557">
        <v>1</v>
      </c>
      <c r="AB557">
        <v>1</v>
      </c>
      <c r="AC557">
        <v>2</v>
      </c>
      <c r="AD557">
        <v>2</v>
      </c>
      <c r="AE557">
        <v>17</v>
      </c>
      <c r="AF557">
        <v>1</v>
      </c>
      <c r="AG557">
        <v>23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3</v>
      </c>
      <c r="AO557">
        <v>25</v>
      </c>
      <c r="AP557">
        <v>4</v>
      </c>
      <c r="AQ557">
        <v>19</v>
      </c>
      <c r="AR557">
        <v>4.807692307692308E-3</v>
      </c>
      <c r="AS557">
        <v>4.807692307692308E-3</v>
      </c>
      <c r="AT557">
        <v>8.1730769230769232E-2</v>
      </c>
      <c r="AU557">
        <v>0.1105769230769231</v>
      </c>
      <c r="AV557">
        <v>0</v>
      </c>
      <c r="AW557">
        <v>0</v>
      </c>
      <c r="AX557">
        <v>0.1201923076923077</v>
      </c>
      <c r="AY557">
        <v>9.1346153846153841E-2</v>
      </c>
      <c r="AZ557">
        <v>0.1201923076923077</v>
      </c>
      <c r="BA557">
        <v>0.66666666666666663</v>
      </c>
      <c r="BB557">
        <v>0.9642857142857143</v>
      </c>
      <c r="BC557">
        <v>0.26666666666666672</v>
      </c>
      <c r="BD557">
        <v>0.70012019230769229</v>
      </c>
      <c r="BE557">
        <v>4</v>
      </c>
      <c r="BF557">
        <v>0.64943480998168501</v>
      </c>
      <c r="BG557">
        <v>0.64</v>
      </c>
      <c r="BH557" t="s">
        <v>86</v>
      </c>
      <c r="BI557">
        <v>0.65</v>
      </c>
      <c r="BJ557" t="s">
        <v>86</v>
      </c>
      <c r="BK557" s="2">
        <f t="shared" si="17"/>
        <v>-1.0000000000000009E-2</v>
      </c>
      <c r="BL557" t="b">
        <f t="shared" si="18"/>
        <v>1</v>
      </c>
    </row>
    <row r="558" spans="1:64" x14ac:dyDescent="0.35">
      <c r="A558" t="s">
        <v>1591</v>
      </c>
      <c r="B558" t="s">
        <v>1587</v>
      </c>
      <c r="C558">
        <v>2021</v>
      </c>
      <c r="D558" t="s">
        <v>1588</v>
      </c>
      <c r="E558" t="s">
        <v>1589</v>
      </c>
      <c r="F558" t="s">
        <v>66</v>
      </c>
      <c r="G558" t="s">
        <v>101</v>
      </c>
      <c r="H558" t="s">
        <v>348</v>
      </c>
      <c r="I558" t="s">
        <v>1590</v>
      </c>
      <c r="J558" t="s">
        <v>70</v>
      </c>
      <c r="L558">
        <v>3</v>
      </c>
      <c r="M558" t="b">
        <v>0</v>
      </c>
      <c r="N558">
        <v>1</v>
      </c>
      <c r="O558">
        <v>2</v>
      </c>
      <c r="P558">
        <v>5</v>
      </c>
      <c r="Q558">
        <v>0</v>
      </c>
      <c r="R558">
        <v>5</v>
      </c>
      <c r="S558">
        <v>6</v>
      </c>
      <c r="T558">
        <v>17</v>
      </c>
      <c r="U558">
        <v>214</v>
      </c>
      <c r="V558">
        <v>92</v>
      </c>
      <c r="W558">
        <v>15</v>
      </c>
      <c r="X558">
        <v>6.1333333333333337</v>
      </c>
      <c r="Y558">
        <v>2</v>
      </c>
      <c r="Z558">
        <v>34</v>
      </c>
      <c r="AA558">
        <v>1</v>
      </c>
      <c r="AB558">
        <v>2</v>
      </c>
      <c r="AC558">
        <v>3</v>
      </c>
      <c r="AD558">
        <v>3</v>
      </c>
      <c r="AE558">
        <v>8</v>
      </c>
      <c r="AF558">
        <v>1</v>
      </c>
      <c r="AG558">
        <v>40</v>
      </c>
      <c r="AH558">
        <v>1</v>
      </c>
      <c r="AI558">
        <v>1</v>
      </c>
      <c r="AJ558">
        <v>0</v>
      </c>
      <c r="AK558">
        <v>0</v>
      </c>
      <c r="AL558">
        <v>1</v>
      </c>
      <c r="AM558">
        <v>1</v>
      </c>
      <c r="AN558">
        <v>4</v>
      </c>
      <c r="AO558">
        <v>76</v>
      </c>
      <c r="AP558">
        <v>6</v>
      </c>
      <c r="AQ558">
        <v>44</v>
      </c>
      <c r="AR558">
        <v>0.15887850467289719</v>
      </c>
      <c r="AS558">
        <v>9.3457943925233638E-3</v>
      </c>
      <c r="AT558">
        <v>3.7383177570093462E-2</v>
      </c>
      <c r="AU558">
        <v>0.18691588785046731</v>
      </c>
      <c r="AV558">
        <v>4.6728971962616819E-3</v>
      </c>
      <c r="AW558">
        <v>4.6728971962616819E-3</v>
      </c>
      <c r="AX558">
        <v>0.35514018691588778</v>
      </c>
      <c r="AY558">
        <v>0.20560747663551401</v>
      </c>
      <c r="AZ558">
        <v>0.35046728971962621</v>
      </c>
      <c r="BA558">
        <v>0.83333333333333337</v>
      </c>
      <c r="BB558">
        <v>0.85555555555555562</v>
      </c>
      <c r="BC558">
        <v>0.4</v>
      </c>
      <c r="BD558">
        <v>0.84404205607476634</v>
      </c>
      <c r="BE558">
        <v>4</v>
      </c>
      <c r="BF558">
        <v>0.7332327362409139</v>
      </c>
      <c r="BG558">
        <v>0.73</v>
      </c>
      <c r="BH558" t="s">
        <v>86</v>
      </c>
      <c r="BI558">
        <v>0.73</v>
      </c>
      <c r="BJ558" t="s">
        <v>86</v>
      </c>
      <c r="BK558" s="2">
        <f t="shared" si="17"/>
        <v>0</v>
      </c>
      <c r="BL558" t="b">
        <f t="shared" si="18"/>
        <v>1</v>
      </c>
    </row>
    <row r="559" spans="1:64" x14ac:dyDescent="0.35">
      <c r="A559" t="s">
        <v>1592</v>
      </c>
      <c r="B559" t="s">
        <v>1593</v>
      </c>
      <c r="C559">
        <v>2015</v>
      </c>
      <c r="D559" t="s">
        <v>1594</v>
      </c>
      <c r="E559" t="s">
        <v>1595</v>
      </c>
      <c r="F559" t="s">
        <v>66</v>
      </c>
      <c r="G559" t="s">
        <v>101</v>
      </c>
      <c r="H559" t="s">
        <v>162</v>
      </c>
      <c r="I559" t="s">
        <v>1596</v>
      </c>
      <c r="J559" t="s">
        <v>70</v>
      </c>
      <c r="L559">
        <v>3</v>
      </c>
      <c r="M559" t="b">
        <v>0</v>
      </c>
      <c r="N559">
        <v>1</v>
      </c>
      <c r="O559">
        <v>2</v>
      </c>
      <c r="P559">
        <v>6</v>
      </c>
      <c r="Q559">
        <v>3</v>
      </c>
      <c r="R559">
        <v>3</v>
      </c>
      <c r="S559">
        <v>5</v>
      </c>
      <c r="T559">
        <v>32</v>
      </c>
      <c r="U559">
        <v>435</v>
      </c>
      <c r="V559">
        <v>114</v>
      </c>
      <c r="W559">
        <v>21</v>
      </c>
      <c r="X559">
        <v>5.4285714285714288</v>
      </c>
      <c r="Y559">
        <v>3</v>
      </c>
      <c r="Z559">
        <v>42</v>
      </c>
      <c r="AA559">
        <v>0</v>
      </c>
      <c r="AB559">
        <v>0</v>
      </c>
      <c r="AC559">
        <v>5</v>
      </c>
      <c r="AD559">
        <v>5</v>
      </c>
      <c r="AE559">
        <v>57</v>
      </c>
      <c r="AF559">
        <v>2</v>
      </c>
      <c r="AG559">
        <v>63</v>
      </c>
      <c r="AH559">
        <v>0</v>
      </c>
      <c r="AI559">
        <v>0</v>
      </c>
      <c r="AJ559">
        <v>1</v>
      </c>
      <c r="AK559">
        <v>3</v>
      </c>
      <c r="AL559">
        <v>1</v>
      </c>
      <c r="AM559">
        <v>3</v>
      </c>
      <c r="AN559">
        <v>5</v>
      </c>
      <c r="AO559">
        <v>105</v>
      </c>
      <c r="AP559">
        <v>8</v>
      </c>
      <c r="AQ559">
        <v>99</v>
      </c>
      <c r="AR559">
        <v>9.6551724137931033E-2</v>
      </c>
      <c r="AS559">
        <v>0</v>
      </c>
      <c r="AT559">
        <v>0.1310344827586207</v>
      </c>
      <c r="AU559">
        <v>0.14482758620689659</v>
      </c>
      <c r="AV559">
        <v>0</v>
      </c>
      <c r="AW559">
        <v>6.8965517241379309E-3</v>
      </c>
      <c r="AX559">
        <v>0.2413793103448276</v>
      </c>
      <c r="AY559">
        <v>0.22758620689655171</v>
      </c>
      <c r="AZ559">
        <v>0.23448275862068971</v>
      </c>
      <c r="BA559">
        <v>0.66666666666666663</v>
      </c>
      <c r="BB559">
        <v>0.73809523809523814</v>
      </c>
      <c r="BC559">
        <v>0.53333333333333333</v>
      </c>
      <c r="BD559">
        <v>0.77155172413793105</v>
      </c>
      <c r="BE559">
        <v>4</v>
      </c>
      <c r="BF559">
        <v>0.67741174055829223</v>
      </c>
      <c r="BG559">
        <v>0.69</v>
      </c>
      <c r="BH559" t="s">
        <v>86</v>
      </c>
      <c r="BI559">
        <v>0.68</v>
      </c>
      <c r="BJ559" t="s">
        <v>86</v>
      </c>
      <c r="BK559" s="2">
        <f t="shared" si="17"/>
        <v>9.9999999999998979E-3</v>
      </c>
      <c r="BL559" t="b">
        <f t="shared" si="18"/>
        <v>1</v>
      </c>
    </row>
    <row r="560" spans="1:64" x14ac:dyDescent="0.35">
      <c r="A560" t="s">
        <v>1597</v>
      </c>
      <c r="B560" t="s">
        <v>1593</v>
      </c>
      <c r="C560">
        <v>2019</v>
      </c>
      <c r="D560" t="s">
        <v>1594</v>
      </c>
      <c r="E560" t="s">
        <v>1595</v>
      </c>
      <c r="F560" t="s">
        <v>66</v>
      </c>
      <c r="G560" t="s">
        <v>101</v>
      </c>
      <c r="H560" t="s">
        <v>162</v>
      </c>
      <c r="I560" t="s">
        <v>1596</v>
      </c>
      <c r="J560" t="s">
        <v>70</v>
      </c>
      <c r="L560">
        <v>3</v>
      </c>
      <c r="M560" t="b">
        <v>0</v>
      </c>
      <c r="N560">
        <v>2</v>
      </c>
      <c r="O560">
        <v>1</v>
      </c>
      <c r="P560">
        <v>3</v>
      </c>
      <c r="Q560">
        <v>0</v>
      </c>
      <c r="R560">
        <v>3</v>
      </c>
      <c r="S560">
        <v>4</v>
      </c>
      <c r="T560">
        <v>9</v>
      </c>
      <c r="U560">
        <v>470</v>
      </c>
      <c r="V560">
        <v>47</v>
      </c>
      <c r="W560">
        <v>8</v>
      </c>
      <c r="X560">
        <v>5.875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27</v>
      </c>
      <c r="AF560">
        <v>2</v>
      </c>
      <c r="AG560">
        <v>3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2</v>
      </c>
      <c r="AO560">
        <v>3</v>
      </c>
      <c r="AP560">
        <v>1</v>
      </c>
      <c r="AQ560">
        <v>27</v>
      </c>
      <c r="AR560">
        <v>0</v>
      </c>
      <c r="AS560">
        <v>0</v>
      </c>
      <c r="AT560">
        <v>5.7446808510638298E-2</v>
      </c>
      <c r="AU560">
        <v>6.382978723404255E-3</v>
      </c>
      <c r="AV560">
        <v>0</v>
      </c>
      <c r="AW560">
        <v>0</v>
      </c>
      <c r="AX560">
        <v>6.382978723404255E-3</v>
      </c>
      <c r="AY560">
        <v>5.7446808510638298E-2</v>
      </c>
      <c r="AZ560">
        <v>6.382978723404255E-3</v>
      </c>
      <c r="BA560">
        <v>0.5</v>
      </c>
      <c r="BB560">
        <v>0.8125</v>
      </c>
      <c r="BC560">
        <v>6.6666666666666666E-2</v>
      </c>
      <c r="BD560">
        <v>0.6289893617021276</v>
      </c>
      <c r="BE560">
        <v>4</v>
      </c>
      <c r="BF560">
        <v>0.50203900709219862</v>
      </c>
      <c r="BG560">
        <v>0.5</v>
      </c>
      <c r="BH560" t="s">
        <v>71</v>
      </c>
      <c r="BI560">
        <v>0.5</v>
      </c>
      <c r="BJ560" t="s">
        <v>71</v>
      </c>
      <c r="BK560" s="2">
        <f t="shared" si="17"/>
        <v>0</v>
      </c>
      <c r="BL560" t="b">
        <f t="shared" si="18"/>
        <v>1</v>
      </c>
    </row>
    <row r="561" spans="1:64" x14ac:dyDescent="0.35">
      <c r="A561" t="s">
        <v>1598</v>
      </c>
      <c r="B561" t="s">
        <v>1599</v>
      </c>
      <c r="C561">
        <v>2015</v>
      </c>
      <c r="D561" t="s">
        <v>1600</v>
      </c>
      <c r="E561" t="s">
        <v>1601</v>
      </c>
      <c r="F561" t="s">
        <v>66</v>
      </c>
      <c r="G561" t="s">
        <v>101</v>
      </c>
      <c r="H561" t="s">
        <v>195</v>
      </c>
      <c r="I561" t="s">
        <v>195</v>
      </c>
      <c r="J561" t="s">
        <v>70</v>
      </c>
      <c r="L561">
        <v>5</v>
      </c>
      <c r="M561" t="b">
        <v>0</v>
      </c>
      <c r="N561">
        <v>1</v>
      </c>
      <c r="O561">
        <v>2</v>
      </c>
      <c r="P561">
        <v>5</v>
      </c>
      <c r="Q561">
        <v>1</v>
      </c>
      <c r="R561">
        <v>4</v>
      </c>
      <c r="S561">
        <v>6</v>
      </c>
      <c r="T561">
        <v>17</v>
      </c>
      <c r="U561">
        <v>156</v>
      </c>
      <c r="V561">
        <v>91</v>
      </c>
      <c r="W561">
        <v>15</v>
      </c>
      <c r="X561">
        <v>6.0666666666666664</v>
      </c>
      <c r="Y561">
        <v>2</v>
      </c>
      <c r="Z561">
        <v>19</v>
      </c>
      <c r="AA561">
        <v>0</v>
      </c>
      <c r="AB561">
        <v>0</v>
      </c>
      <c r="AC561">
        <v>2</v>
      </c>
      <c r="AD561">
        <v>2</v>
      </c>
      <c r="AE561">
        <v>39</v>
      </c>
      <c r="AF561">
        <v>1</v>
      </c>
      <c r="AG561">
        <v>5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3</v>
      </c>
      <c r="AO561">
        <v>24</v>
      </c>
      <c r="AP561">
        <v>4</v>
      </c>
      <c r="AQ561">
        <v>58</v>
      </c>
      <c r="AR561">
        <v>0.12179487179487181</v>
      </c>
      <c r="AS561">
        <v>0</v>
      </c>
      <c r="AT561">
        <v>0.25</v>
      </c>
      <c r="AU561">
        <v>3.2051282051282048E-2</v>
      </c>
      <c r="AV561">
        <v>0</v>
      </c>
      <c r="AW561">
        <v>0</v>
      </c>
      <c r="AX561">
        <v>0.15384615384615391</v>
      </c>
      <c r="AY561">
        <v>0.37179487179487181</v>
      </c>
      <c r="AZ561">
        <v>0.15384615384615391</v>
      </c>
      <c r="BA561">
        <v>0.83333333333333337</v>
      </c>
      <c r="BB561">
        <v>0.84444444444444444</v>
      </c>
      <c r="BC561">
        <v>0.26666666666666672</v>
      </c>
      <c r="BD561">
        <v>0.72115384615384615</v>
      </c>
      <c r="BE561">
        <v>4</v>
      </c>
      <c r="BF561">
        <v>0.66639957264957261</v>
      </c>
      <c r="BG561">
        <v>0.67</v>
      </c>
      <c r="BH561" t="s">
        <v>86</v>
      </c>
      <c r="BI561">
        <v>0.67</v>
      </c>
      <c r="BJ561" t="s">
        <v>86</v>
      </c>
      <c r="BK561" s="2">
        <f t="shared" si="17"/>
        <v>0</v>
      </c>
      <c r="BL561" t="b">
        <f t="shared" si="18"/>
        <v>1</v>
      </c>
    </row>
    <row r="562" spans="1:64" x14ac:dyDescent="0.35">
      <c r="A562" t="s">
        <v>1602</v>
      </c>
      <c r="B562" t="s">
        <v>1599</v>
      </c>
      <c r="C562">
        <v>2022</v>
      </c>
      <c r="D562" t="s">
        <v>1600</v>
      </c>
      <c r="E562" t="s">
        <v>1601</v>
      </c>
      <c r="F562" t="s">
        <v>66</v>
      </c>
      <c r="G562" t="s">
        <v>101</v>
      </c>
      <c r="H562" t="s">
        <v>195</v>
      </c>
      <c r="I562" t="s">
        <v>195</v>
      </c>
      <c r="J562" t="s">
        <v>70</v>
      </c>
      <c r="L562">
        <v>5</v>
      </c>
      <c r="M562" t="b">
        <v>0</v>
      </c>
      <c r="N562">
        <v>2</v>
      </c>
      <c r="O562">
        <v>3</v>
      </c>
      <c r="P562">
        <v>6</v>
      </c>
      <c r="Q562">
        <v>3</v>
      </c>
      <c r="R562">
        <v>3</v>
      </c>
      <c r="S562">
        <v>4</v>
      </c>
      <c r="T562">
        <v>25</v>
      </c>
      <c r="U562">
        <v>104</v>
      </c>
      <c r="V562">
        <v>113</v>
      </c>
      <c r="W562">
        <v>19</v>
      </c>
      <c r="X562">
        <v>5.9473684210526319</v>
      </c>
      <c r="Y562">
        <v>4</v>
      </c>
      <c r="Z562">
        <v>7</v>
      </c>
      <c r="AA562">
        <v>0</v>
      </c>
      <c r="AB562">
        <v>0</v>
      </c>
      <c r="AC562">
        <v>3</v>
      </c>
      <c r="AD562">
        <v>3</v>
      </c>
      <c r="AE562">
        <v>8</v>
      </c>
      <c r="AF562">
        <v>3</v>
      </c>
      <c r="AG562">
        <v>25</v>
      </c>
      <c r="AH562">
        <v>0</v>
      </c>
      <c r="AI562">
        <v>0</v>
      </c>
      <c r="AJ562">
        <v>1</v>
      </c>
      <c r="AK562">
        <v>1</v>
      </c>
      <c r="AL562">
        <v>1</v>
      </c>
      <c r="AM562">
        <v>1</v>
      </c>
      <c r="AN562">
        <v>7</v>
      </c>
      <c r="AO562">
        <v>32</v>
      </c>
      <c r="AP562">
        <v>7</v>
      </c>
      <c r="AQ562">
        <v>15</v>
      </c>
      <c r="AR562">
        <v>6.7307692307692304E-2</v>
      </c>
      <c r="AS562">
        <v>0</v>
      </c>
      <c r="AT562">
        <v>7.6923076923076927E-2</v>
      </c>
      <c r="AU562">
        <v>0.24038461538461539</v>
      </c>
      <c r="AV562">
        <v>0</v>
      </c>
      <c r="AW562">
        <v>9.6153846153846159E-3</v>
      </c>
      <c r="AX562">
        <v>0.30769230769230771</v>
      </c>
      <c r="AY562">
        <v>0.14423076923076919</v>
      </c>
      <c r="AZ562">
        <v>0.29807692307692307</v>
      </c>
      <c r="BA562">
        <v>0.5</v>
      </c>
      <c r="BB562">
        <v>0.82456140350877194</v>
      </c>
      <c r="BC562">
        <v>0.46666666666666667</v>
      </c>
      <c r="BD562">
        <v>0.81129807692307687</v>
      </c>
      <c r="BE562">
        <v>4</v>
      </c>
      <c r="BF562">
        <v>0.65063153677462893</v>
      </c>
      <c r="BG562">
        <v>0.65</v>
      </c>
      <c r="BH562" t="s">
        <v>86</v>
      </c>
      <c r="BI562">
        <v>0.65</v>
      </c>
      <c r="BJ562" t="s">
        <v>86</v>
      </c>
      <c r="BK562" s="2">
        <f t="shared" si="17"/>
        <v>0</v>
      </c>
      <c r="BL562" t="b">
        <f t="shared" si="18"/>
        <v>1</v>
      </c>
    </row>
    <row r="563" spans="1:64" x14ac:dyDescent="0.35">
      <c r="A563" t="s">
        <v>1603</v>
      </c>
      <c r="B563" t="s">
        <v>1604</v>
      </c>
      <c r="C563">
        <v>2022</v>
      </c>
      <c r="D563" t="s">
        <v>1605</v>
      </c>
      <c r="E563" t="s">
        <v>1606</v>
      </c>
      <c r="F563" t="s">
        <v>66</v>
      </c>
      <c r="G563" t="s">
        <v>101</v>
      </c>
      <c r="H563" t="s">
        <v>348</v>
      </c>
      <c r="I563" t="s">
        <v>1607</v>
      </c>
      <c r="J563" t="s">
        <v>70</v>
      </c>
      <c r="L563">
        <v>1</v>
      </c>
      <c r="M563" t="b">
        <v>0</v>
      </c>
      <c r="N563">
        <v>1</v>
      </c>
      <c r="O563">
        <v>1</v>
      </c>
      <c r="P563">
        <v>6</v>
      </c>
      <c r="Q563">
        <v>0</v>
      </c>
      <c r="R563">
        <v>6</v>
      </c>
      <c r="S563">
        <v>5</v>
      </c>
      <c r="T563">
        <v>17</v>
      </c>
      <c r="U563">
        <v>98</v>
      </c>
      <c r="V563">
        <v>90</v>
      </c>
      <c r="W563">
        <v>14</v>
      </c>
      <c r="X563">
        <v>6.4285714285714288</v>
      </c>
      <c r="Y563">
        <v>5</v>
      </c>
      <c r="Z563">
        <v>22</v>
      </c>
      <c r="AA563">
        <v>1</v>
      </c>
      <c r="AB563">
        <v>1</v>
      </c>
      <c r="AC563">
        <v>3</v>
      </c>
      <c r="AD563">
        <v>3</v>
      </c>
      <c r="AE563">
        <v>24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6</v>
      </c>
      <c r="AO563">
        <v>23</v>
      </c>
      <c r="AP563">
        <v>9</v>
      </c>
      <c r="AQ563">
        <v>47</v>
      </c>
      <c r="AR563">
        <v>0.22448979591836729</v>
      </c>
      <c r="AS563">
        <v>1.020408163265306E-2</v>
      </c>
      <c r="AT563">
        <v>0.24489795918367349</v>
      </c>
      <c r="AU563">
        <v>0</v>
      </c>
      <c r="AV563">
        <v>0</v>
      </c>
      <c r="AW563">
        <v>0</v>
      </c>
      <c r="AX563">
        <v>0.23469387755102039</v>
      </c>
      <c r="AY563">
        <v>0.47959183673469391</v>
      </c>
      <c r="AZ563">
        <v>0.23469387755102039</v>
      </c>
      <c r="BA563">
        <v>0.66666666666666663</v>
      </c>
      <c r="BB563">
        <v>0.90476190476190477</v>
      </c>
      <c r="BC563">
        <v>0.6</v>
      </c>
      <c r="BD563">
        <v>0.77168367346938771</v>
      </c>
      <c r="BE563">
        <v>4</v>
      </c>
      <c r="BF563">
        <v>0.73577806122448974</v>
      </c>
      <c r="BG563">
        <v>0.74</v>
      </c>
      <c r="BH563" t="s">
        <v>86</v>
      </c>
      <c r="BI563">
        <v>0.74</v>
      </c>
      <c r="BJ563" t="s">
        <v>86</v>
      </c>
      <c r="BK563" s="2">
        <f t="shared" si="17"/>
        <v>0</v>
      </c>
      <c r="BL563" t="b">
        <f t="shared" si="18"/>
        <v>1</v>
      </c>
    </row>
    <row r="564" spans="1:64" x14ac:dyDescent="0.35">
      <c r="A564" t="s">
        <v>1608</v>
      </c>
      <c r="B564" t="s">
        <v>1609</v>
      </c>
      <c r="C564">
        <v>2016</v>
      </c>
      <c r="D564" t="s">
        <v>1610</v>
      </c>
      <c r="E564" t="s">
        <v>1611</v>
      </c>
      <c r="F564" t="s">
        <v>66</v>
      </c>
      <c r="G564" t="s">
        <v>101</v>
      </c>
      <c r="H564" t="s">
        <v>170</v>
      </c>
      <c r="I564" t="s">
        <v>784</v>
      </c>
      <c r="J564" t="s">
        <v>70</v>
      </c>
      <c r="L564">
        <v>3</v>
      </c>
      <c r="M564" t="b">
        <v>0</v>
      </c>
      <c r="N564">
        <v>1</v>
      </c>
      <c r="O564">
        <v>1</v>
      </c>
      <c r="P564">
        <v>8</v>
      </c>
      <c r="Q564">
        <v>6</v>
      </c>
      <c r="R564">
        <v>2</v>
      </c>
      <c r="S564">
        <v>4</v>
      </c>
      <c r="T564">
        <v>31</v>
      </c>
      <c r="U564">
        <v>1131</v>
      </c>
      <c r="V564">
        <v>111</v>
      </c>
      <c r="W564">
        <v>20</v>
      </c>
      <c r="X564">
        <v>5.55</v>
      </c>
      <c r="Y564">
        <v>1</v>
      </c>
      <c r="Z564">
        <v>20</v>
      </c>
      <c r="AA564">
        <v>0</v>
      </c>
      <c r="AB564">
        <v>0</v>
      </c>
      <c r="AC564">
        <v>2</v>
      </c>
      <c r="AD564">
        <v>2</v>
      </c>
      <c r="AE564">
        <v>270</v>
      </c>
      <c r="AF564">
        <v>1</v>
      </c>
      <c r="AG564">
        <v>3</v>
      </c>
      <c r="AH564">
        <v>1</v>
      </c>
      <c r="AI564">
        <v>26</v>
      </c>
      <c r="AJ564">
        <v>3</v>
      </c>
      <c r="AK564">
        <v>16</v>
      </c>
      <c r="AL564">
        <v>4</v>
      </c>
      <c r="AM564">
        <v>42</v>
      </c>
      <c r="AN564">
        <v>2</v>
      </c>
      <c r="AO564">
        <v>23</v>
      </c>
      <c r="AP564">
        <v>3</v>
      </c>
      <c r="AQ564">
        <v>290</v>
      </c>
      <c r="AR564">
        <v>1.7683465959328029E-2</v>
      </c>
      <c r="AS564">
        <v>0</v>
      </c>
      <c r="AT564">
        <v>0.2387267904509284</v>
      </c>
      <c r="AU564">
        <v>2.6525198938992041E-3</v>
      </c>
      <c r="AV564">
        <v>2.298850574712644E-2</v>
      </c>
      <c r="AW564">
        <v>3.7135278514588858E-2</v>
      </c>
      <c r="AX564">
        <v>2.0335985853227229E-2</v>
      </c>
      <c r="AY564">
        <v>0.25641025641025639</v>
      </c>
      <c r="AZ564">
        <v>-1.6799292661361629E-2</v>
      </c>
      <c r="BA564">
        <v>0.5</v>
      </c>
      <c r="BB564">
        <v>0.7583333333333333</v>
      </c>
      <c r="BC564">
        <v>0.2</v>
      </c>
      <c r="BD564">
        <v>0.614500442086649</v>
      </c>
      <c r="BE564">
        <v>4</v>
      </c>
      <c r="BF564">
        <v>0.51820844385499554</v>
      </c>
      <c r="BG564">
        <v>0.52</v>
      </c>
      <c r="BH564" t="s">
        <v>71</v>
      </c>
      <c r="BI564">
        <v>0.52</v>
      </c>
      <c r="BJ564" t="s">
        <v>71</v>
      </c>
      <c r="BK564" s="2">
        <f t="shared" si="17"/>
        <v>0</v>
      </c>
      <c r="BL564" t="b">
        <f t="shared" si="18"/>
        <v>1</v>
      </c>
    </row>
    <row r="565" spans="1:64" x14ac:dyDescent="0.35">
      <c r="A565" t="s">
        <v>1612</v>
      </c>
      <c r="B565" t="s">
        <v>1609</v>
      </c>
      <c r="C565">
        <v>2020</v>
      </c>
      <c r="D565" t="s">
        <v>1610</v>
      </c>
      <c r="E565" t="s">
        <v>1611</v>
      </c>
      <c r="F565" t="s">
        <v>66</v>
      </c>
      <c r="G565" t="s">
        <v>101</v>
      </c>
      <c r="H565" t="s">
        <v>170</v>
      </c>
      <c r="I565" t="s">
        <v>784</v>
      </c>
      <c r="J565" t="s">
        <v>70</v>
      </c>
      <c r="L565">
        <v>3</v>
      </c>
      <c r="M565" t="b">
        <v>0</v>
      </c>
      <c r="N565">
        <v>1</v>
      </c>
      <c r="O565">
        <v>1</v>
      </c>
      <c r="P565">
        <v>4</v>
      </c>
      <c r="Q565">
        <v>4</v>
      </c>
      <c r="R565">
        <v>0</v>
      </c>
      <c r="S565">
        <v>4</v>
      </c>
      <c r="T565">
        <v>22</v>
      </c>
      <c r="U565">
        <v>288</v>
      </c>
      <c r="V565">
        <v>83</v>
      </c>
      <c r="W565">
        <v>18</v>
      </c>
      <c r="X565">
        <v>4.6111111111111107</v>
      </c>
      <c r="Y565">
        <v>1</v>
      </c>
      <c r="Z565">
        <v>77</v>
      </c>
      <c r="AA565">
        <v>0</v>
      </c>
      <c r="AB565">
        <v>0</v>
      </c>
      <c r="AC565">
        <v>3</v>
      </c>
      <c r="AD565">
        <v>3</v>
      </c>
      <c r="AE565">
        <v>21</v>
      </c>
      <c r="AF565">
        <v>2</v>
      </c>
      <c r="AG565">
        <v>2</v>
      </c>
      <c r="AH565">
        <v>1</v>
      </c>
      <c r="AI565">
        <v>5</v>
      </c>
      <c r="AJ565">
        <v>1</v>
      </c>
      <c r="AK565">
        <v>8</v>
      </c>
      <c r="AL565">
        <v>2</v>
      </c>
      <c r="AM565">
        <v>13</v>
      </c>
      <c r="AN565">
        <v>3</v>
      </c>
      <c r="AO565">
        <v>79</v>
      </c>
      <c r="AP565">
        <v>4</v>
      </c>
      <c r="AQ565">
        <v>98</v>
      </c>
      <c r="AR565">
        <v>0.2673611111111111</v>
      </c>
      <c r="AS565">
        <v>0</v>
      </c>
      <c r="AT565">
        <v>7.2916666666666671E-2</v>
      </c>
      <c r="AU565">
        <v>6.9444444444444441E-3</v>
      </c>
      <c r="AV565">
        <v>1.7361111111111108E-2</v>
      </c>
      <c r="AW565">
        <v>4.5138888888888888E-2</v>
      </c>
      <c r="AX565">
        <v>0.27430555555555558</v>
      </c>
      <c r="AY565">
        <v>0.34027777777777779</v>
      </c>
      <c r="AZ565">
        <v>0.22916666666666671</v>
      </c>
      <c r="BA565">
        <v>0.5</v>
      </c>
      <c r="BB565">
        <v>0.60185185185185175</v>
      </c>
      <c r="BC565">
        <v>0.26666666666666672</v>
      </c>
      <c r="BD565">
        <v>0.76822916666666663</v>
      </c>
      <c r="BE565">
        <v>4</v>
      </c>
      <c r="BF565">
        <v>0.5341869212962963</v>
      </c>
      <c r="BG565">
        <v>0.54</v>
      </c>
      <c r="BH565" t="s">
        <v>71</v>
      </c>
      <c r="BI565">
        <v>0.53</v>
      </c>
      <c r="BJ565" t="s">
        <v>71</v>
      </c>
      <c r="BK565" s="2">
        <f t="shared" si="17"/>
        <v>1.0000000000000009E-2</v>
      </c>
      <c r="BL565" t="b">
        <f t="shared" si="18"/>
        <v>1</v>
      </c>
    </row>
    <row r="566" spans="1:64" x14ac:dyDescent="0.35">
      <c r="A566" t="s">
        <v>1613</v>
      </c>
      <c r="B566" t="s">
        <v>1614</v>
      </c>
      <c r="C566">
        <v>2014</v>
      </c>
      <c r="D566" t="s">
        <v>1615</v>
      </c>
      <c r="E566" t="s">
        <v>1616</v>
      </c>
      <c r="F566" t="s">
        <v>66</v>
      </c>
      <c r="G566" t="s">
        <v>101</v>
      </c>
      <c r="H566" t="s">
        <v>162</v>
      </c>
      <c r="I566" t="s">
        <v>656</v>
      </c>
      <c r="J566" t="s">
        <v>70</v>
      </c>
      <c r="L566">
        <v>1</v>
      </c>
      <c r="M566" t="b">
        <v>0</v>
      </c>
      <c r="N566">
        <v>1</v>
      </c>
      <c r="O566">
        <v>3</v>
      </c>
      <c r="P566">
        <v>9</v>
      </c>
      <c r="Q566">
        <v>2</v>
      </c>
      <c r="R566">
        <v>7</v>
      </c>
      <c r="S566">
        <v>6</v>
      </c>
      <c r="T566">
        <v>26</v>
      </c>
      <c r="U566">
        <v>674</v>
      </c>
      <c r="V566">
        <v>137</v>
      </c>
      <c r="W566">
        <v>22</v>
      </c>
      <c r="X566">
        <v>6.2272727272727284</v>
      </c>
      <c r="Y566">
        <v>3</v>
      </c>
      <c r="Z566">
        <v>112</v>
      </c>
      <c r="AA566">
        <v>1</v>
      </c>
      <c r="AB566">
        <v>14</v>
      </c>
      <c r="AC566">
        <v>4</v>
      </c>
      <c r="AD566">
        <v>4</v>
      </c>
      <c r="AE566">
        <v>163</v>
      </c>
      <c r="AF566">
        <v>2</v>
      </c>
      <c r="AG566">
        <v>44</v>
      </c>
      <c r="AH566">
        <v>0</v>
      </c>
      <c r="AI566">
        <v>0</v>
      </c>
      <c r="AJ566">
        <v>1</v>
      </c>
      <c r="AK566">
        <v>6</v>
      </c>
      <c r="AL566">
        <v>1</v>
      </c>
      <c r="AM566">
        <v>6</v>
      </c>
      <c r="AN566">
        <v>6</v>
      </c>
      <c r="AO566">
        <v>170</v>
      </c>
      <c r="AP566">
        <v>8</v>
      </c>
      <c r="AQ566">
        <v>289</v>
      </c>
      <c r="AR566">
        <v>0.16617210682492581</v>
      </c>
      <c r="AS566">
        <v>2.0771513353115729E-2</v>
      </c>
      <c r="AT566">
        <v>0.24183976261127599</v>
      </c>
      <c r="AU566">
        <v>6.5281899109792291E-2</v>
      </c>
      <c r="AV566">
        <v>0</v>
      </c>
      <c r="AW566">
        <v>8.9020771513353119E-3</v>
      </c>
      <c r="AX566">
        <v>0.25222551928783382</v>
      </c>
      <c r="AY566">
        <v>0.42878338278931749</v>
      </c>
      <c r="AZ566">
        <v>0.24332344213649851</v>
      </c>
      <c r="BA566">
        <v>0.83333333333333337</v>
      </c>
      <c r="BB566">
        <v>0.87121212121212144</v>
      </c>
      <c r="BC566">
        <v>0.53333333333333333</v>
      </c>
      <c r="BD566">
        <v>0.77707715133531152</v>
      </c>
      <c r="BE566">
        <v>4</v>
      </c>
      <c r="BF566">
        <v>0.75373898480352497</v>
      </c>
      <c r="BG566">
        <v>0.76</v>
      </c>
      <c r="BH566" t="s">
        <v>86</v>
      </c>
      <c r="BI566">
        <v>0.75</v>
      </c>
      <c r="BJ566" t="s">
        <v>86</v>
      </c>
      <c r="BK566" s="2">
        <f t="shared" si="17"/>
        <v>1.0000000000000009E-2</v>
      </c>
      <c r="BL566" t="b">
        <f t="shared" si="18"/>
        <v>1</v>
      </c>
    </row>
    <row r="567" spans="1:64" x14ac:dyDescent="0.35">
      <c r="A567" t="s">
        <v>1617</v>
      </c>
      <c r="B567" t="s">
        <v>1614</v>
      </c>
      <c r="C567">
        <v>2015</v>
      </c>
      <c r="D567" t="s">
        <v>1615</v>
      </c>
      <c r="E567" t="s">
        <v>1616</v>
      </c>
      <c r="F567" t="s">
        <v>66</v>
      </c>
      <c r="G567" t="s">
        <v>101</v>
      </c>
      <c r="H567" t="s">
        <v>162</v>
      </c>
      <c r="I567" t="s">
        <v>656</v>
      </c>
      <c r="J567" t="s">
        <v>70</v>
      </c>
      <c r="L567">
        <v>1</v>
      </c>
      <c r="M567" t="b">
        <v>0</v>
      </c>
      <c r="N567">
        <v>1</v>
      </c>
      <c r="O567">
        <v>1</v>
      </c>
      <c r="P567">
        <v>4</v>
      </c>
      <c r="Q567">
        <v>2</v>
      </c>
      <c r="R567">
        <v>2</v>
      </c>
      <c r="S567">
        <v>4</v>
      </c>
      <c r="T567">
        <v>11</v>
      </c>
      <c r="U567">
        <v>227</v>
      </c>
      <c r="V567">
        <v>34</v>
      </c>
      <c r="W567">
        <v>9</v>
      </c>
      <c r="X567">
        <v>3.7777777777777781</v>
      </c>
      <c r="Y567">
        <v>1</v>
      </c>
      <c r="Z567">
        <v>19</v>
      </c>
      <c r="AA567">
        <v>0</v>
      </c>
      <c r="AB567">
        <v>0</v>
      </c>
      <c r="AC567">
        <v>2</v>
      </c>
      <c r="AD567">
        <v>2</v>
      </c>
      <c r="AE567">
        <v>43</v>
      </c>
      <c r="AF567">
        <v>2</v>
      </c>
      <c r="AG567">
        <v>74</v>
      </c>
      <c r="AH567">
        <v>0</v>
      </c>
      <c r="AI567">
        <v>0</v>
      </c>
      <c r="AJ567">
        <v>1</v>
      </c>
      <c r="AK567">
        <v>2</v>
      </c>
      <c r="AL567">
        <v>1</v>
      </c>
      <c r="AM567">
        <v>2</v>
      </c>
      <c r="AN567">
        <v>3</v>
      </c>
      <c r="AO567">
        <v>93</v>
      </c>
      <c r="AP567">
        <v>3</v>
      </c>
      <c r="AQ567">
        <v>62</v>
      </c>
      <c r="AR567">
        <v>8.3700440528634359E-2</v>
      </c>
      <c r="AS567">
        <v>0</v>
      </c>
      <c r="AT567">
        <v>0.1894273127753304</v>
      </c>
      <c r="AU567">
        <v>0.32599118942731281</v>
      </c>
      <c r="AV567">
        <v>0</v>
      </c>
      <c r="AW567">
        <v>8.8105726872246704E-3</v>
      </c>
      <c r="AX567">
        <v>0.40969162995594721</v>
      </c>
      <c r="AY567">
        <v>0.27312775330396483</v>
      </c>
      <c r="AZ567">
        <v>0.40088105726872247</v>
      </c>
      <c r="BA567">
        <v>0.5</v>
      </c>
      <c r="BB567">
        <v>0.46296296296296302</v>
      </c>
      <c r="BC567">
        <v>0.2</v>
      </c>
      <c r="BD567">
        <v>0.87555066079295152</v>
      </c>
      <c r="BE567">
        <v>4</v>
      </c>
      <c r="BF567">
        <v>0.50962840593897862</v>
      </c>
      <c r="BG567">
        <v>0.41</v>
      </c>
      <c r="BH567" t="s">
        <v>71</v>
      </c>
      <c r="BI567">
        <v>0.51</v>
      </c>
      <c r="BJ567" t="s">
        <v>71</v>
      </c>
      <c r="BK567" s="2">
        <f t="shared" si="17"/>
        <v>-0.10000000000000003</v>
      </c>
      <c r="BL567" t="b">
        <f t="shared" si="18"/>
        <v>1</v>
      </c>
    </row>
    <row r="568" spans="1:64" x14ac:dyDescent="0.35">
      <c r="A568" t="s">
        <v>1618</v>
      </c>
      <c r="B568" t="s">
        <v>1614</v>
      </c>
      <c r="C568">
        <v>2016</v>
      </c>
      <c r="D568" t="s">
        <v>1615</v>
      </c>
      <c r="E568" t="s">
        <v>1616</v>
      </c>
      <c r="F568" t="s">
        <v>66</v>
      </c>
      <c r="G568" t="s">
        <v>101</v>
      </c>
      <c r="H568" t="s">
        <v>162</v>
      </c>
      <c r="I568" t="s">
        <v>656</v>
      </c>
      <c r="J568" t="s">
        <v>70</v>
      </c>
      <c r="L568">
        <v>1</v>
      </c>
      <c r="M568" t="b">
        <v>0</v>
      </c>
      <c r="N568">
        <v>1</v>
      </c>
      <c r="O568">
        <v>2</v>
      </c>
      <c r="P568">
        <v>7</v>
      </c>
      <c r="Q568">
        <v>2</v>
      </c>
      <c r="R568">
        <v>5</v>
      </c>
      <c r="S568">
        <v>6</v>
      </c>
      <c r="T568">
        <v>23</v>
      </c>
      <c r="U568">
        <v>432</v>
      </c>
      <c r="V568">
        <v>80</v>
      </c>
      <c r="W568">
        <v>15</v>
      </c>
      <c r="X568">
        <v>5.333333333333333</v>
      </c>
      <c r="Y568">
        <v>3</v>
      </c>
      <c r="Z568">
        <v>69</v>
      </c>
      <c r="AA568">
        <v>0</v>
      </c>
      <c r="AB568">
        <v>0</v>
      </c>
      <c r="AC568">
        <v>4</v>
      </c>
      <c r="AD568">
        <v>4</v>
      </c>
      <c r="AE568">
        <v>67</v>
      </c>
      <c r="AF568">
        <v>1</v>
      </c>
      <c r="AG568">
        <v>14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4</v>
      </c>
      <c r="AO568">
        <v>83</v>
      </c>
      <c r="AP568">
        <v>7</v>
      </c>
      <c r="AQ568">
        <v>136</v>
      </c>
      <c r="AR568">
        <v>0.15972222222222221</v>
      </c>
      <c r="AS568">
        <v>0</v>
      </c>
      <c r="AT568">
        <v>0.15509259259259259</v>
      </c>
      <c r="AU568">
        <v>3.2407407407407413E-2</v>
      </c>
      <c r="AV568">
        <v>0</v>
      </c>
      <c r="AW568">
        <v>0</v>
      </c>
      <c r="AX568">
        <v>0.19212962962962959</v>
      </c>
      <c r="AY568">
        <v>0.31481481481481483</v>
      </c>
      <c r="AZ568">
        <v>0.19212962962962959</v>
      </c>
      <c r="BA568">
        <v>0.83333333333333337</v>
      </c>
      <c r="BB568">
        <v>0.72222222222222221</v>
      </c>
      <c r="BC568">
        <v>0.46666666666666667</v>
      </c>
      <c r="BD568">
        <v>0.74508101851851838</v>
      </c>
      <c r="BE568">
        <v>4</v>
      </c>
      <c r="BF568">
        <v>0.69182581018518519</v>
      </c>
      <c r="BG568">
        <v>0.68</v>
      </c>
      <c r="BH568" t="s">
        <v>86</v>
      </c>
      <c r="BI568">
        <v>0.69</v>
      </c>
      <c r="BJ568" t="s">
        <v>86</v>
      </c>
      <c r="BK568" s="2">
        <f t="shared" si="17"/>
        <v>-9.9999999999998979E-3</v>
      </c>
      <c r="BL568" t="b">
        <f t="shared" si="18"/>
        <v>1</v>
      </c>
    </row>
    <row r="569" spans="1:64" x14ac:dyDescent="0.35">
      <c r="A569" t="s">
        <v>1619</v>
      </c>
      <c r="B569" t="s">
        <v>1614</v>
      </c>
      <c r="C569">
        <v>2017</v>
      </c>
      <c r="D569" t="s">
        <v>1615</v>
      </c>
      <c r="E569" t="s">
        <v>1616</v>
      </c>
      <c r="F569" t="s">
        <v>66</v>
      </c>
      <c r="G569" t="s">
        <v>101</v>
      </c>
      <c r="H569" t="s">
        <v>162</v>
      </c>
      <c r="I569" t="s">
        <v>656</v>
      </c>
      <c r="J569" t="s">
        <v>70</v>
      </c>
      <c r="L569">
        <v>1</v>
      </c>
      <c r="M569" t="b">
        <v>0</v>
      </c>
      <c r="N569">
        <v>1</v>
      </c>
      <c r="O569">
        <v>1</v>
      </c>
      <c r="P569">
        <v>6</v>
      </c>
      <c r="Q569">
        <v>4</v>
      </c>
      <c r="R569">
        <v>2</v>
      </c>
      <c r="S569">
        <v>4</v>
      </c>
      <c r="T569">
        <v>24</v>
      </c>
      <c r="U569">
        <v>379</v>
      </c>
      <c r="V569">
        <v>87</v>
      </c>
      <c r="W569">
        <v>18</v>
      </c>
      <c r="X569">
        <v>4.833333333333333</v>
      </c>
      <c r="Y569">
        <v>4</v>
      </c>
      <c r="Z569">
        <v>47</v>
      </c>
      <c r="AA569">
        <v>0</v>
      </c>
      <c r="AB569">
        <v>0</v>
      </c>
      <c r="AC569">
        <v>2</v>
      </c>
      <c r="AD569">
        <v>2</v>
      </c>
      <c r="AE569">
        <v>40</v>
      </c>
      <c r="AF569">
        <v>1</v>
      </c>
      <c r="AG569">
        <v>18</v>
      </c>
      <c r="AH569">
        <v>1</v>
      </c>
      <c r="AI569">
        <v>10</v>
      </c>
      <c r="AJ569">
        <v>1</v>
      </c>
      <c r="AK569">
        <v>6</v>
      </c>
      <c r="AL569">
        <v>2</v>
      </c>
      <c r="AM569">
        <v>16</v>
      </c>
      <c r="AN569">
        <v>5</v>
      </c>
      <c r="AO569">
        <v>65</v>
      </c>
      <c r="AP569">
        <v>6</v>
      </c>
      <c r="AQ569">
        <v>87</v>
      </c>
      <c r="AR569">
        <v>0.1240105540897098</v>
      </c>
      <c r="AS569">
        <v>0</v>
      </c>
      <c r="AT569">
        <v>0.10554089709762531</v>
      </c>
      <c r="AU569">
        <v>4.7493403693931388E-2</v>
      </c>
      <c r="AV569">
        <v>2.638522427440633E-2</v>
      </c>
      <c r="AW569">
        <v>4.221635883905013E-2</v>
      </c>
      <c r="AX569">
        <v>0.17150395778364119</v>
      </c>
      <c r="AY569">
        <v>0.22955145118733511</v>
      </c>
      <c r="AZ569">
        <v>0.12928759894459099</v>
      </c>
      <c r="BA569">
        <v>0.5</v>
      </c>
      <c r="BB569">
        <v>0.63888888888888884</v>
      </c>
      <c r="BC569">
        <v>0.4</v>
      </c>
      <c r="BD569">
        <v>0.7058047493403693</v>
      </c>
      <c r="BE569">
        <v>4</v>
      </c>
      <c r="BF569">
        <v>0.56117340955731454</v>
      </c>
      <c r="BG569">
        <v>0.56000000000000005</v>
      </c>
      <c r="BH569" t="s">
        <v>71</v>
      </c>
      <c r="BI569">
        <v>0.56000000000000005</v>
      </c>
      <c r="BJ569" t="s">
        <v>71</v>
      </c>
      <c r="BK569" s="2">
        <f t="shared" si="17"/>
        <v>0</v>
      </c>
      <c r="BL569" t="b">
        <f t="shared" si="18"/>
        <v>1</v>
      </c>
    </row>
    <row r="570" spans="1:64" x14ac:dyDescent="0.35">
      <c r="A570" t="s">
        <v>1620</v>
      </c>
      <c r="B570" t="s">
        <v>1614</v>
      </c>
      <c r="C570">
        <v>2020</v>
      </c>
      <c r="D570" t="s">
        <v>1615</v>
      </c>
      <c r="E570" t="s">
        <v>1616</v>
      </c>
      <c r="F570" t="s">
        <v>66</v>
      </c>
      <c r="G570" t="s">
        <v>101</v>
      </c>
      <c r="H570" t="s">
        <v>162</v>
      </c>
      <c r="I570" t="s">
        <v>656</v>
      </c>
      <c r="J570" t="s">
        <v>70</v>
      </c>
      <c r="L570">
        <v>1</v>
      </c>
      <c r="M570" t="b">
        <v>0</v>
      </c>
      <c r="N570">
        <v>1</v>
      </c>
      <c r="O570">
        <v>2</v>
      </c>
      <c r="P570">
        <v>6</v>
      </c>
      <c r="Q570">
        <v>4</v>
      </c>
      <c r="R570">
        <v>2</v>
      </c>
      <c r="S570">
        <v>5</v>
      </c>
      <c r="T570">
        <v>23</v>
      </c>
      <c r="U570">
        <v>211</v>
      </c>
      <c r="V570">
        <v>94</v>
      </c>
      <c r="W570">
        <v>17</v>
      </c>
      <c r="X570">
        <v>5.5294117647058822</v>
      </c>
      <c r="Y570">
        <v>3</v>
      </c>
      <c r="Z570">
        <v>32</v>
      </c>
      <c r="AA570">
        <v>0</v>
      </c>
      <c r="AB570">
        <v>0</v>
      </c>
      <c r="AC570">
        <v>4</v>
      </c>
      <c r="AD570">
        <v>4</v>
      </c>
      <c r="AE570">
        <v>33</v>
      </c>
      <c r="AF570">
        <v>0</v>
      </c>
      <c r="AG570">
        <v>0</v>
      </c>
      <c r="AH570">
        <v>1</v>
      </c>
      <c r="AI570">
        <v>8</v>
      </c>
      <c r="AJ570">
        <v>2</v>
      </c>
      <c r="AK570">
        <v>5</v>
      </c>
      <c r="AL570">
        <v>3</v>
      </c>
      <c r="AM570">
        <v>13</v>
      </c>
      <c r="AN570">
        <v>3</v>
      </c>
      <c r="AO570">
        <v>32</v>
      </c>
      <c r="AP570">
        <v>7</v>
      </c>
      <c r="AQ570">
        <v>65</v>
      </c>
      <c r="AR570">
        <v>0.15165876777251189</v>
      </c>
      <c r="AS570">
        <v>0</v>
      </c>
      <c r="AT570">
        <v>0.15639810426540279</v>
      </c>
      <c r="AU570">
        <v>0</v>
      </c>
      <c r="AV570">
        <v>3.7914691943127958E-2</v>
      </c>
      <c r="AW570">
        <v>6.1611374407582943E-2</v>
      </c>
      <c r="AX570">
        <v>0.15165876777251189</v>
      </c>
      <c r="AY570">
        <v>0.30805687203791471</v>
      </c>
      <c r="AZ570">
        <v>9.0047393364928924E-2</v>
      </c>
      <c r="BA570">
        <v>0.66666666666666663</v>
      </c>
      <c r="BB570">
        <v>0.75490196078431371</v>
      </c>
      <c r="BC570">
        <v>0.46666666666666667</v>
      </c>
      <c r="BD570">
        <v>0.68127962085308047</v>
      </c>
      <c r="BE570">
        <v>4</v>
      </c>
      <c r="BF570">
        <v>0.64237872874268187</v>
      </c>
      <c r="BG570">
        <v>0.64</v>
      </c>
      <c r="BH570" t="s">
        <v>86</v>
      </c>
      <c r="BI570">
        <v>0.64</v>
      </c>
      <c r="BJ570" t="s">
        <v>86</v>
      </c>
      <c r="BK570" s="2">
        <f t="shared" si="17"/>
        <v>0</v>
      </c>
      <c r="BL570" t="b">
        <f t="shared" si="18"/>
        <v>1</v>
      </c>
    </row>
    <row r="571" spans="1:64" x14ac:dyDescent="0.35">
      <c r="A571" t="s">
        <v>1621</v>
      </c>
      <c r="B571" t="s">
        <v>1622</v>
      </c>
      <c r="C571">
        <v>2015</v>
      </c>
      <c r="D571" t="s">
        <v>1623</v>
      </c>
      <c r="E571" t="s">
        <v>1624</v>
      </c>
      <c r="F571" t="s">
        <v>66</v>
      </c>
      <c r="G571" t="s">
        <v>101</v>
      </c>
      <c r="H571" t="s">
        <v>184</v>
      </c>
      <c r="I571" t="s">
        <v>311</v>
      </c>
      <c r="J571" t="s">
        <v>70</v>
      </c>
      <c r="L571">
        <v>2</v>
      </c>
      <c r="M571" t="b">
        <v>0</v>
      </c>
      <c r="N571">
        <v>1</v>
      </c>
      <c r="O571">
        <v>3</v>
      </c>
      <c r="P571">
        <v>16</v>
      </c>
      <c r="Q571">
        <v>4</v>
      </c>
      <c r="R571">
        <v>12</v>
      </c>
      <c r="S571">
        <v>7</v>
      </c>
      <c r="T571">
        <v>49</v>
      </c>
      <c r="U571">
        <v>2331</v>
      </c>
      <c r="V571">
        <v>221</v>
      </c>
      <c r="W571">
        <v>34</v>
      </c>
      <c r="X571">
        <v>6.5</v>
      </c>
      <c r="Y571">
        <v>4</v>
      </c>
      <c r="Z571">
        <v>160</v>
      </c>
      <c r="AA571">
        <v>0</v>
      </c>
      <c r="AB571">
        <v>0</v>
      </c>
      <c r="AC571">
        <v>6</v>
      </c>
      <c r="AD571">
        <v>6</v>
      </c>
      <c r="AE571">
        <v>225</v>
      </c>
      <c r="AF571">
        <v>2</v>
      </c>
      <c r="AG571">
        <v>105</v>
      </c>
      <c r="AH571">
        <v>0</v>
      </c>
      <c r="AI571">
        <v>0</v>
      </c>
      <c r="AJ571">
        <v>1</v>
      </c>
      <c r="AK571">
        <v>6</v>
      </c>
      <c r="AL571">
        <v>1</v>
      </c>
      <c r="AM571">
        <v>6</v>
      </c>
      <c r="AN571">
        <v>6</v>
      </c>
      <c r="AO571">
        <v>265</v>
      </c>
      <c r="AP571">
        <v>10</v>
      </c>
      <c r="AQ571">
        <v>385</v>
      </c>
      <c r="AR571">
        <v>6.8640068640068636E-2</v>
      </c>
      <c r="AS571">
        <v>0</v>
      </c>
      <c r="AT571">
        <v>9.6525096525096526E-2</v>
      </c>
      <c r="AU571">
        <v>4.5045045045045043E-2</v>
      </c>
      <c r="AV571">
        <v>0</v>
      </c>
      <c r="AW571">
        <v>2.5740025740025739E-3</v>
      </c>
      <c r="AX571">
        <v>0.11368511368511371</v>
      </c>
      <c r="AY571">
        <v>0.16516516516516519</v>
      </c>
      <c r="AZ571">
        <v>0.1111111111111111</v>
      </c>
      <c r="BA571">
        <v>1</v>
      </c>
      <c r="BB571">
        <v>0.91666666666666663</v>
      </c>
      <c r="BC571">
        <v>0.66666666666666663</v>
      </c>
      <c r="BD571">
        <v>0.69444444444444442</v>
      </c>
      <c r="BE571">
        <v>4</v>
      </c>
      <c r="BF571">
        <v>0.81944444444444442</v>
      </c>
      <c r="BG571">
        <v>0.82</v>
      </c>
      <c r="BH571" t="s">
        <v>164</v>
      </c>
      <c r="BI571">
        <v>0.82</v>
      </c>
      <c r="BJ571" t="s">
        <v>164</v>
      </c>
      <c r="BK571" s="2">
        <f t="shared" si="17"/>
        <v>0</v>
      </c>
      <c r="BL571" t="b">
        <f t="shared" si="18"/>
        <v>1</v>
      </c>
    </row>
    <row r="572" spans="1:64" x14ac:dyDescent="0.35">
      <c r="A572" t="s">
        <v>1625</v>
      </c>
      <c r="B572" t="s">
        <v>1622</v>
      </c>
      <c r="C572">
        <v>2019</v>
      </c>
      <c r="D572" t="s">
        <v>1623</v>
      </c>
      <c r="E572" t="s">
        <v>1624</v>
      </c>
      <c r="F572" t="s">
        <v>66</v>
      </c>
      <c r="G572" t="s">
        <v>101</v>
      </c>
      <c r="H572" t="s">
        <v>184</v>
      </c>
      <c r="I572" t="s">
        <v>311</v>
      </c>
      <c r="J572" t="s">
        <v>70</v>
      </c>
      <c r="L572">
        <v>2</v>
      </c>
      <c r="M572" t="b">
        <v>0</v>
      </c>
      <c r="N572">
        <v>1</v>
      </c>
      <c r="O572">
        <v>1</v>
      </c>
      <c r="P572">
        <v>9</v>
      </c>
      <c r="Q572">
        <v>5</v>
      </c>
      <c r="R572">
        <v>4</v>
      </c>
      <c r="S572">
        <v>5</v>
      </c>
      <c r="T572">
        <v>33</v>
      </c>
      <c r="U572">
        <v>1722</v>
      </c>
      <c r="V572">
        <v>152</v>
      </c>
      <c r="W572">
        <v>27</v>
      </c>
      <c r="X572">
        <v>5.6296296296296298</v>
      </c>
      <c r="Y572">
        <v>3</v>
      </c>
      <c r="Z572">
        <v>3</v>
      </c>
      <c r="AA572">
        <v>0</v>
      </c>
      <c r="AB572">
        <v>0</v>
      </c>
      <c r="AC572">
        <v>5</v>
      </c>
      <c r="AD572">
        <v>5</v>
      </c>
      <c r="AE572">
        <v>224</v>
      </c>
      <c r="AF572">
        <v>1</v>
      </c>
      <c r="AG572">
        <v>4</v>
      </c>
      <c r="AH572">
        <v>0</v>
      </c>
      <c r="AI572">
        <v>0</v>
      </c>
      <c r="AJ572">
        <v>2</v>
      </c>
      <c r="AK572">
        <v>31</v>
      </c>
      <c r="AL572">
        <v>2</v>
      </c>
      <c r="AM572">
        <v>31</v>
      </c>
      <c r="AN572">
        <v>4</v>
      </c>
      <c r="AO572">
        <v>7</v>
      </c>
      <c r="AP572">
        <v>8</v>
      </c>
      <c r="AQ572">
        <v>227</v>
      </c>
      <c r="AR572">
        <v>1.742160278745645E-3</v>
      </c>
      <c r="AS572">
        <v>0</v>
      </c>
      <c r="AT572">
        <v>0.13008130081300809</v>
      </c>
      <c r="AU572">
        <v>2.322880371660859E-3</v>
      </c>
      <c r="AV572">
        <v>0</v>
      </c>
      <c r="AW572">
        <v>1.8002322880371659E-2</v>
      </c>
      <c r="AX572">
        <v>4.0650406504065036E-3</v>
      </c>
      <c r="AY572">
        <v>0.1318234610917538</v>
      </c>
      <c r="AZ572">
        <v>-1.393728222996516E-2</v>
      </c>
      <c r="BA572">
        <v>0.66666666666666663</v>
      </c>
      <c r="BB572">
        <v>0.77160493827160492</v>
      </c>
      <c r="BC572">
        <v>0.53333333333333333</v>
      </c>
      <c r="BD572">
        <v>0.61628919860627174</v>
      </c>
      <c r="BE572">
        <v>4</v>
      </c>
      <c r="BF572">
        <v>0.64697353421946913</v>
      </c>
      <c r="BG572">
        <v>0.65</v>
      </c>
      <c r="BH572" t="s">
        <v>86</v>
      </c>
      <c r="BI572">
        <v>0.65</v>
      </c>
      <c r="BJ572" t="s">
        <v>86</v>
      </c>
      <c r="BK572" s="2">
        <f t="shared" si="17"/>
        <v>0</v>
      </c>
      <c r="BL572" t="b">
        <f t="shared" si="18"/>
        <v>1</v>
      </c>
    </row>
    <row r="573" spans="1:64" x14ac:dyDescent="0.35">
      <c r="A573" t="s">
        <v>1626</v>
      </c>
      <c r="B573" t="s">
        <v>1622</v>
      </c>
      <c r="C573">
        <v>2022</v>
      </c>
      <c r="D573" t="s">
        <v>1623</v>
      </c>
      <c r="E573" t="s">
        <v>1624</v>
      </c>
      <c r="F573" t="s">
        <v>66</v>
      </c>
      <c r="G573" t="s">
        <v>101</v>
      </c>
      <c r="H573" t="s">
        <v>184</v>
      </c>
      <c r="I573" t="s">
        <v>311</v>
      </c>
      <c r="J573" t="s">
        <v>70</v>
      </c>
      <c r="L573">
        <v>2</v>
      </c>
      <c r="M573" t="b">
        <v>0</v>
      </c>
      <c r="N573">
        <v>3</v>
      </c>
      <c r="O573">
        <v>2</v>
      </c>
      <c r="P573">
        <v>4</v>
      </c>
      <c r="Q573">
        <v>1</v>
      </c>
      <c r="R573">
        <v>3</v>
      </c>
      <c r="S573">
        <v>4</v>
      </c>
      <c r="T573">
        <v>21</v>
      </c>
      <c r="U573">
        <v>210</v>
      </c>
      <c r="V573">
        <v>90</v>
      </c>
      <c r="W573">
        <v>17</v>
      </c>
      <c r="X573">
        <v>5.2941176470588234</v>
      </c>
      <c r="Y573">
        <v>4</v>
      </c>
      <c r="Z573">
        <v>21</v>
      </c>
      <c r="AA573">
        <v>0</v>
      </c>
      <c r="AB573">
        <v>0</v>
      </c>
      <c r="AC573">
        <v>3</v>
      </c>
      <c r="AD573">
        <v>3</v>
      </c>
      <c r="AE573">
        <v>98</v>
      </c>
      <c r="AF573">
        <v>1</v>
      </c>
      <c r="AG573">
        <v>1</v>
      </c>
      <c r="AH573">
        <v>1</v>
      </c>
      <c r="AI573">
        <v>8</v>
      </c>
      <c r="AJ573">
        <v>1</v>
      </c>
      <c r="AK573">
        <v>1</v>
      </c>
      <c r="AL573">
        <v>2</v>
      </c>
      <c r="AM573">
        <v>9</v>
      </c>
      <c r="AN573">
        <v>5</v>
      </c>
      <c r="AO573">
        <v>22</v>
      </c>
      <c r="AP573">
        <v>7</v>
      </c>
      <c r="AQ573">
        <v>119</v>
      </c>
      <c r="AR573">
        <v>0.1</v>
      </c>
      <c r="AS573">
        <v>0</v>
      </c>
      <c r="AT573">
        <v>0.46666666666666667</v>
      </c>
      <c r="AU573">
        <v>4.7619047619047623E-3</v>
      </c>
      <c r="AV573">
        <v>3.8095238095238099E-2</v>
      </c>
      <c r="AW573">
        <v>4.2857142857142858E-2</v>
      </c>
      <c r="AX573">
        <v>0.10476190476190481</v>
      </c>
      <c r="AY573">
        <v>0.56666666666666665</v>
      </c>
      <c r="AZ573">
        <v>6.1904761904761907E-2</v>
      </c>
      <c r="BA573">
        <v>0.5</v>
      </c>
      <c r="BB573">
        <v>0.71568627450980393</v>
      </c>
      <c r="BC573">
        <v>0.46666666666666667</v>
      </c>
      <c r="BD573">
        <v>0.66369047619047616</v>
      </c>
      <c r="BE573">
        <v>4</v>
      </c>
      <c r="BF573">
        <v>0.58651085434173666</v>
      </c>
      <c r="BG573">
        <v>0.59</v>
      </c>
      <c r="BH573" t="s">
        <v>71</v>
      </c>
      <c r="BI573">
        <v>0.59</v>
      </c>
      <c r="BJ573" t="s">
        <v>71</v>
      </c>
      <c r="BK573" s="2">
        <f t="shared" si="17"/>
        <v>0</v>
      </c>
      <c r="BL573" t="b">
        <f t="shared" si="18"/>
        <v>1</v>
      </c>
    </row>
    <row r="574" spans="1:64" x14ac:dyDescent="0.35">
      <c r="A574" t="s">
        <v>1627</v>
      </c>
      <c r="B574" t="s">
        <v>1628</v>
      </c>
      <c r="C574">
        <v>2014</v>
      </c>
      <c r="D574" t="s">
        <v>1629</v>
      </c>
      <c r="E574" t="s">
        <v>1630</v>
      </c>
      <c r="F574" t="s">
        <v>66</v>
      </c>
      <c r="G574" t="s">
        <v>101</v>
      </c>
      <c r="H574" t="s">
        <v>170</v>
      </c>
      <c r="I574" t="s">
        <v>1631</v>
      </c>
      <c r="J574" t="s">
        <v>70</v>
      </c>
      <c r="L574">
        <v>3</v>
      </c>
      <c r="M574" t="b">
        <v>0</v>
      </c>
      <c r="N574">
        <v>1</v>
      </c>
      <c r="O574">
        <v>1</v>
      </c>
      <c r="P574">
        <v>12</v>
      </c>
      <c r="Q574">
        <v>3</v>
      </c>
      <c r="R574">
        <v>9</v>
      </c>
      <c r="S574">
        <v>5</v>
      </c>
      <c r="T574">
        <v>33</v>
      </c>
      <c r="U574">
        <v>488</v>
      </c>
      <c r="V574">
        <v>135</v>
      </c>
      <c r="W574">
        <v>24</v>
      </c>
      <c r="X574">
        <v>5.625</v>
      </c>
      <c r="Y574">
        <v>7</v>
      </c>
      <c r="Z574">
        <v>125</v>
      </c>
      <c r="AA574">
        <v>1</v>
      </c>
      <c r="AB574">
        <v>22</v>
      </c>
      <c r="AC574">
        <v>1</v>
      </c>
      <c r="AD574">
        <v>1</v>
      </c>
      <c r="AE574">
        <v>26</v>
      </c>
      <c r="AF574">
        <v>3</v>
      </c>
      <c r="AG574">
        <v>14</v>
      </c>
      <c r="AH574">
        <v>2</v>
      </c>
      <c r="AI574">
        <v>27</v>
      </c>
      <c r="AJ574">
        <v>1</v>
      </c>
      <c r="AK574">
        <v>6</v>
      </c>
      <c r="AL574">
        <v>3</v>
      </c>
      <c r="AM574">
        <v>33</v>
      </c>
      <c r="AN574">
        <v>11</v>
      </c>
      <c r="AO574">
        <v>161</v>
      </c>
      <c r="AP574">
        <v>9</v>
      </c>
      <c r="AQ574">
        <v>173</v>
      </c>
      <c r="AR574">
        <v>0.25614754098360648</v>
      </c>
      <c r="AS574">
        <v>4.5081967213114763E-2</v>
      </c>
      <c r="AT574">
        <v>5.3278688524590161E-2</v>
      </c>
      <c r="AU574">
        <v>2.8688524590163939E-2</v>
      </c>
      <c r="AV574">
        <v>5.5327868852459022E-2</v>
      </c>
      <c r="AW574">
        <v>6.7622950819672137E-2</v>
      </c>
      <c r="AX574">
        <v>0.32991803278688531</v>
      </c>
      <c r="AY574">
        <v>0.35450819672131151</v>
      </c>
      <c r="AZ574">
        <v>0.26229508196721307</v>
      </c>
      <c r="BA574">
        <v>0.66666666666666663</v>
      </c>
      <c r="BB574">
        <v>0.77083333333333337</v>
      </c>
      <c r="BC574">
        <v>0.6</v>
      </c>
      <c r="BD574">
        <v>0.78893442622950805</v>
      </c>
      <c r="BE574">
        <v>4</v>
      </c>
      <c r="BF574">
        <v>0.70660860655737701</v>
      </c>
      <c r="BG574">
        <v>0.73</v>
      </c>
      <c r="BH574" t="s">
        <v>86</v>
      </c>
      <c r="BI574">
        <v>0.71</v>
      </c>
      <c r="BJ574" t="s">
        <v>86</v>
      </c>
      <c r="BK574" s="2">
        <f t="shared" si="17"/>
        <v>2.0000000000000018E-2</v>
      </c>
      <c r="BL574" t="b">
        <f t="shared" si="18"/>
        <v>1</v>
      </c>
    </row>
    <row r="575" spans="1:64" x14ac:dyDescent="0.35">
      <c r="A575" t="s">
        <v>1632</v>
      </c>
      <c r="B575" t="s">
        <v>1628</v>
      </c>
      <c r="C575">
        <v>2018</v>
      </c>
      <c r="D575" t="s">
        <v>1629</v>
      </c>
      <c r="E575" t="s">
        <v>1630</v>
      </c>
      <c r="F575" t="s">
        <v>66</v>
      </c>
      <c r="G575" t="s">
        <v>101</v>
      </c>
      <c r="H575" t="s">
        <v>170</v>
      </c>
      <c r="I575" t="s">
        <v>1631</v>
      </c>
      <c r="J575" t="s">
        <v>70</v>
      </c>
      <c r="L575">
        <v>3</v>
      </c>
      <c r="M575" t="b">
        <v>0</v>
      </c>
      <c r="N575">
        <v>1</v>
      </c>
      <c r="O575">
        <v>1</v>
      </c>
      <c r="P575">
        <v>2</v>
      </c>
      <c r="Q575">
        <v>0</v>
      </c>
      <c r="R575">
        <v>2</v>
      </c>
      <c r="S575">
        <v>4</v>
      </c>
      <c r="T575">
        <v>9</v>
      </c>
      <c r="U575">
        <v>44</v>
      </c>
      <c r="V575">
        <v>44</v>
      </c>
      <c r="W575">
        <v>7</v>
      </c>
      <c r="X575">
        <v>6.2857142857142856</v>
      </c>
      <c r="Y575">
        <v>2</v>
      </c>
      <c r="Z575">
        <v>7</v>
      </c>
      <c r="AA575">
        <v>0</v>
      </c>
      <c r="AB575">
        <v>0</v>
      </c>
      <c r="AC575">
        <v>1</v>
      </c>
      <c r="AD575">
        <v>1</v>
      </c>
      <c r="AE575">
        <v>13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3</v>
      </c>
      <c r="AO575">
        <v>8</v>
      </c>
      <c r="AP575">
        <v>3</v>
      </c>
      <c r="AQ575">
        <v>20</v>
      </c>
      <c r="AR575">
        <v>0.15909090909090909</v>
      </c>
      <c r="AS575">
        <v>0</v>
      </c>
      <c r="AT575">
        <v>0.29545454545454553</v>
      </c>
      <c r="AU575">
        <v>2.2727272727272731E-2</v>
      </c>
      <c r="AV575">
        <v>0</v>
      </c>
      <c r="AW575">
        <v>0</v>
      </c>
      <c r="AX575">
        <v>0.1818181818181818</v>
      </c>
      <c r="AY575">
        <v>0.45454545454545447</v>
      </c>
      <c r="AZ575">
        <v>0.1818181818181818</v>
      </c>
      <c r="BA575">
        <v>0.5</v>
      </c>
      <c r="BB575">
        <v>0.88095238095238093</v>
      </c>
      <c r="BC575">
        <v>0.2</v>
      </c>
      <c r="BD575">
        <v>0.73863636363636365</v>
      </c>
      <c r="BE575">
        <v>4</v>
      </c>
      <c r="BF575">
        <v>0.57989718614718611</v>
      </c>
      <c r="BG575">
        <v>0.62</v>
      </c>
      <c r="BH575" t="s">
        <v>86</v>
      </c>
      <c r="BI575">
        <v>0.57999999999999996</v>
      </c>
      <c r="BJ575" t="s">
        <v>71</v>
      </c>
      <c r="BK575" s="2">
        <f t="shared" si="17"/>
        <v>4.0000000000000036E-2</v>
      </c>
      <c r="BL575" t="b">
        <f t="shared" si="18"/>
        <v>0</v>
      </c>
    </row>
    <row r="576" spans="1:64" x14ac:dyDescent="0.35">
      <c r="A576" t="s">
        <v>1633</v>
      </c>
      <c r="B576" t="s">
        <v>1628</v>
      </c>
      <c r="C576">
        <v>2021</v>
      </c>
      <c r="D576" t="s">
        <v>1629</v>
      </c>
      <c r="E576" t="s">
        <v>1630</v>
      </c>
      <c r="F576" t="s">
        <v>66</v>
      </c>
      <c r="G576" t="s">
        <v>101</v>
      </c>
      <c r="H576" t="s">
        <v>170</v>
      </c>
      <c r="I576" t="s">
        <v>1631</v>
      </c>
      <c r="J576" t="s">
        <v>70</v>
      </c>
      <c r="L576">
        <v>3</v>
      </c>
      <c r="M576" t="b">
        <v>0</v>
      </c>
      <c r="N576">
        <v>1</v>
      </c>
      <c r="O576">
        <v>1</v>
      </c>
      <c r="P576">
        <v>7</v>
      </c>
      <c r="Q576">
        <v>0</v>
      </c>
      <c r="R576">
        <v>7</v>
      </c>
      <c r="S576">
        <v>5</v>
      </c>
      <c r="T576">
        <v>20</v>
      </c>
      <c r="U576">
        <v>111</v>
      </c>
      <c r="V576">
        <v>88</v>
      </c>
      <c r="W576">
        <v>16</v>
      </c>
      <c r="X576">
        <v>5.5</v>
      </c>
      <c r="Y576">
        <v>3</v>
      </c>
      <c r="Z576">
        <v>22</v>
      </c>
      <c r="AA576">
        <v>0</v>
      </c>
      <c r="AB576">
        <v>0</v>
      </c>
      <c r="AC576">
        <v>2</v>
      </c>
      <c r="AD576">
        <v>2</v>
      </c>
      <c r="AE576">
        <v>9</v>
      </c>
      <c r="AF576">
        <v>1</v>
      </c>
      <c r="AG576">
        <v>1</v>
      </c>
      <c r="AH576">
        <v>1</v>
      </c>
      <c r="AI576">
        <v>4</v>
      </c>
      <c r="AJ576">
        <v>0</v>
      </c>
      <c r="AK576">
        <v>0</v>
      </c>
      <c r="AL576">
        <v>1</v>
      </c>
      <c r="AM576">
        <v>4</v>
      </c>
      <c r="AN576">
        <v>4</v>
      </c>
      <c r="AO576">
        <v>23</v>
      </c>
      <c r="AP576">
        <v>5</v>
      </c>
      <c r="AQ576">
        <v>31</v>
      </c>
      <c r="AR576">
        <v>0.1981981981981982</v>
      </c>
      <c r="AS576">
        <v>0</v>
      </c>
      <c r="AT576">
        <v>8.1081081081081086E-2</v>
      </c>
      <c r="AU576">
        <v>9.0090090090090089E-3</v>
      </c>
      <c r="AV576">
        <v>3.6036036036036043E-2</v>
      </c>
      <c r="AW576">
        <v>3.6036036036036043E-2</v>
      </c>
      <c r="AX576">
        <v>0.2072072072072072</v>
      </c>
      <c r="AY576">
        <v>0.27927927927927931</v>
      </c>
      <c r="AZ576">
        <v>0.1711711711711712</v>
      </c>
      <c r="BA576">
        <v>0.66666666666666663</v>
      </c>
      <c r="BB576">
        <v>0.75</v>
      </c>
      <c r="BC576">
        <v>0.33333333333333331</v>
      </c>
      <c r="BD576">
        <v>0.73198198198198194</v>
      </c>
      <c r="BE576">
        <v>4</v>
      </c>
      <c r="BF576">
        <v>0.62049549549549543</v>
      </c>
      <c r="BG576">
        <v>0.63</v>
      </c>
      <c r="BH576" t="s">
        <v>86</v>
      </c>
      <c r="BI576">
        <v>0.62</v>
      </c>
      <c r="BJ576" t="s">
        <v>86</v>
      </c>
      <c r="BK576" s="2">
        <f t="shared" si="17"/>
        <v>1.0000000000000009E-2</v>
      </c>
      <c r="BL576" t="b">
        <f t="shared" si="18"/>
        <v>1</v>
      </c>
    </row>
    <row r="577" spans="1:64" x14ac:dyDescent="0.35">
      <c r="A577" t="s">
        <v>1634</v>
      </c>
      <c r="B577" t="s">
        <v>1635</v>
      </c>
      <c r="C577">
        <v>2014</v>
      </c>
      <c r="D577" t="s">
        <v>1636</v>
      </c>
      <c r="E577" t="s">
        <v>1637</v>
      </c>
      <c r="F577" t="s">
        <v>66</v>
      </c>
      <c r="G577" t="s">
        <v>101</v>
      </c>
      <c r="H577" t="s">
        <v>170</v>
      </c>
      <c r="I577" t="s">
        <v>777</v>
      </c>
      <c r="J577" t="s">
        <v>70</v>
      </c>
      <c r="L577">
        <v>1</v>
      </c>
      <c r="M577" t="b">
        <v>0</v>
      </c>
      <c r="N577">
        <v>1</v>
      </c>
      <c r="O577">
        <v>1</v>
      </c>
      <c r="P577">
        <v>3</v>
      </c>
      <c r="Q577">
        <v>2</v>
      </c>
      <c r="R577">
        <v>1</v>
      </c>
      <c r="S577">
        <v>4</v>
      </c>
      <c r="T577">
        <v>17</v>
      </c>
      <c r="U577">
        <v>334</v>
      </c>
      <c r="V577">
        <v>66</v>
      </c>
      <c r="W577">
        <v>15</v>
      </c>
      <c r="X577">
        <v>4.4000000000000004</v>
      </c>
      <c r="Y577">
        <v>3</v>
      </c>
      <c r="Z577">
        <v>144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</v>
      </c>
      <c r="AG577">
        <v>24</v>
      </c>
      <c r="AH577">
        <v>0</v>
      </c>
      <c r="AI577">
        <v>0</v>
      </c>
      <c r="AJ577">
        <v>1</v>
      </c>
      <c r="AK577">
        <v>8</v>
      </c>
      <c r="AL577">
        <v>1</v>
      </c>
      <c r="AM577">
        <v>8</v>
      </c>
      <c r="AN577">
        <v>5</v>
      </c>
      <c r="AO577">
        <v>168</v>
      </c>
      <c r="AP577">
        <v>3</v>
      </c>
      <c r="AQ577">
        <v>144</v>
      </c>
      <c r="AR577">
        <v>0.43113772455089822</v>
      </c>
      <c r="AS577">
        <v>0</v>
      </c>
      <c r="AT577">
        <v>0</v>
      </c>
      <c r="AU577">
        <v>7.1856287425149698E-2</v>
      </c>
      <c r="AV577">
        <v>0</v>
      </c>
      <c r="AW577">
        <v>2.3952095808383232E-2</v>
      </c>
      <c r="AX577">
        <v>0.50299401197604787</v>
      </c>
      <c r="AY577">
        <v>0.43113772455089822</v>
      </c>
      <c r="AZ577">
        <v>0.47904191616766462</v>
      </c>
      <c r="BA577">
        <v>0.5</v>
      </c>
      <c r="BB577">
        <v>0.56666666666666676</v>
      </c>
      <c r="BC577">
        <v>0.2</v>
      </c>
      <c r="BD577">
        <v>0.92440119760479034</v>
      </c>
      <c r="BE577">
        <v>4</v>
      </c>
      <c r="BF577">
        <v>0.54776696606786424</v>
      </c>
      <c r="BG577">
        <v>0.55000000000000004</v>
      </c>
      <c r="BH577" t="s">
        <v>71</v>
      </c>
      <c r="BI577">
        <v>0.55000000000000004</v>
      </c>
      <c r="BJ577" t="s">
        <v>71</v>
      </c>
      <c r="BK577" s="2">
        <f t="shared" si="17"/>
        <v>0</v>
      </c>
      <c r="BL577" t="b">
        <f t="shared" si="18"/>
        <v>1</v>
      </c>
    </row>
    <row r="578" spans="1:64" x14ac:dyDescent="0.35">
      <c r="A578" t="s">
        <v>1638</v>
      </c>
      <c r="B578" t="s">
        <v>1635</v>
      </c>
      <c r="C578">
        <v>2019</v>
      </c>
      <c r="D578" t="s">
        <v>1636</v>
      </c>
      <c r="E578" t="s">
        <v>1637</v>
      </c>
      <c r="F578" t="s">
        <v>66</v>
      </c>
      <c r="G578" t="s">
        <v>101</v>
      </c>
      <c r="H578" t="s">
        <v>170</v>
      </c>
      <c r="I578" t="s">
        <v>777</v>
      </c>
      <c r="J578" t="s">
        <v>70</v>
      </c>
      <c r="L578">
        <v>1</v>
      </c>
      <c r="M578" t="b">
        <v>0</v>
      </c>
      <c r="N578">
        <v>1</v>
      </c>
      <c r="O578">
        <v>1</v>
      </c>
      <c r="P578">
        <v>3</v>
      </c>
      <c r="Q578">
        <v>4</v>
      </c>
      <c r="R578">
        <v>-1</v>
      </c>
      <c r="S578">
        <v>4</v>
      </c>
      <c r="T578">
        <v>16</v>
      </c>
      <c r="U578">
        <v>115</v>
      </c>
      <c r="V578">
        <v>55</v>
      </c>
      <c r="W578">
        <v>12</v>
      </c>
      <c r="X578">
        <v>4.583333333333333</v>
      </c>
      <c r="Y578">
        <v>1</v>
      </c>
      <c r="Z578">
        <v>1</v>
      </c>
      <c r="AA578">
        <v>0</v>
      </c>
      <c r="AB578">
        <v>0</v>
      </c>
      <c r="AC578">
        <v>1</v>
      </c>
      <c r="AD578">
        <v>1</v>
      </c>
      <c r="AE578">
        <v>13</v>
      </c>
      <c r="AF578">
        <v>0</v>
      </c>
      <c r="AG578">
        <v>0</v>
      </c>
      <c r="AH578">
        <v>0</v>
      </c>
      <c r="AI578">
        <v>0</v>
      </c>
      <c r="AJ578">
        <v>3</v>
      </c>
      <c r="AK578">
        <v>5</v>
      </c>
      <c r="AL578">
        <v>3</v>
      </c>
      <c r="AM578">
        <v>5</v>
      </c>
      <c r="AN578">
        <v>1</v>
      </c>
      <c r="AO578">
        <v>1</v>
      </c>
      <c r="AP578">
        <v>2</v>
      </c>
      <c r="AQ578">
        <v>14</v>
      </c>
      <c r="AR578">
        <v>8.6956521739130436E-3</v>
      </c>
      <c r="AS578">
        <v>0</v>
      </c>
      <c r="AT578">
        <v>0.11304347826086961</v>
      </c>
      <c r="AU578">
        <v>0</v>
      </c>
      <c r="AV578">
        <v>0</v>
      </c>
      <c r="AW578">
        <v>4.3478260869565223E-2</v>
      </c>
      <c r="AX578">
        <v>8.6956521739130436E-3</v>
      </c>
      <c r="AY578">
        <v>0.1217391304347826</v>
      </c>
      <c r="AZ578">
        <v>-3.4782608695652167E-2</v>
      </c>
      <c r="BA578">
        <v>0.5</v>
      </c>
      <c r="BB578">
        <v>0.59722222222222221</v>
      </c>
      <c r="BC578">
        <v>0.1333333333333333</v>
      </c>
      <c r="BD578">
        <v>0.60326086956521729</v>
      </c>
      <c r="BE578">
        <v>4</v>
      </c>
      <c r="BF578">
        <v>0.45845410628019317</v>
      </c>
      <c r="BG578">
        <v>0.46</v>
      </c>
      <c r="BH578" t="s">
        <v>71</v>
      </c>
      <c r="BI578">
        <v>0.46</v>
      </c>
      <c r="BJ578" t="s">
        <v>71</v>
      </c>
      <c r="BK578" s="2">
        <f t="shared" si="17"/>
        <v>0</v>
      </c>
      <c r="BL578" t="b">
        <f t="shared" si="18"/>
        <v>1</v>
      </c>
    </row>
    <row r="579" spans="1:64" x14ac:dyDescent="0.35">
      <c r="A579" t="s">
        <v>1639</v>
      </c>
      <c r="B579" t="s">
        <v>1635</v>
      </c>
      <c r="C579">
        <v>2022</v>
      </c>
      <c r="D579" t="s">
        <v>1636</v>
      </c>
      <c r="E579" t="s">
        <v>1637</v>
      </c>
      <c r="F579" t="s">
        <v>66</v>
      </c>
      <c r="G579" t="s">
        <v>101</v>
      </c>
      <c r="H579" t="s">
        <v>170</v>
      </c>
      <c r="I579" t="s">
        <v>777</v>
      </c>
      <c r="J579" t="s">
        <v>70</v>
      </c>
      <c r="L579">
        <v>1</v>
      </c>
      <c r="M579" t="b">
        <v>0</v>
      </c>
      <c r="N579">
        <v>1</v>
      </c>
      <c r="O579">
        <v>1</v>
      </c>
      <c r="P579">
        <v>9</v>
      </c>
      <c r="Q579">
        <v>3</v>
      </c>
      <c r="R579">
        <v>6</v>
      </c>
      <c r="S579">
        <v>5</v>
      </c>
      <c r="T579">
        <v>23</v>
      </c>
      <c r="U579">
        <v>561</v>
      </c>
      <c r="V579">
        <v>109</v>
      </c>
      <c r="W579">
        <v>19</v>
      </c>
      <c r="X579">
        <v>5.7368421052631584</v>
      </c>
      <c r="Y579">
        <v>3</v>
      </c>
      <c r="Z579">
        <v>49</v>
      </c>
      <c r="AA579">
        <v>0</v>
      </c>
      <c r="AB579">
        <v>0</v>
      </c>
      <c r="AC579">
        <v>4</v>
      </c>
      <c r="AD579">
        <v>4</v>
      </c>
      <c r="AE579">
        <v>36</v>
      </c>
      <c r="AF579">
        <v>1</v>
      </c>
      <c r="AG579">
        <v>34</v>
      </c>
      <c r="AH579">
        <v>1</v>
      </c>
      <c r="AI579">
        <v>206</v>
      </c>
      <c r="AJ579">
        <v>1</v>
      </c>
      <c r="AK579">
        <v>5</v>
      </c>
      <c r="AL579">
        <v>2</v>
      </c>
      <c r="AM579">
        <v>211</v>
      </c>
      <c r="AN579">
        <v>4</v>
      </c>
      <c r="AO579">
        <v>83</v>
      </c>
      <c r="AP579">
        <v>7</v>
      </c>
      <c r="AQ579">
        <v>85</v>
      </c>
      <c r="AR579">
        <v>8.7344028520499106E-2</v>
      </c>
      <c r="AS579">
        <v>0</v>
      </c>
      <c r="AT579">
        <v>6.4171122994652413E-2</v>
      </c>
      <c r="AU579">
        <v>6.0606060606060608E-2</v>
      </c>
      <c r="AV579">
        <v>0.36720142602495542</v>
      </c>
      <c r="AW579">
        <v>0.37611408199643492</v>
      </c>
      <c r="AX579">
        <v>0.14795008912655969</v>
      </c>
      <c r="AY579">
        <v>0.15151515151515149</v>
      </c>
      <c r="AZ579">
        <v>-0.22816399286987521</v>
      </c>
      <c r="BA579">
        <v>0.66666666666666663</v>
      </c>
      <c r="BB579">
        <v>0.78947368421052644</v>
      </c>
      <c r="BC579">
        <v>0.46666666666666667</v>
      </c>
      <c r="BD579">
        <v>0.48239750445632801</v>
      </c>
      <c r="BE579">
        <v>4</v>
      </c>
      <c r="BF579">
        <v>0.60130113050004697</v>
      </c>
      <c r="BG579">
        <v>0.66</v>
      </c>
      <c r="BH579" t="s">
        <v>86</v>
      </c>
      <c r="BI579">
        <v>0.6</v>
      </c>
      <c r="BJ579" t="s">
        <v>86</v>
      </c>
      <c r="BK579" s="2">
        <f t="shared" ref="BK579:BK642" si="19">BG579-BI579</f>
        <v>6.0000000000000053E-2</v>
      </c>
      <c r="BL579" t="b">
        <f t="shared" ref="BL579:BL642" si="20">EXACT(BH579,BJ579)</f>
        <v>1</v>
      </c>
    </row>
    <row r="580" spans="1:64" x14ac:dyDescent="0.35">
      <c r="A580" t="s">
        <v>1640</v>
      </c>
      <c r="B580" t="s">
        <v>1641</v>
      </c>
      <c r="C580">
        <v>2017</v>
      </c>
      <c r="D580" t="s">
        <v>1642</v>
      </c>
      <c r="E580" t="s">
        <v>1643</v>
      </c>
      <c r="F580" t="s">
        <v>66</v>
      </c>
      <c r="G580" t="s">
        <v>101</v>
      </c>
      <c r="H580" t="s">
        <v>348</v>
      </c>
      <c r="I580" t="s">
        <v>1332</v>
      </c>
      <c r="J580" t="s">
        <v>70</v>
      </c>
      <c r="L580">
        <v>3</v>
      </c>
      <c r="M580" t="b">
        <v>0</v>
      </c>
      <c r="N580">
        <v>1</v>
      </c>
      <c r="O580">
        <v>2</v>
      </c>
      <c r="P580">
        <v>7</v>
      </c>
      <c r="Q580">
        <v>1</v>
      </c>
      <c r="R580">
        <v>6</v>
      </c>
      <c r="S580">
        <v>6</v>
      </c>
      <c r="T580">
        <v>22</v>
      </c>
      <c r="U580">
        <v>457</v>
      </c>
      <c r="V580">
        <v>92</v>
      </c>
      <c r="W580">
        <v>15</v>
      </c>
      <c r="X580">
        <v>6.1333333333333337</v>
      </c>
      <c r="Y580">
        <v>3</v>
      </c>
      <c r="Z580">
        <v>77</v>
      </c>
      <c r="AA580">
        <v>3</v>
      </c>
      <c r="AB580">
        <v>34</v>
      </c>
      <c r="AC580">
        <v>1</v>
      </c>
      <c r="AD580">
        <v>1</v>
      </c>
      <c r="AE580">
        <v>8</v>
      </c>
      <c r="AF580">
        <v>1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7</v>
      </c>
      <c r="AO580">
        <v>112</v>
      </c>
      <c r="AP580">
        <v>7</v>
      </c>
      <c r="AQ580">
        <v>119</v>
      </c>
      <c r="AR580">
        <v>0.1684901531728665</v>
      </c>
      <c r="AS580">
        <v>7.4398249452954049E-2</v>
      </c>
      <c r="AT580">
        <v>1.7505470459518599E-2</v>
      </c>
      <c r="AU580">
        <v>2.1881838074398249E-3</v>
      </c>
      <c r="AV580">
        <v>0</v>
      </c>
      <c r="AW580">
        <v>0</v>
      </c>
      <c r="AX580">
        <v>0.24507658643326041</v>
      </c>
      <c r="AY580">
        <v>0.26039387308533918</v>
      </c>
      <c r="AZ580">
        <v>0.24507658643326041</v>
      </c>
      <c r="BA580">
        <v>0.83333333333333337</v>
      </c>
      <c r="BB580">
        <v>0.85555555555555562</v>
      </c>
      <c r="BC580">
        <v>0.46666666666666667</v>
      </c>
      <c r="BD580">
        <v>0.77817286652078776</v>
      </c>
      <c r="BE580">
        <v>4</v>
      </c>
      <c r="BF580">
        <v>0.73343210551908589</v>
      </c>
      <c r="BG580">
        <v>0.73</v>
      </c>
      <c r="BH580" t="s">
        <v>86</v>
      </c>
      <c r="BI580">
        <v>0.73</v>
      </c>
      <c r="BJ580" t="s">
        <v>86</v>
      </c>
      <c r="BK580" s="2">
        <f t="shared" si="19"/>
        <v>0</v>
      </c>
      <c r="BL580" t="b">
        <f t="shared" si="20"/>
        <v>1</v>
      </c>
    </row>
    <row r="581" spans="1:64" x14ac:dyDescent="0.35">
      <c r="A581" t="s">
        <v>1644</v>
      </c>
      <c r="B581" t="s">
        <v>1641</v>
      </c>
      <c r="C581">
        <v>2022</v>
      </c>
      <c r="D581" t="s">
        <v>1642</v>
      </c>
      <c r="E581" t="s">
        <v>1643</v>
      </c>
      <c r="F581" t="s">
        <v>66</v>
      </c>
      <c r="G581" t="s">
        <v>101</v>
      </c>
      <c r="H581" t="s">
        <v>348</v>
      </c>
      <c r="I581" t="s">
        <v>1332</v>
      </c>
      <c r="J581" t="s">
        <v>70</v>
      </c>
      <c r="L581">
        <v>3</v>
      </c>
      <c r="M581" t="b">
        <v>0</v>
      </c>
      <c r="N581">
        <v>2</v>
      </c>
      <c r="O581">
        <v>1</v>
      </c>
      <c r="P581">
        <v>5</v>
      </c>
      <c r="Q581">
        <v>1</v>
      </c>
      <c r="R581">
        <v>4</v>
      </c>
      <c r="S581">
        <v>5</v>
      </c>
      <c r="T581">
        <v>20</v>
      </c>
      <c r="U581">
        <v>106</v>
      </c>
      <c r="V581">
        <v>94</v>
      </c>
      <c r="W581">
        <v>17</v>
      </c>
      <c r="X581">
        <v>5.5294117647058822</v>
      </c>
      <c r="Y581">
        <v>3</v>
      </c>
      <c r="Z581">
        <v>9</v>
      </c>
      <c r="AA581">
        <v>0</v>
      </c>
      <c r="AB581">
        <v>0</v>
      </c>
      <c r="AC581">
        <v>2</v>
      </c>
      <c r="AD581">
        <v>2</v>
      </c>
      <c r="AE581">
        <v>35</v>
      </c>
      <c r="AF581">
        <v>2</v>
      </c>
      <c r="AG581">
        <v>3</v>
      </c>
      <c r="AH581">
        <v>0</v>
      </c>
      <c r="AI581">
        <v>0</v>
      </c>
      <c r="AJ581">
        <v>1</v>
      </c>
      <c r="AK581">
        <v>8</v>
      </c>
      <c r="AL581">
        <v>1</v>
      </c>
      <c r="AM581">
        <v>8</v>
      </c>
      <c r="AN581">
        <v>5</v>
      </c>
      <c r="AO581">
        <v>12</v>
      </c>
      <c r="AP581">
        <v>5</v>
      </c>
      <c r="AQ581">
        <v>44</v>
      </c>
      <c r="AR581">
        <v>8.4905660377358486E-2</v>
      </c>
      <c r="AS581">
        <v>0</v>
      </c>
      <c r="AT581">
        <v>0.330188679245283</v>
      </c>
      <c r="AU581">
        <v>2.8301886792452831E-2</v>
      </c>
      <c r="AV581">
        <v>0</v>
      </c>
      <c r="AW581">
        <v>7.5471698113207544E-2</v>
      </c>
      <c r="AX581">
        <v>0.1132075471698113</v>
      </c>
      <c r="AY581">
        <v>0.41509433962264147</v>
      </c>
      <c r="AZ581">
        <v>3.7735849056603779E-2</v>
      </c>
      <c r="BA581">
        <v>0.66666666666666663</v>
      </c>
      <c r="BB581">
        <v>0.75490196078431371</v>
      </c>
      <c r="BC581">
        <v>0.33333333333333331</v>
      </c>
      <c r="BD581">
        <v>0.6485849056603773</v>
      </c>
      <c r="BE581">
        <v>4</v>
      </c>
      <c r="BF581">
        <v>0.60087171661117278</v>
      </c>
      <c r="BG581">
        <v>0.6</v>
      </c>
      <c r="BH581" t="s">
        <v>86</v>
      </c>
      <c r="BI581">
        <v>0.6</v>
      </c>
      <c r="BJ581" t="s">
        <v>86</v>
      </c>
      <c r="BK581" s="2">
        <f t="shared" si="19"/>
        <v>0</v>
      </c>
      <c r="BL581" t="b">
        <f t="shared" si="20"/>
        <v>1</v>
      </c>
    </row>
    <row r="582" spans="1:64" x14ac:dyDescent="0.35">
      <c r="A582" t="s">
        <v>1645</v>
      </c>
      <c r="B582" t="s">
        <v>1646</v>
      </c>
      <c r="C582">
        <v>2015</v>
      </c>
      <c r="D582" t="s">
        <v>1647</v>
      </c>
      <c r="E582" t="s">
        <v>1648</v>
      </c>
      <c r="F582" t="s">
        <v>66</v>
      </c>
      <c r="G582" t="s">
        <v>101</v>
      </c>
      <c r="H582" t="s">
        <v>162</v>
      </c>
      <c r="I582" t="s">
        <v>1596</v>
      </c>
      <c r="J582" t="s">
        <v>70</v>
      </c>
      <c r="L582">
        <v>5</v>
      </c>
      <c r="M582" t="b">
        <v>0</v>
      </c>
      <c r="N582">
        <v>2</v>
      </c>
      <c r="O582">
        <v>5</v>
      </c>
      <c r="P582">
        <v>10</v>
      </c>
      <c r="Q582">
        <v>1</v>
      </c>
      <c r="R582">
        <v>9</v>
      </c>
      <c r="S582">
        <v>5</v>
      </c>
      <c r="T582">
        <v>29</v>
      </c>
      <c r="U582">
        <v>244</v>
      </c>
      <c r="V582">
        <v>149</v>
      </c>
      <c r="W582">
        <v>26</v>
      </c>
      <c r="X582">
        <v>5.7307692307692308</v>
      </c>
      <c r="Y582">
        <v>5</v>
      </c>
      <c r="Z582">
        <v>28</v>
      </c>
      <c r="AA582">
        <v>1</v>
      </c>
      <c r="AB582">
        <v>12</v>
      </c>
      <c r="AC582">
        <v>6</v>
      </c>
      <c r="AD582">
        <v>6</v>
      </c>
      <c r="AE582">
        <v>41</v>
      </c>
      <c r="AF582">
        <v>1</v>
      </c>
      <c r="AG582">
        <v>11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9</v>
      </c>
      <c r="AN582">
        <v>7</v>
      </c>
      <c r="AO582">
        <v>51</v>
      </c>
      <c r="AP582">
        <v>12</v>
      </c>
      <c r="AQ582">
        <v>81</v>
      </c>
      <c r="AR582">
        <v>0.1147540983606557</v>
      </c>
      <c r="AS582">
        <v>4.9180327868852458E-2</v>
      </c>
      <c r="AT582">
        <v>0.16803278688524589</v>
      </c>
      <c r="AU582">
        <v>4.5081967213114763E-2</v>
      </c>
      <c r="AV582">
        <v>0</v>
      </c>
      <c r="AW582">
        <v>3.6885245901639337E-2</v>
      </c>
      <c r="AX582">
        <v>0.20901639344262299</v>
      </c>
      <c r="AY582">
        <v>0.33196721311475408</v>
      </c>
      <c r="AZ582">
        <v>0.1721311475409836</v>
      </c>
      <c r="BA582">
        <v>0.66666666666666663</v>
      </c>
      <c r="BB582">
        <v>0.78846153846153844</v>
      </c>
      <c r="BC582">
        <v>0.8</v>
      </c>
      <c r="BD582">
        <v>0.73258196721311475</v>
      </c>
      <c r="BE582">
        <v>4</v>
      </c>
      <c r="BF582">
        <v>0.74692754308532994</v>
      </c>
      <c r="BG582">
        <v>0.75</v>
      </c>
      <c r="BH582" t="s">
        <v>86</v>
      </c>
      <c r="BI582">
        <v>0.75</v>
      </c>
      <c r="BJ582" t="s">
        <v>86</v>
      </c>
      <c r="BK582" s="2">
        <f t="shared" si="19"/>
        <v>0</v>
      </c>
      <c r="BL582" t="b">
        <f t="shared" si="20"/>
        <v>1</v>
      </c>
    </row>
    <row r="583" spans="1:64" x14ac:dyDescent="0.35">
      <c r="A583" t="s">
        <v>1649</v>
      </c>
      <c r="B583" t="s">
        <v>1646</v>
      </c>
      <c r="C583">
        <v>2018</v>
      </c>
      <c r="D583" t="s">
        <v>1647</v>
      </c>
      <c r="E583" t="s">
        <v>1648</v>
      </c>
      <c r="F583" t="s">
        <v>66</v>
      </c>
      <c r="G583" t="s">
        <v>101</v>
      </c>
      <c r="H583" t="s">
        <v>162</v>
      </c>
      <c r="I583" t="s">
        <v>1596</v>
      </c>
      <c r="J583" t="s">
        <v>70</v>
      </c>
      <c r="L583">
        <v>5</v>
      </c>
      <c r="M583" t="b">
        <v>0</v>
      </c>
      <c r="N583">
        <v>1</v>
      </c>
      <c r="O583">
        <v>2</v>
      </c>
      <c r="P583">
        <v>4</v>
      </c>
      <c r="Q583">
        <v>1</v>
      </c>
      <c r="R583">
        <v>3</v>
      </c>
      <c r="S583">
        <v>5</v>
      </c>
      <c r="T583">
        <v>14</v>
      </c>
      <c r="U583">
        <v>547</v>
      </c>
      <c r="V583">
        <v>69</v>
      </c>
      <c r="W583">
        <v>12</v>
      </c>
      <c r="X583">
        <v>5.75</v>
      </c>
      <c r="Y583">
        <v>3</v>
      </c>
      <c r="Z583">
        <v>14</v>
      </c>
      <c r="AA583">
        <v>1</v>
      </c>
      <c r="AB583">
        <v>15</v>
      </c>
      <c r="AC583">
        <v>3</v>
      </c>
      <c r="AD583">
        <v>3</v>
      </c>
      <c r="AE583">
        <v>432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4</v>
      </c>
      <c r="AO583">
        <v>29</v>
      </c>
      <c r="AP583">
        <v>7</v>
      </c>
      <c r="AQ583">
        <v>461</v>
      </c>
      <c r="AR583">
        <v>2.559414990859232E-2</v>
      </c>
      <c r="AS583">
        <v>2.7422303473491769E-2</v>
      </c>
      <c r="AT583">
        <v>0.78976234003656309</v>
      </c>
      <c r="AU583">
        <v>0</v>
      </c>
      <c r="AV583">
        <v>0</v>
      </c>
      <c r="AW583">
        <v>0</v>
      </c>
      <c r="AX583">
        <v>5.3016453382084092E-2</v>
      </c>
      <c r="AY583">
        <v>0.84277879341864714</v>
      </c>
      <c r="AZ583">
        <v>5.3016453382084092E-2</v>
      </c>
      <c r="BA583">
        <v>0.66666666666666663</v>
      </c>
      <c r="BB583">
        <v>0.79166666666666663</v>
      </c>
      <c r="BC583">
        <v>0.46666666666666667</v>
      </c>
      <c r="BD583">
        <v>0.65813528336380245</v>
      </c>
      <c r="BE583">
        <v>4</v>
      </c>
      <c r="BF583">
        <v>0.64578382084095054</v>
      </c>
      <c r="BG583">
        <v>0.65</v>
      </c>
      <c r="BH583" t="s">
        <v>86</v>
      </c>
      <c r="BI583">
        <v>0.65</v>
      </c>
      <c r="BJ583" t="s">
        <v>86</v>
      </c>
      <c r="BK583" s="2">
        <f t="shared" si="19"/>
        <v>0</v>
      </c>
      <c r="BL583" t="b">
        <f t="shared" si="20"/>
        <v>1</v>
      </c>
    </row>
    <row r="584" spans="1:64" x14ac:dyDescent="0.35">
      <c r="A584" t="s">
        <v>1650</v>
      </c>
      <c r="B584" t="s">
        <v>1651</v>
      </c>
      <c r="C584">
        <v>2014</v>
      </c>
      <c r="D584" t="s">
        <v>1652</v>
      </c>
      <c r="E584" t="s">
        <v>1653</v>
      </c>
      <c r="F584" t="s">
        <v>66</v>
      </c>
      <c r="G584" t="s">
        <v>101</v>
      </c>
      <c r="H584" t="s">
        <v>170</v>
      </c>
      <c r="I584" t="s">
        <v>1654</v>
      </c>
      <c r="J584" t="s">
        <v>70</v>
      </c>
      <c r="L584">
        <v>3</v>
      </c>
      <c r="M584" t="b">
        <v>0</v>
      </c>
      <c r="N584">
        <v>1</v>
      </c>
      <c r="O584">
        <v>2</v>
      </c>
      <c r="P584">
        <v>12</v>
      </c>
      <c r="Q584">
        <v>3</v>
      </c>
      <c r="R584">
        <v>9</v>
      </c>
      <c r="S584">
        <v>6</v>
      </c>
      <c r="T584">
        <v>36</v>
      </c>
      <c r="U584">
        <v>507</v>
      </c>
      <c r="V584">
        <v>160</v>
      </c>
      <c r="W584">
        <v>26</v>
      </c>
      <c r="X584">
        <v>6.1538461538461542</v>
      </c>
      <c r="Y584">
        <v>3</v>
      </c>
      <c r="Z584">
        <v>34</v>
      </c>
      <c r="AA584">
        <v>0</v>
      </c>
      <c r="AB584">
        <v>0</v>
      </c>
      <c r="AC584">
        <v>3</v>
      </c>
      <c r="AD584">
        <v>3</v>
      </c>
      <c r="AE584">
        <v>64</v>
      </c>
      <c r="AF584">
        <v>1</v>
      </c>
      <c r="AG584">
        <v>4</v>
      </c>
      <c r="AH584">
        <v>1</v>
      </c>
      <c r="AI584">
        <v>36</v>
      </c>
      <c r="AJ584">
        <v>1</v>
      </c>
      <c r="AK584">
        <v>8</v>
      </c>
      <c r="AL584">
        <v>2</v>
      </c>
      <c r="AM584">
        <v>44</v>
      </c>
      <c r="AN584">
        <v>4</v>
      </c>
      <c r="AO584">
        <v>38</v>
      </c>
      <c r="AP584">
        <v>6</v>
      </c>
      <c r="AQ584">
        <v>98</v>
      </c>
      <c r="AR584">
        <v>6.7061143984220903E-2</v>
      </c>
      <c r="AS584">
        <v>0</v>
      </c>
      <c r="AT584">
        <v>0.12623274161735701</v>
      </c>
      <c r="AU584">
        <v>7.889546351084813E-3</v>
      </c>
      <c r="AV584">
        <v>7.1005917159763315E-2</v>
      </c>
      <c r="AW584">
        <v>8.6785009861932938E-2</v>
      </c>
      <c r="AX584">
        <v>7.4950690335305714E-2</v>
      </c>
      <c r="AY584">
        <v>0.1932938856015779</v>
      </c>
      <c r="AZ584">
        <v>-1.183431952662722E-2</v>
      </c>
      <c r="BA584">
        <v>0.83333333333333337</v>
      </c>
      <c r="BB584">
        <v>0.85897435897435903</v>
      </c>
      <c r="BC584">
        <v>0.4</v>
      </c>
      <c r="BD584">
        <v>0.61760355029585801</v>
      </c>
      <c r="BE584">
        <v>4</v>
      </c>
      <c r="BF584">
        <v>0.67747781065088764</v>
      </c>
      <c r="BG584">
        <v>0.7</v>
      </c>
      <c r="BH584" t="s">
        <v>86</v>
      </c>
      <c r="BI584">
        <v>0.68</v>
      </c>
      <c r="BJ584" t="s">
        <v>86</v>
      </c>
      <c r="BK584" s="2">
        <f t="shared" si="19"/>
        <v>1.9999999999999907E-2</v>
      </c>
      <c r="BL584" t="b">
        <f t="shared" si="20"/>
        <v>1</v>
      </c>
    </row>
    <row r="585" spans="1:64" x14ac:dyDescent="0.35">
      <c r="A585" t="s">
        <v>1655</v>
      </c>
      <c r="B585" t="s">
        <v>1651</v>
      </c>
      <c r="C585">
        <v>2015</v>
      </c>
      <c r="D585" t="s">
        <v>1652</v>
      </c>
      <c r="E585" t="s">
        <v>1653</v>
      </c>
      <c r="F585" t="s">
        <v>66</v>
      </c>
      <c r="G585" t="s">
        <v>101</v>
      </c>
      <c r="H585" t="s">
        <v>170</v>
      </c>
      <c r="I585" t="s">
        <v>1654</v>
      </c>
      <c r="J585" t="s">
        <v>70</v>
      </c>
      <c r="L585">
        <v>3</v>
      </c>
      <c r="M585" t="b">
        <v>0</v>
      </c>
      <c r="N585">
        <v>1</v>
      </c>
      <c r="O585">
        <v>1</v>
      </c>
      <c r="P585">
        <v>6</v>
      </c>
      <c r="Q585">
        <v>4</v>
      </c>
      <c r="R585">
        <v>2</v>
      </c>
      <c r="S585">
        <v>4</v>
      </c>
      <c r="T585">
        <v>30</v>
      </c>
      <c r="U585">
        <v>715</v>
      </c>
      <c r="V585">
        <v>115</v>
      </c>
      <c r="W585">
        <v>23</v>
      </c>
      <c r="X585">
        <v>5</v>
      </c>
      <c r="Y585">
        <v>3</v>
      </c>
      <c r="Z585">
        <v>281</v>
      </c>
      <c r="AA585">
        <v>0</v>
      </c>
      <c r="AB585">
        <v>0</v>
      </c>
      <c r="AC585">
        <v>3</v>
      </c>
      <c r="AD585">
        <v>3</v>
      </c>
      <c r="AE585">
        <v>42</v>
      </c>
      <c r="AF585">
        <v>1</v>
      </c>
      <c r="AG585">
        <v>4</v>
      </c>
      <c r="AH585">
        <v>3</v>
      </c>
      <c r="AI585">
        <v>29</v>
      </c>
      <c r="AJ585">
        <v>2</v>
      </c>
      <c r="AK585">
        <v>10</v>
      </c>
      <c r="AL585">
        <v>5</v>
      </c>
      <c r="AM585">
        <v>39</v>
      </c>
      <c r="AN585">
        <v>4</v>
      </c>
      <c r="AO585">
        <v>285</v>
      </c>
      <c r="AP585">
        <v>6</v>
      </c>
      <c r="AQ585">
        <v>323</v>
      </c>
      <c r="AR585">
        <v>0.39300699300699299</v>
      </c>
      <c r="AS585">
        <v>0</v>
      </c>
      <c r="AT585">
        <v>5.8741258741258739E-2</v>
      </c>
      <c r="AU585">
        <v>5.5944055944055944E-3</v>
      </c>
      <c r="AV585">
        <v>4.0559440559440559E-2</v>
      </c>
      <c r="AW585">
        <v>5.4545454545454543E-2</v>
      </c>
      <c r="AX585">
        <v>0.39860139860139859</v>
      </c>
      <c r="AY585">
        <v>0.45174825174825167</v>
      </c>
      <c r="AZ585">
        <v>0.34405594405594397</v>
      </c>
      <c r="BA585">
        <v>0.5</v>
      </c>
      <c r="BB585">
        <v>0.66666666666666663</v>
      </c>
      <c r="BC585">
        <v>0.4</v>
      </c>
      <c r="BD585">
        <v>0.840034965034965</v>
      </c>
      <c r="BE585">
        <v>4</v>
      </c>
      <c r="BF585">
        <v>0.60167540792540786</v>
      </c>
      <c r="BG585">
        <v>0.6</v>
      </c>
      <c r="BH585" t="s">
        <v>86</v>
      </c>
      <c r="BI585">
        <v>0.6</v>
      </c>
      <c r="BJ585" t="s">
        <v>86</v>
      </c>
      <c r="BK585" s="2">
        <f t="shared" si="19"/>
        <v>0</v>
      </c>
      <c r="BL585" t="b">
        <f t="shared" si="20"/>
        <v>1</v>
      </c>
    </row>
    <row r="586" spans="1:64" x14ac:dyDescent="0.35">
      <c r="A586" t="s">
        <v>1656</v>
      </c>
      <c r="B586" t="s">
        <v>1651</v>
      </c>
      <c r="C586">
        <v>2016</v>
      </c>
      <c r="D586" t="s">
        <v>1652</v>
      </c>
      <c r="E586" t="s">
        <v>1653</v>
      </c>
      <c r="F586" t="s">
        <v>66</v>
      </c>
      <c r="G586" t="s">
        <v>101</v>
      </c>
      <c r="H586" t="s">
        <v>170</v>
      </c>
      <c r="I586" t="s">
        <v>1654</v>
      </c>
      <c r="J586" t="s">
        <v>70</v>
      </c>
      <c r="L586">
        <v>3</v>
      </c>
      <c r="M586" t="b">
        <v>0</v>
      </c>
      <c r="N586">
        <v>2</v>
      </c>
      <c r="O586">
        <v>2</v>
      </c>
      <c r="P586">
        <v>4</v>
      </c>
      <c r="Q586">
        <v>3</v>
      </c>
      <c r="R586">
        <v>1</v>
      </c>
      <c r="S586">
        <v>4</v>
      </c>
      <c r="T586">
        <v>20</v>
      </c>
      <c r="U586">
        <v>357</v>
      </c>
      <c r="V586">
        <v>69</v>
      </c>
      <c r="W586">
        <v>15</v>
      </c>
      <c r="X586">
        <v>4.5999999999999996</v>
      </c>
      <c r="Y586">
        <v>3</v>
      </c>
      <c r="Z586">
        <v>38</v>
      </c>
      <c r="AA586">
        <v>0</v>
      </c>
      <c r="AB586">
        <v>0</v>
      </c>
      <c r="AC586">
        <v>3</v>
      </c>
      <c r="AD586">
        <v>3</v>
      </c>
      <c r="AE586">
        <v>85</v>
      </c>
      <c r="AF586">
        <v>1</v>
      </c>
      <c r="AG586">
        <v>3</v>
      </c>
      <c r="AH586">
        <v>1</v>
      </c>
      <c r="AI586">
        <v>3</v>
      </c>
      <c r="AJ586">
        <v>1</v>
      </c>
      <c r="AK586">
        <v>16</v>
      </c>
      <c r="AL586">
        <v>2</v>
      </c>
      <c r="AM586">
        <v>19</v>
      </c>
      <c r="AN586">
        <v>4</v>
      </c>
      <c r="AO586">
        <v>41</v>
      </c>
      <c r="AP586">
        <v>6</v>
      </c>
      <c r="AQ586">
        <v>123</v>
      </c>
      <c r="AR586">
        <v>0.10644257703081229</v>
      </c>
      <c r="AS586">
        <v>0</v>
      </c>
      <c r="AT586">
        <v>0.23809523809523811</v>
      </c>
      <c r="AU586">
        <v>8.4033613445378148E-3</v>
      </c>
      <c r="AV586">
        <v>8.4033613445378148E-3</v>
      </c>
      <c r="AW586">
        <v>5.3221288515406161E-2</v>
      </c>
      <c r="AX586">
        <v>0.11484593837535011</v>
      </c>
      <c r="AY586">
        <v>0.34453781512605042</v>
      </c>
      <c r="AZ586">
        <v>6.1624649859943967E-2</v>
      </c>
      <c r="BA586">
        <v>0.5</v>
      </c>
      <c r="BB586">
        <v>0.6</v>
      </c>
      <c r="BC586">
        <v>0.4</v>
      </c>
      <c r="BD586">
        <v>0.66351540616246496</v>
      </c>
      <c r="BE586">
        <v>4</v>
      </c>
      <c r="BF586">
        <v>0.54087885154061621</v>
      </c>
      <c r="BG586">
        <v>0.54</v>
      </c>
      <c r="BH586" t="s">
        <v>71</v>
      </c>
      <c r="BI586">
        <v>0.54</v>
      </c>
      <c r="BJ586" t="s">
        <v>71</v>
      </c>
      <c r="BK586" s="2">
        <f t="shared" si="19"/>
        <v>0</v>
      </c>
      <c r="BL586" t="b">
        <f t="shared" si="20"/>
        <v>1</v>
      </c>
    </row>
    <row r="587" spans="1:64" x14ac:dyDescent="0.35">
      <c r="A587" t="s">
        <v>1657</v>
      </c>
      <c r="B587" t="s">
        <v>1651</v>
      </c>
      <c r="C587">
        <v>2017</v>
      </c>
      <c r="D587" t="s">
        <v>1652</v>
      </c>
      <c r="E587" t="s">
        <v>1653</v>
      </c>
      <c r="F587" t="s">
        <v>66</v>
      </c>
      <c r="G587" t="s">
        <v>101</v>
      </c>
      <c r="H587" t="s">
        <v>170</v>
      </c>
      <c r="I587" t="s">
        <v>1654</v>
      </c>
      <c r="J587" t="s">
        <v>70</v>
      </c>
      <c r="L587">
        <v>3</v>
      </c>
      <c r="M587" t="b">
        <v>0</v>
      </c>
      <c r="N587">
        <v>2</v>
      </c>
      <c r="O587">
        <v>1</v>
      </c>
      <c r="P587">
        <v>2</v>
      </c>
      <c r="Q587">
        <v>2</v>
      </c>
      <c r="R587">
        <v>0</v>
      </c>
      <c r="S587">
        <v>4</v>
      </c>
      <c r="T587">
        <v>15</v>
      </c>
      <c r="U587">
        <v>209</v>
      </c>
      <c r="V587">
        <v>36</v>
      </c>
      <c r="W587">
        <v>8</v>
      </c>
      <c r="X587">
        <v>4.5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2</v>
      </c>
      <c r="AE587">
        <v>23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6</v>
      </c>
      <c r="AL587">
        <v>1</v>
      </c>
      <c r="AM587">
        <v>6</v>
      </c>
      <c r="AN587">
        <v>0</v>
      </c>
      <c r="AO587">
        <v>0</v>
      </c>
      <c r="AP587">
        <v>2</v>
      </c>
      <c r="AQ587">
        <v>23</v>
      </c>
      <c r="AR587">
        <v>0</v>
      </c>
      <c r="AS587">
        <v>0</v>
      </c>
      <c r="AT587">
        <v>0.1100478468899522</v>
      </c>
      <c r="AU587">
        <v>0</v>
      </c>
      <c r="AV587">
        <v>0</v>
      </c>
      <c r="AW587">
        <v>2.870813397129187E-2</v>
      </c>
      <c r="AX587">
        <v>0</v>
      </c>
      <c r="AY587">
        <v>0.1100478468899522</v>
      </c>
      <c r="AZ587">
        <v>-2.870813397129187E-2</v>
      </c>
      <c r="BA587">
        <v>0.5</v>
      </c>
      <c r="BB587">
        <v>0.58333333333333337</v>
      </c>
      <c r="BC587">
        <v>0.1333333333333333</v>
      </c>
      <c r="BD587">
        <v>0.60705741626794252</v>
      </c>
      <c r="BE587">
        <v>4</v>
      </c>
      <c r="BF587">
        <v>0.45593102073365233</v>
      </c>
      <c r="BG587">
        <v>0.46</v>
      </c>
      <c r="BH587" t="s">
        <v>71</v>
      </c>
      <c r="BI587">
        <v>0.46</v>
      </c>
      <c r="BJ587" t="s">
        <v>71</v>
      </c>
      <c r="BK587" s="2">
        <f t="shared" si="19"/>
        <v>0</v>
      </c>
      <c r="BL587" t="b">
        <f t="shared" si="20"/>
        <v>1</v>
      </c>
    </row>
    <row r="588" spans="1:64" x14ac:dyDescent="0.35">
      <c r="A588" t="s">
        <v>1658</v>
      </c>
      <c r="B588" t="s">
        <v>1651</v>
      </c>
      <c r="C588">
        <v>2020</v>
      </c>
      <c r="D588" t="s">
        <v>1652</v>
      </c>
      <c r="E588" t="s">
        <v>1653</v>
      </c>
      <c r="F588" t="s">
        <v>66</v>
      </c>
      <c r="G588" t="s">
        <v>101</v>
      </c>
      <c r="H588" t="s">
        <v>170</v>
      </c>
      <c r="I588" t="s">
        <v>1654</v>
      </c>
      <c r="J588" t="s">
        <v>70</v>
      </c>
      <c r="L588">
        <v>3</v>
      </c>
      <c r="M588" t="b">
        <v>0</v>
      </c>
      <c r="N588">
        <v>3</v>
      </c>
      <c r="O588">
        <v>1</v>
      </c>
      <c r="P588">
        <v>1</v>
      </c>
      <c r="Q588">
        <v>3</v>
      </c>
      <c r="R588">
        <v>-2</v>
      </c>
      <c r="S588">
        <v>3</v>
      </c>
      <c r="T588">
        <v>18</v>
      </c>
      <c r="U588">
        <v>77</v>
      </c>
      <c r="V588">
        <v>78</v>
      </c>
      <c r="W588">
        <v>15</v>
      </c>
      <c r="X588">
        <v>5.2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3</v>
      </c>
      <c r="AF588">
        <v>3</v>
      </c>
      <c r="AG588">
        <v>18</v>
      </c>
      <c r="AH588">
        <v>1</v>
      </c>
      <c r="AI588">
        <v>5</v>
      </c>
      <c r="AJ588">
        <v>1</v>
      </c>
      <c r="AK588">
        <v>4</v>
      </c>
      <c r="AL588">
        <v>2</v>
      </c>
      <c r="AM588">
        <v>9</v>
      </c>
      <c r="AN588">
        <v>3</v>
      </c>
      <c r="AO588">
        <v>18</v>
      </c>
      <c r="AP588">
        <v>1</v>
      </c>
      <c r="AQ588">
        <v>3</v>
      </c>
      <c r="AR588">
        <v>0</v>
      </c>
      <c r="AS588">
        <v>0</v>
      </c>
      <c r="AT588">
        <v>3.896103896103896E-2</v>
      </c>
      <c r="AU588">
        <v>0.23376623376623379</v>
      </c>
      <c r="AV588">
        <v>6.4935064935064929E-2</v>
      </c>
      <c r="AW588">
        <v>0.11688311688311689</v>
      </c>
      <c r="AX588">
        <v>0.23376623376623379</v>
      </c>
      <c r="AY588">
        <v>3.896103896103896E-2</v>
      </c>
      <c r="AZ588">
        <v>0.11688311688311689</v>
      </c>
      <c r="BA588">
        <v>0.33333333333333331</v>
      </c>
      <c r="BB588">
        <v>0.70000000000000007</v>
      </c>
      <c r="BC588">
        <v>6.6666666666666666E-2</v>
      </c>
      <c r="BD588">
        <v>0.69805194805194792</v>
      </c>
      <c r="BE588">
        <v>4</v>
      </c>
      <c r="BF588">
        <v>0.44951298701298698</v>
      </c>
      <c r="BG588">
        <v>0.46</v>
      </c>
      <c r="BH588" t="s">
        <v>71</v>
      </c>
      <c r="BI588">
        <v>0.45</v>
      </c>
      <c r="BJ588" t="s">
        <v>71</v>
      </c>
      <c r="BK588" s="2">
        <f t="shared" si="19"/>
        <v>1.0000000000000009E-2</v>
      </c>
      <c r="BL588" t="b">
        <f t="shared" si="20"/>
        <v>1</v>
      </c>
    </row>
    <row r="589" spans="1:64" x14ac:dyDescent="0.35">
      <c r="A589" t="s">
        <v>1659</v>
      </c>
      <c r="B589" t="s">
        <v>1660</v>
      </c>
      <c r="C589">
        <v>2016</v>
      </c>
      <c r="D589" t="s">
        <v>1661</v>
      </c>
      <c r="E589" t="s">
        <v>1662</v>
      </c>
      <c r="F589" t="s">
        <v>66</v>
      </c>
      <c r="G589" t="s">
        <v>101</v>
      </c>
      <c r="H589" t="s">
        <v>170</v>
      </c>
      <c r="I589" t="s">
        <v>170</v>
      </c>
      <c r="J589" t="s">
        <v>70</v>
      </c>
      <c r="L589">
        <v>4</v>
      </c>
      <c r="M589" t="b">
        <v>0</v>
      </c>
      <c r="N589">
        <v>1</v>
      </c>
      <c r="O589">
        <v>2</v>
      </c>
      <c r="P589">
        <v>6</v>
      </c>
      <c r="Q589">
        <v>1</v>
      </c>
      <c r="R589">
        <v>5</v>
      </c>
      <c r="S589">
        <v>6</v>
      </c>
      <c r="T589">
        <v>16</v>
      </c>
      <c r="U589">
        <v>285</v>
      </c>
      <c r="V589">
        <v>100</v>
      </c>
      <c r="W589">
        <v>15</v>
      </c>
      <c r="X589">
        <v>6.666666666666667</v>
      </c>
      <c r="Y589">
        <v>4</v>
      </c>
      <c r="Z589">
        <v>73</v>
      </c>
      <c r="AA589">
        <v>0</v>
      </c>
      <c r="AB589">
        <v>0</v>
      </c>
      <c r="AC589">
        <v>1</v>
      </c>
      <c r="AD589">
        <v>1</v>
      </c>
      <c r="AE589">
        <v>92</v>
      </c>
      <c r="AF589">
        <v>1</v>
      </c>
      <c r="AG589">
        <v>7</v>
      </c>
      <c r="AH589">
        <v>1</v>
      </c>
      <c r="AI589">
        <v>15</v>
      </c>
      <c r="AJ589">
        <v>1</v>
      </c>
      <c r="AK589">
        <v>13</v>
      </c>
      <c r="AL589">
        <v>2</v>
      </c>
      <c r="AM589">
        <v>28</v>
      </c>
      <c r="AN589">
        <v>5</v>
      </c>
      <c r="AO589">
        <v>80</v>
      </c>
      <c r="AP589">
        <v>5</v>
      </c>
      <c r="AQ589">
        <v>165</v>
      </c>
      <c r="AR589">
        <v>0.256140350877193</v>
      </c>
      <c r="AS589">
        <v>0</v>
      </c>
      <c r="AT589">
        <v>0.32280701754385971</v>
      </c>
      <c r="AU589">
        <v>2.456140350877193E-2</v>
      </c>
      <c r="AV589">
        <v>5.2631578947368418E-2</v>
      </c>
      <c r="AW589">
        <v>9.8245614035087719E-2</v>
      </c>
      <c r="AX589">
        <v>0.2807017543859649</v>
      </c>
      <c r="AY589">
        <v>0.57894736842105265</v>
      </c>
      <c r="AZ589">
        <v>0.18245614035087721</v>
      </c>
      <c r="BA589">
        <v>0.83333333333333337</v>
      </c>
      <c r="BB589">
        <v>0.94444444444444453</v>
      </c>
      <c r="BC589">
        <v>0.33333333333333331</v>
      </c>
      <c r="BD589">
        <v>0.73903508771929827</v>
      </c>
      <c r="BE589">
        <v>4</v>
      </c>
      <c r="BF589">
        <v>0.71253654970760238</v>
      </c>
      <c r="BG589">
        <v>0.72</v>
      </c>
      <c r="BH589" t="s">
        <v>86</v>
      </c>
      <c r="BI589">
        <v>0.71</v>
      </c>
      <c r="BJ589" t="s">
        <v>86</v>
      </c>
      <c r="BK589" s="2">
        <f t="shared" si="19"/>
        <v>1.0000000000000009E-2</v>
      </c>
      <c r="BL589" t="b">
        <f t="shared" si="20"/>
        <v>1</v>
      </c>
    </row>
    <row r="590" spans="1:64" x14ac:dyDescent="0.35">
      <c r="A590" t="s">
        <v>1663</v>
      </c>
      <c r="B590" t="s">
        <v>1660</v>
      </c>
      <c r="C590">
        <v>2020</v>
      </c>
      <c r="D590" t="s">
        <v>1661</v>
      </c>
      <c r="E590" t="s">
        <v>1662</v>
      </c>
      <c r="F590" t="s">
        <v>66</v>
      </c>
      <c r="G590" t="s">
        <v>101</v>
      </c>
      <c r="H590" t="s">
        <v>170</v>
      </c>
      <c r="I590" t="s">
        <v>170</v>
      </c>
      <c r="J590" t="s">
        <v>70</v>
      </c>
      <c r="L590">
        <v>4</v>
      </c>
      <c r="M590" t="b">
        <v>0</v>
      </c>
      <c r="N590">
        <v>3</v>
      </c>
      <c r="O590">
        <v>2</v>
      </c>
      <c r="P590">
        <v>4</v>
      </c>
      <c r="Q590">
        <v>2</v>
      </c>
      <c r="R590">
        <v>2</v>
      </c>
      <c r="S590">
        <v>4</v>
      </c>
      <c r="T590">
        <v>12</v>
      </c>
      <c r="U590">
        <v>202</v>
      </c>
      <c r="V590">
        <v>51</v>
      </c>
      <c r="W590">
        <v>10</v>
      </c>
      <c r="X590">
        <v>5.0999999999999996</v>
      </c>
      <c r="Y590">
        <v>4</v>
      </c>
      <c r="Z590">
        <v>107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</v>
      </c>
      <c r="AI590">
        <v>31</v>
      </c>
      <c r="AJ590">
        <v>1</v>
      </c>
      <c r="AK590">
        <v>24</v>
      </c>
      <c r="AL590">
        <v>3</v>
      </c>
      <c r="AM590">
        <v>55</v>
      </c>
      <c r="AN590">
        <v>4</v>
      </c>
      <c r="AO590">
        <v>107</v>
      </c>
      <c r="AP590">
        <v>4</v>
      </c>
      <c r="AQ590">
        <v>107</v>
      </c>
      <c r="AR590">
        <v>0.52970297029702973</v>
      </c>
      <c r="AS590">
        <v>0</v>
      </c>
      <c r="AT590">
        <v>0</v>
      </c>
      <c r="AU590">
        <v>0</v>
      </c>
      <c r="AV590">
        <v>0.15346534653465349</v>
      </c>
      <c r="AW590">
        <v>0.2722772277227723</v>
      </c>
      <c r="AX590">
        <v>0.52970297029702973</v>
      </c>
      <c r="AY590">
        <v>0.52970297029702973</v>
      </c>
      <c r="AZ590">
        <v>0.25742574257425738</v>
      </c>
      <c r="BA590">
        <v>0.5</v>
      </c>
      <c r="BB590">
        <v>0.68333333333333324</v>
      </c>
      <c r="BC590">
        <v>0.26666666666666672</v>
      </c>
      <c r="BD590">
        <v>0.78589108910891081</v>
      </c>
      <c r="BE590">
        <v>4</v>
      </c>
      <c r="BF590">
        <v>0.55897277227722764</v>
      </c>
      <c r="BG590">
        <v>0.57999999999999996</v>
      </c>
      <c r="BH590" t="s">
        <v>71</v>
      </c>
      <c r="BI590">
        <v>0.56000000000000005</v>
      </c>
      <c r="BJ590" t="s">
        <v>71</v>
      </c>
      <c r="BK590" s="2">
        <f t="shared" si="19"/>
        <v>1.9999999999999907E-2</v>
      </c>
      <c r="BL590" t="b">
        <f t="shared" si="20"/>
        <v>1</v>
      </c>
    </row>
    <row r="591" spans="1:64" x14ac:dyDescent="0.35">
      <c r="A591" t="s">
        <v>1664</v>
      </c>
      <c r="B591" t="s">
        <v>1665</v>
      </c>
      <c r="C591">
        <v>2016</v>
      </c>
      <c r="D591" t="s">
        <v>1666</v>
      </c>
      <c r="E591" t="s">
        <v>1667</v>
      </c>
      <c r="F591" t="s">
        <v>66</v>
      </c>
      <c r="G591" t="s">
        <v>101</v>
      </c>
      <c r="H591" t="s">
        <v>170</v>
      </c>
      <c r="I591" t="s">
        <v>784</v>
      </c>
      <c r="J591" t="s">
        <v>70</v>
      </c>
      <c r="L591">
        <v>2</v>
      </c>
      <c r="M591" t="b">
        <v>0</v>
      </c>
      <c r="N591">
        <v>1</v>
      </c>
      <c r="O591">
        <v>1</v>
      </c>
      <c r="P591">
        <v>7</v>
      </c>
      <c r="Q591">
        <v>5</v>
      </c>
      <c r="R591">
        <v>2</v>
      </c>
      <c r="S591">
        <v>4</v>
      </c>
      <c r="T591">
        <v>30</v>
      </c>
      <c r="U591">
        <v>765</v>
      </c>
      <c r="V591">
        <v>111</v>
      </c>
      <c r="W591">
        <v>23</v>
      </c>
      <c r="X591">
        <v>4.8260869565217392</v>
      </c>
      <c r="Y591">
        <v>2</v>
      </c>
      <c r="Z591">
        <v>37</v>
      </c>
      <c r="AA591">
        <v>0</v>
      </c>
      <c r="AB591">
        <v>0</v>
      </c>
      <c r="AC591">
        <v>3</v>
      </c>
      <c r="AD591">
        <v>3</v>
      </c>
      <c r="AE591">
        <v>190</v>
      </c>
      <c r="AF591">
        <v>2</v>
      </c>
      <c r="AG591">
        <v>8</v>
      </c>
      <c r="AH591">
        <v>1</v>
      </c>
      <c r="AI591">
        <v>19</v>
      </c>
      <c r="AJ591">
        <v>1</v>
      </c>
      <c r="AK591">
        <v>19</v>
      </c>
      <c r="AL591">
        <v>2</v>
      </c>
      <c r="AM591">
        <v>38</v>
      </c>
      <c r="AN591">
        <v>4</v>
      </c>
      <c r="AO591">
        <v>45</v>
      </c>
      <c r="AP591">
        <v>5</v>
      </c>
      <c r="AQ591">
        <v>227</v>
      </c>
      <c r="AR591">
        <v>4.8366013071895433E-2</v>
      </c>
      <c r="AS591">
        <v>0</v>
      </c>
      <c r="AT591">
        <v>0.2483660130718954</v>
      </c>
      <c r="AU591">
        <v>1.045751633986928E-2</v>
      </c>
      <c r="AV591">
        <v>2.4836601307189541E-2</v>
      </c>
      <c r="AW591">
        <v>4.9673202614379082E-2</v>
      </c>
      <c r="AX591">
        <v>5.8823529411764712E-2</v>
      </c>
      <c r="AY591">
        <v>0.29673202614379091</v>
      </c>
      <c r="AZ591">
        <v>9.1503267973856231E-3</v>
      </c>
      <c r="BA591">
        <v>0.5</v>
      </c>
      <c r="BB591">
        <v>0.63768115942028991</v>
      </c>
      <c r="BC591">
        <v>0.33333333333333331</v>
      </c>
      <c r="BD591">
        <v>0.63071895424836599</v>
      </c>
      <c r="BE591">
        <v>4</v>
      </c>
      <c r="BF591">
        <v>0.52543336175049726</v>
      </c>
      <c r="BG591">
        <v>0.53</v>
      </c>
      <c r="BH591" t="s">
        <v>71</v>
      </c>
      <c r="BI591">
        <v>0.53</v>
      </c>
      <c r="BJ591" t="s">
        <v>71</v>
      </c>
      <c r="BK591" s="2">
        <f t="shared" si="19"/>
        <v>0</v>
      </c>
      <c r="BL591" t="b">
        <f t="shared" si="20"/>
        <v>1</v>
      </c>
    </row>
    <row r="592" spans="1:64" x14ac:dyDescent="0.35">
      <c r="A592" t="s">
        <v>1668</v>
      </c>
      <c r="B592" t="s">
        <v>1665</v>
      </c>
      <c r="C592">
        <v>2020</v>
      </c>
      <c r="D592" t="s">
        <v>1666</v>
      </c>
      <c r="E592" t="s">
        <v>1667</v>
      </c>
      <c r="F592" t="s">
        <v>66</v>
      </c>
      <c r="G592" t="s">
        <v>101</v>
      </c>
      <c r="H592" t="s">
        <v>170</v>
      </c>
      <c r="I592" t="s">
        <v>784</v>
      </c>
      <c r="J592" t="s">
        <v>70</v>
      </c>
      <c r="L592">
        <v>2</v>
      </c>
      <c r="M592" t="b">
        <v>0</v>
      </c>
      <c r="N592">
        <v>1</v>
      </c>
      <c r="O592">
        <v>2</v>
      </c>
      <c r="P592">
        <v>7</v>
      </c>
      <c r="Q592">
        <v>5</v>
      </c>
      <c r="R592">
        <v>2</v>
      </c>
      <c r="S592">
        <v>5</v>
      </c>
      <c r="T592">
        <v>28</v>
      </c>
      <c r="U592">
        <v>349</v>
      </c>
      <c r="V592">
        <v>124</v>
      </c>
      <c r="W592">
        <v>23</v>
      </c>
      <c r="X592">
        <v>5.3913043478260869</v>
      </c>
      <c r="Y592">
        <v>4</v>
      </c>
      <c r="Z592">
        <v>32</v>
      </c>
      <c r="AA592">
        <v>0</v>
      </c>
      <c r="AB592">
        <v>0</v>
      </c>
      <c r="AC592">
        <v>4</v>
      </c>
      <c r="AD592">
        <v>4</v>
      </c>
      <c r="AE592">
        <v>42</v>
      </c>
      <c r="AF592">
        <v>0</v>
      </c>
      <c r="AG592">
        <v>0</v>
      </c>
      <c r="AH592">
        <v>2</v>
      </c>
      <c r="AI592">
        <v>45</v>
      </c>
      <c r="AJ592">
        <v>2</v>
      </c>
      <c r="AK592">
        <v>25</v>
      </c>
      <c r="AL592">
        <v>4</v>
      </c>
      <c r="AM592">
        <v>70</v>
      </c>
      <c r="AN592">
        <v>4</v>
      </c>
      <c r="AO592">
        <v>32</v>
      </c>
      <c r="AP592">
        <v>8</v>
      </c>
      <c r="AQ592">
        <v>74</v>
      </c>
      <c r="AR592">
        <v>9.1690544412607447E-2</v>
      </c>
      <c r="AS592">
        <v>0</v>
      </c>
      <c r="AT592">
        <v>0.1203438395415473</v>
      </c>
      <c r="AU592">
        <v>0</v>
      </c>
      <c r="AV592">
        <v>0.12893982808022919</v>
      </c>
      <c r="AW592">
        <v>0.20057306590257881</v>
      </c>
      <c r="AX592">
        <v>9.1690544412607447E-2</v>
      </c>
      <c r="AY592">
        <v>0.21203438395415469</v>
      </c>
      <c r="AZ592">
        <v>-0.1088825214899713</v>
      </c>
      <c r="BA592">
        <v>0.66666666666666663</v>
      </c>
      <c r="BB592">
        <v>0.73188405797101452</v>
      </c>
      <c r="BC592">
        <v>0.53333333333333333</v>
      </c>
      <c r="BD592">
        <v>0.55694842406876788</v>
      </c>
      <c r="BE592">
        <v>4</v>
      </c>
      <c r="BF592">
        <v>0.62220812050994556</v>
      </c>
      <c r="BG592">
        <v>0.64</v>
      </c>
      <c r="BH592" t="s">
        <v>86</v>
      </c>
      <c r="BI592">
        <v>0.62</v>
      </c>
      <c r="BJ592" t="s">
        <v>86</v>
      </c>
      <c r="BK592" s="2">
        <f t="shared" si="19"/>
        <v>2.0000000000000018E-2</v>
      </c>
      <c r="BL592" t="b">
        <f t="shared" si="20"/>
        <v>1</v>
      </c>
    </row>
    <row r="593" spans="1:64" x14ac:dyDescent="0.35">
      <c r="A593" t="s">
        <v>1669</v>
      </c>
      <c r="B593" t="s">
        <v>1670</v>
      </c>
      <c r="C593">
        <v>2015</v>
      </c>
      <c r="D593" t="s">
        <v>1671</v>
      </c>
      <c r="E593" t="s">
        <v>1672</v>
      </c>
      <c r="F593" t="s">
        <v>66</v>
      </c>
      <c r="G593" t="s">
        <v>101</v>
      </c>
      <c r="H593" t="s">
        <v>170</v>
      </c>
      <c r="I593" t="s">
        <v>1673</v>
      </c>
      <c r="J593" t="s">
        <v>70</v>
      </c>
      <c r="L593">
        <v>5</v>
      </c>
      <c r="M593" t="b">
        <v>0</v>
      </c>
      <c r="N593">
        <v>1</v>
      </c>
      <c r="O593">
        <v>3</v>
      </c>
      <c r="P593">
        <v>12</v>
      </c>
      <c r="Q593">
        <v>3</v>
      </c>
      <c r="R593">
        <v>9</v>
      </c>
      <c r="S593">
        <v>6</v>
      </c>
      <c r="T593">
        <v>38</v>
      </c>
      <c r="U593">
        <v>651</v>
      </c>
      <c r="V593">
        <v>184</v>
      </c>
      <c r="W593">
        <v>30</v>
      </c>
      <c r="X593">
        <v>6.1333333333333337</v>
      </c>
      <c r="Y593">
        <v>4</v>
      </c>
      <c r="Z593">
        <v>43</v>
      </c>
      <c r="AA593">
        <v>2</v>
      </c>
      <c r="AB593">
        <v>13</v>
      </c>
      <c r="AC593">
        <v>1</v>
      </c>
      <c r="AD593">
        <v>1</v>
      </c>
      <c r="AE593">
        <v>5</v>
      </c>
      <c r="AF593">
        <v>3</v>
      </c>
      <c r="AG593">
        <v>20</v>
      </c>
      <c r="AH593">
        <v>1</v>
      </c>
      <c r="AI593">
        <v>8</v>
      </c>
      <c r="AJ593">
        <v>0</v>
      </c>
      <c r="AK593">
        <v>0</v>
      </c>
      <c r="AL593">
        <v>1</v>
      </c>
      <c r="AM593">
        <v>8</v>
      </c>
      <c r="AN593">
        <v>9</v>
      </c>
      <c r="AO593">
        <v>76</v>
      </c>
      <c r="AP593">
        <v>7</v>
      </c>
      <c r="AQ593">
        <v>61</v>
      </c>
      <c r="AR593">
        <v>6.6052227342549924E-2</v>
      </c>
      <c r="AS593">
        <v>1.9969278033794158E-2</v>
      </c>
      <c r="AT593">
        <v>7.6804915514592934E-3</v>
      </c>
      <c r="AU593">
        <v>3.072196620583717E-2</v>
      </c>
      <c r="AV593">
        <v>1.2288786482334869E-2</v>
      </c>
      <c r="AW593">
        <v>1.2288786482334869E-2</v>
      </c>
      <c r="AX593">
        <v>0.1167434715821813</v>
      </c>
      <c r="AY593">
        <v>9.3701996927803385E-2</v>
      </c>
      <c r="AZ593">
        <v>0.1044546850998464</v>
      </c>
      <c r="BA593">
        <v>0.83333333333333337</v>
      </c>
      <c r="BB593">
        <v>0.85555555555555562</v>
      </c>
      <c r="BC593">
        <v>0.46666666666666667</v>
      </c>
      <c r="BD593">
        <v>0.69028417818740395</v>
      </c>
      <c r="BE593">
        <v>4</v>
      </c>
      <c r="BF593">
        <v>0.71145993343573988</v>
      </c>
      <c r="BG593">
        <v>0.71</v>
      </c>
      <c r="BH593" t="s">
        <v>86</v>
      </c>
      <c r="BI593">
        <v>0.71</v>
      </c>
      <c r="BJ593" t="s">
        <v>86</v>
      </c>
      <c r="BK593" s="2">
        <f t="shared" si="19"/>
        <v>0</v>
      </c>
      <c r="BL593" t="b">
        <f t="shared" si="20"/>
        <v>1</v>
      </c>
    </row>
    <row r="594" spans="1:64" x14ac:dyDescent="0.35">
      <c r="A594" t="s">
        <v>1674</v>
      </c>
      <c r="B594" t="s">
        <v>1675</v>
      </c>
      <c r="C594">
        <v>2014</v>
      </c>
      <c r="D594" t="s">
        <v>1676</v>
      </c>
      <c r="E594" t="s">
        <v>1677</v>
      </c>
      <c r="F594" t="s">
        <v>66</v>
      </c>
      <c r="G594" t="s">
        <v>101</v>
      </c>
      <c r="H594" t="s">
        <v>162</v>
      </c>
      <c r="I594" t="s">
        <v>162</v>
      </c>
      <c r="J594" t="s">
        <v>70</v>
      </c>
      <c r="L594">
        <v>4</v>
      </c>
      <c r="M594" t="b">
        <v>0</v>
      </c>
      <c r="N594">
        <v>1</v>
      </c>
      <c r="O594">
        <v>1</v>
      </c>
      <c r="P594">
        <v>4</v>
      </c>
      <c r="Q594">
        <v>2</v>
      </c>
      <c r="R594">
        <v>2</v>
      </c>
      <c r="S594">
        <v>4</v>
      </c>
      <c r="T594">
        <v>19</v>
      </c>
      <c r="U594">
        <v>142</v>
      </c>
      <c r="V594">
        <v>71</v>
      </c>
      <c r="W594">
        <v>15</v>
      </c>
      <c r="X594">
        <v>4.7333333333333334</v>
      </c>
      <c r="Y594">
        <v>4</v>
      </c>
      <c r="Z594">
        <v>4</v>
      </c>
      <c r="AA594">
        <v>0</v>
      </c>
      <c r="AB594">
        <v>0</v>
      </c>
      <c r="AC594">
        <v>2</v>
      </c>
      <c r="AD594">
        <v>2</v>
      </c>
      <c r="AE594">
        <v>14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4</v>
      </c>
      <c r="AO594">
        <v>4</v>
      </c>
      <c r="AP594">
        <v>6</v>
      </c>
      <c r="AQ594">
        <v>18</v>
      </c>
      <c r="AR594">
        <v>2.8169014084507039E-2</v>
      </c>
      <c r="AS594">
        <v>0</v>
      </c>
      <c r="AT594">
        <v>9.8591549295774641E-2</v>
      </c>
      <c r="AU594">
        <v>0</v>
      </c>
      <c r="AV594">
        <v>0</v>
      </c>
      <c r="AW594">
        <v>0</v>
      </c>
      <c r="AX594">
        <v>2.8169014084507039E-2</v>
      </c>
      <c r="AY594">
        <v>0.12676056338028169</v>
      </c>
      <c r="AZ594">
        <v>2.8169014084507039E-2</v>
      </c>
      <c r="BA594">
        <v>0.5</v>
      </c>
      <c r="BB594">
        <v>0.62222222222222223</v>
      </c>
      <c r="BC594">
        <v>0.4</v>
      </c>
      <c r="BD594">
        <v>0.64260563380281688</v>
      </c>
      <c r="BE594">
        <v>4</v>
      </c>
      <c r="BF594">
        <v>0.54120696400625978</v>
      </c>
      <c r="BG594">
        <v>0.54</v>
      </c>
      <c r="BH594" t="s">
        <v>71</v>
      </c>
      <c r="BI594">
        <v>0.54</v>
      </c>
      <c r="BJ594" t="s">
        <v>71</v>
      </c>
      <c r="BK594" s="2">
        <f t="shared" si="19"/>
        <v>0</v>
      </c>
      <c r="BL594" t="b">
        <f t="shared" si="20"/>
        <v>1</v>
      </c>
    </row>
    <row r="595" spans="1:64" x14ac:dyDescent="0.35">
      <c r="A595" t="s">
        <v>1678</v>
      </c>
      <c r="B595" t="s">
        <v>1675</v>
      </c>
      <c r="C595">
        <v>2015</v>
      </c>
      <c r="D595" t="s">
        <v>1676</v>
      </c>
      <c r="E595" t="s">
        <v>1677</v>
      </c>
      <c r="F595" t="s">
        <v>66</v>
      </c>
      <c r="G595" t="s">
        <v>101</v>
      </c>
      <c r="H595" t="s">
        <v>162</v>
      </c>
      <c r="I595" t="s">
        <v>162</v>
      </c>
      <c r="J595" t="s">
        <v>70</v>
      </c>
      <c r="L595">
        <v>4</v>
      </c>
      <c r="M595" t="b">
        <v>0</v>
      </c>
      <c r="N595">
        <v>2</v>
      </c>
      <c r="O595">
        <v>3</v>
      </c>
      <c r="P595">
        <v>8</v>
      </c>
      <c r="Q595">
        <v>3</v>
      </c>
      <c r="R595">
        <v>5</v>
      </c>
      <c r="S595">
        <v>5</v>
      </c>
      <c r="T595">
        <v>27</v>
      </c>
      <c r="U595">
        <v>583</v>
      </c>
      <c r="V595">
        <v>127</v>
      </c>
      <c r="W595">
        <v>23</v>
      </c>
      <c r="X595">
        <v>5.5217391304347823</v>
      </c>
      <c r="Y595">
        <v>4</v>
      </c>
      <c r="Z595">
        <v>62</v>
      </c>
      <c r="AA595">
        <v>1</v>
      </c>
      <c r="AB595">
        <v>14</v>
      </c>
      <c r="AC595">
        <v>2</v>
      </c>
      <c r="AD595">
        <v>2</v>
      </c>
      <c r="AE595">
        <v>28</v>
      </c>
      <c r="AF595">
        <v>1</v>
      </c>
      <c r="AG595">
        <v>35</v>
      </c>
      <c r="AH595">
        <v>1</v>
      </c>
      <c r="AI595">
        <v>8</v>
      </c>
      <c r="AJ595">
        <v>1</v>
      </c>
      <c r="AK595">
        <v>2</v>
      </c>
      <c r="AL595">
        <v>2</v>
      </c>
      <c r="AM595">
        <v>10</v>
      </c>
      <c r="AN595">
        <v>6</v>
      </c>
      <c r="AO595">
        <v>111</v>
      </c>
      <c r="AP595">
        <v>7</v>
      </c>
      <c r="AQ595">
        <v>104</v>
      </c>
      <c r="AR595">
        <v>0.10634648370497431</v>
      </c>
      <c r="AS595">
        <v>2.4013722126929669E-2</v>
      </c>
      <c r="AT595">
        <v>4.8027444253859353E-2</v>
      </c>
      <c r="AU595">
        <v>6.0034305317324177E-2</v>
      </c>
      <c r="AV595">
        <v>1.3722126929674099E-2</v>
      </c>
      <c r="AW595">
        <v>1.7152658662092621E-2</v>
      </c>
      <c r="AX595">
        <v>0.19039451114922809</v>
      </c>
      <c r="AY595">
        <v>0.17838765008576329</v>
      </c>
      <c r="AZ595">
        <v>0.1732418524871355</v>
      </c>
      <c r="BA595">
        <v>0.66666666666666663</v>
      </c>
      <c r="BB595">
        <v>0.75362318840579701</v>
      </c>
      <c r="BC595">
        <v>0.46666666666666667</v>
      </c>
      <c r="BD595">
        <v>0.73327615780445965</v>
      </c>
      <c r="BE595">
        <v>4</v>
      </c>
      <c r="BF595">
        <v>0.65505816988589749</v>
      </c>
      <c r="BG595">
        <v>0.66</v>
      </c>
      <c r="BH595" t="s">
        <v>86</v>
      </c>
      <c r="BI595">
        <v>0.66</v>
      </c>
      <c r="BJ595" t="s">
        <v>86</v>
      </c>
      <c r="BK595" s="2">
        <f t="shared" si="19"/>
        <v>0</v>
      </c>
      <c r="BL595" t="b">
        <f t="shared" si="20"/>
        <v>1</v>
      </c>
    </row>
    <row r="596" spans="1:64" x14ac:dyDescent="0.35">
      <c r="A596" t="s">
        <v>1679</v>
      </c>
      <c r="B596" t="s">
        <v>1675</v>
      </c>
      <c r="C596">
        <v>2016</v>
      </c>
      <c r="D596" t="s">
        <v>1676</v>
      </c>
      <c r="E596" t="s">
        <v>1677</v>
      </c>
      <c r="F596" t="s">
        <v>66</v>
      </c>
      <c r="G596" t="s">
        <v>101</v>
      </c>
      <c r="H596" t="s">
        <v>162</v>
      </c>
      <c r="I596" t="s">
        <v>162</v>
      </c>
      <c r="J596" t="s">
        <v>70</v>
      </c>
      <c r="L596">
        <v>4</v>
      </c>
      <c r="M596" t="b">
        <v>0</v>
      </c>
      <c r="N596">
        <v>1</v>
      </c>
      <c r="O596">
        <v>2</v>
      </c>
      <c r="P596">
        <v>6</v>
      </c>
      <c r="Q596">
        <v>0</v>
      </c>
      <c r="R596">
        <v>6</v>
      </c>
      <c r="S596">
        <v>6</v>
      </c>
      <c r="T596">
        <v>20</v>
      </c>
      <c r="U596">
        <v>288</v>
      </c>
      <c r="V596">
        <v>101</v>
      </c>
      <c r="W596">
        <v>17</v>
      </c>
      <c r="X596">
        <v>5.9411764705882364</v>
      </c>
      <c r="Y596">
        <v>3</v>
      </c>
      <c r="Z596">
        <v>32</v>
      </c>
      <c r="AA596">
        <v>2</v>
      </c>
      <c r="AB596">
        <v>48</v>
      </c>
      <c r="AC596">
        <v>2</v>
      </c>
      <c r="AD596">
        <v>2</v>
      </c>
      <c r="AE596">
        <v>39</v>
      </c>
      <c r="AF596">
        <v>1</v>
      </c>
      <c r="AG596">
        <v>11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6</v>
      </c>
      <c r="AO596">
        <v>91</v>
      </c>
      <c r="AP596">
        <v>7</v>
      </c>
      <c r="AQ596">
        <v>119</v>
      </c>
      <c r="AR596">
        <v>0.1111111111111111</v>
      </c>
      <c r="AS596">
        <v>0.16666666666666671</v>
      </c>
      <c r="AT596">
        <v>0.13541666666666671</v>
      </c>
      <c r="AU596">
        <v>3.8194444444444448E-2</v>
      </c>
      <c r="AV596">
        <v>0</v>
      </c>
      <c r="AW596">
        <v>0</v>
      </c>
      <c r="AX596">
        <v>0.31597222222222221</v>
      </c>
      <c r="AY596">
        <v>0.41319444444444442</v>
      </c>
      <c r="AZ596">
        <v>0.31597222222222221</v>
      </c>
      <c r="BA596">
        <v>0.83333333333333337</v>
      </c>
      <c r="BB596">
        <v>0.82352941176470607</v>
      </c>
      <c r="BC596">
        <v>0.46666666666666667</v>
      </c>
      <c r="BD596">
        <v>0.82248263888888895</v>
      </c>
      <c r="BE596">
        <v>4</v>
      </c>
      <c r="BF596">
        <v>0.73650301266339879</v>
      </c>
      <c r="BG596">
        <v>0.73</v>
      </c>
      <c r="BH596" t="s">
        <v>86</v>
      </c>
      <c r="BI596">
        <v>0.74</v>
      </c>
      <c r="BJ596" t="s">
        <v>86</v>
      </c>
      <c r="BK596" s="2">
        <f t="shared" si="19"/>
        <v>-1.0000000000000009E-2</v>
      </c>
      <c r="BL596" t="b">
        <f t="shared" si="20"/>
        <v>1</v>
      </c>
    </row>
    <row r="597" spans="1:64" x14ac:dyDescent="0.35">
      <c r="A597" t="s">
        <v>1680</v>
      </c>
      <c r="B597" t="s">
        <v>1681</v>
      </c>
      <c r="C597">
        <v>2014</v>
      </c>
      <c r="D597" t="s">
        <v>1682</v>
      </c>
      <c r="E597" t="s">
        <v>1683</v>
      </c>
      <c r="F597" t="s">
        <v>66</v>
      </c>
      <c r="G597" t="s">
        <v>101</v>
      </c>
      <c r="H597" t="s">
        <v>129</v>
      </c>
      <c r="I597" t="s">
        <v>129</v>
      </c>
      <c r="J597" t="s">
        <v>70</v>
      </c>
      <c r="L597">
        <v>4</v>
      </c>
      <c r="M597" t="b">
        <v>0</v>
      </c>
      <c r="N597">
        <v>4</v>
      </c>
      <c r="O597">
        <v>1</v>
      </c>
      <c r="P597">
        <v>1</v>
      </c>
      <c r="Q597">
        <v>2</v>
      </c>
      <c r="R597">
        <v>-1</v>
      </c>
      <c r="S597">
        <v>3</v>
      </c>
      <c r="T597">
        <v>9</v>
      </c>
      <c r="U597">
        <v>100</v>
      </c>
      <c r="V597">
        <v>27</v>
      </c>
      <c r="W597">
        <v>8</v>
      </c>
      <c r="X597">
        <v>3.375</v>
      </c>
      <c r="Y597">
        <v>1</v>
      </c>
      <c r="Z597">
        <v>1</v>
      </c>
      <c r="AA597">
        <v>0</v>
      </c>
      <c r="AB597">
        <v>0</v>
      </c>
      <c r="AC597">
        <v>1</v>
      </c>
      <c r="AD597">
        <v>1</v>
      </c>
      <c r="AE597">
        <v>16</v>
      </c>
      <c r="AF597">
        <v>0</v>
      </c>
      <c r="AG597">
        <v>0</v>
      </c>
      <c r="AH597">
        <v>1</v>
      </c>
      <c r="AI597">
        <v>1</v>
      </c>
      <c r="AJ597">
        <v>0</v>
      </c>
      <c r="AK597">
        <v>0</v>
      </c>
      <c r="AL597">
        <v>1</v>
      </c>
      <c r="AM597">
        <v>1</v>
      </c>
      <c r="AN597">
        <v>1</v>
      </c>
      <c r="AO597">
        <v>1</v>
      </c>
      <c r="AP597">
        <v>2</v>
      </c>
      <c r="AQ597">
        <v>17</v>
      </c>
      <c r="AR597">
        <v>0.01</v>
      </c>
      <c r="AS597">
        <v>0</v>
      </c>
      <c r="AT597">
        <v>0.16</v>
      </c>
      <c r="AU597">
        <v>0</v>
      </c>
      <c r="AV597">
        <v>0.01</v>
      </c>
      <c r="AW597">
        <v>0.01</v>
      </c>
      <c r="AX597">
        <v>0.01</v>
      </c>
      <c r="AY597">
        <v>0.17</v>
      </c>
      <c r="AZ597">
        <v>0</v>
      </c>
      <c r="BA597">
        <v>0.33333333333333331</v>
      </c>
      <c r="BB597">
        <v>0.39583333333333331</v>
      </c>
      <c r="BC597">
        <v>0.1333333333333333</v>
      </c>
      <c r="BD597">
        <v>0.625</v>
      </c>
      <c r="BE597">
        <v>4</v>
      </c>
      <c r="BF597">
        <v>0.37187500000000001</v>
      </c>
      <c r="BG597">
        <v>0.37</v>
      </c>
      <c r="BH597" t="s">
        <v>104</v>
      </c>
      <c r="BI597">
        <v>0.37</v>
      </c>
      <c r="BJ597" t="s">
        <v>104</v>
      </c>
      <c r="BK597" s="2">
        <f t="shared" si="19"/>
        <v>0</v>
      </c>
      <c r="BL597" t="b">
        <f t="shared" si="20"/>
        <v>1</v>
      </c>
    </row>
    <row r="598" spans="1:64" x14ac:dyDescent="0.35">
      <c r="A598" t="s">
        <v>1684</v>
      </c>
      <c r="B598" t="s">
        <v>1681</v>
      </c>
      <c r="C598">
        <v>2015</v>
      </c>
      <c r="D598" t="s">
        <v>1682</v>
      </c>
      <c r="E598" t="s">
        <v>1683</v>
      </c>
      <c r="F598" t="s">
        <v>66</v>
      </c>
      <c r="G598" t="s">
        <v>101</v>
      </c>
      <c r="H598" t="s">
        <v>129</v>
      </c>
      <c r="I598" t="s">
        <v>129</v>
      </c>
      <c r="J598" t="s">
        <v>70</v>
      </c>
      <c r="L598">
        <v>4</v>
      </c>
      <c r="M598" t="b">
        <v>0</v>
      </c>
      <c r="N598">
        <v>1</v>
      </c>
      <c r="O598">
        <v>1</v>
      </c>
      <c r="P598">
        <v>1</v>
      </c>
      <c r="Q598">
        <v>1</v>
      </c>
      <c r="R598">
        <v>0</v>
      </c>
      <c r="S598">
        <v>4</v>
      </c>
      <c r="T598">
        <v>8</v>
      </c>
      <c r="U598">
        <v>109</v>
      </c>
      <c r="V598">
        <v>22</v>
      </c>
      <c r="W598">
        <v>6</v>
      </c>
      <c r="X598">
        <v>3.666666666666667</v>
      </c>
      <c r="Y598">
        <v>0</v>
      </c>
      <c r="Z598">
        <v>0</v>
      </c>
      <c r="AA598">
        <v>0</v>
      </c>
      <c r="AB598">
        <v>0</v>
      </c>
      <c r="AC598">
        <v>2</v>
      </c>
      <c r="AD598">
        <v>2</v>
      </c>
      <c r="AE598">
        <v>25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2</v>
      </c>
      <c r="AQ598">
        <v>25</v>
      </c>
      <c r="AR598">
        <v>0</v>
      </c>
      <c r="AS598">
        <v>0</v>
      </c>
      <c r="AT598">
        <v>0.2293577981651376</v>
      </c>
      <c r="AU598">
        <v>0</v>
      </c>
      <c r="AV598">
        <v>0</v>
      </c>
      <c r="AW598">
        <v>0</v>
      </c>
      <c r="AX598">
        <v>0</v>
      </c>
      <c r="AY598">
        <v>0.2293577981651376</v>
      </c>
      <c r="AZ598">
        <v>0</v>
      </c>
      <c r="BA598">
        <v>0.5</v>
      </c>
      <c r="BB598">
        <v>0.44444444444444448</v>
      </c>
      <c r="BC598">
        <v>0.1333333333333333</v>
      </c>
      <c r="BD598">
        <v>0.625</v>
      </c>
      <c r="BE598">
        <v>4</v>
      </c>
      <c r="BF598">
        <v>0.42569444444444438</v>
      </c>
      <c r="BG598">
        <v>0.43</v>
      </c>
      <c r="BH598" t="s">
        <v>71</v>
      </c>
      <c r="BI598">
        <v>0.43</v>
      </c>
      <c r="BJ598" t="s">
        <v>71</v>
      </c>
      <c r="BK598" s="2">
        <f t="shared" si="19"/>
        <v>0</v>
      </c>
      <c r="BL598" t="b">
        <f t="shared" si="20"/>
        <v>1</v>
      </c>
    </row>
    <row r="599" spans="1:64" x14ac:dyDescent="0.35">
      <c r="A599" t="s">
        <v>1685</v>
      </c>
      <c r="B599" t="s">
        <v>1686</v>
      </c>
      <c r="C599">
        <v>2015</v>
      </c>
      <c r="D599" t="s">
        <v>1687</v>
      </c>
      <c r="E599" t="s">
        <v>1688</v>
      </c>
      <c r="F599" t="s">
        <v>66</v>
      </c>
      <c r="G599" t="s">
        <v>101</v>
      </c>
      <c r="H599" t="s">
        <v>162</v>
      </c>
      <c r="I599" t="s">
        <v>1689</v>
      </c>
      <c r="J599" t="s">
        <v>70</v>
      </c>
      <c r="L599">
        <v>3</v>
      </c>
      <c r="M599" t="b">
        <v>0</v>
      </c>
      <c r="N599">
        <v>2</v>
      </c>
      <c r="O599">
        <v>4</v>
      </c>
      <c r="P599">
        <v>6</v>
      </c>
      <c r="Q599">
        <v>1</v>
      </c>
      <c r="R599">
        <v>5</v>
      </c>
      <c r="S599">
        <v>5</v>
      </c>
      <c r="T599">
        <v>21</v>
      </c>
      <c r="U599">
        <v>1177</v>
      </c>
      <c r="V599">
        <v>88</v>
      </c>
      <c r="W599">
        <v>16</v>
      </c>
      <c r="X599">
        <v>5.5</v>
      </c>
      <c r="Y599">
        <v>2</v>
      </c>
      <c r="Z599">
        <v>52</v>
      </c>
      <c r="AA599">
        <v>2</v>
      </c>
      <c r="AB599">
        <v>30</v>
      </c>
      <c r="AC599">
        <v>3</v>
      </c>
      <c r="AD599">
        <v>3</v>
      </c>
      <c r="AE599">
        <v>63</v>
      </c>
      <c r="AF599">
        <v>1</v>
      </c>
      <c r="AG599">
        <v>14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5</v>
      </c>
      <c r="AO599">
        <v>96</v>
      </c>
      <c r="AP599">
        <v>7</v>
      </c>
      <c r="AQ599">
        <v>145</v>
      </c>
      <c r="AR599">
        <v>4.4180118946474077E-2</v>
      </c>
      <c r="AS599">
        <v>2.548853016142736E-2</v>
      </c>
      <c r="AT599">
        <v>5.352591333899745E-2</v>
      </c>
      <c r="AU599">
        <v>1.18946474086661E-2</v>
      </c>
      <c r="AV599">
        <v>0</v>
      </c>
      <c r="AW599">
        <v>0</v>
      </c>
      <c r="AX599">
        <v>8.1563296516567546E-2</v>
      </c>
      <c r="AY599">
        <v>0.1231945624468989</v>
      </c>
      <c r="AZ599">
        <v>8.1563296516567546E-2</v>
      </c>
      <c r="BA599">
        <v>0.66666666666666663</v>
      </c>
      <c r="BB599">
        <v>0.75</v>
      </c>
      <c r="BC599">
        <v>0.46666666666666667</v>
      </c>
      <c r="BD599">
        <v>0.67597706032285465</v>
      </c>
      <c r="BE599">
        <v>4</v>
      </c>
      <c r="BF599">
        <v>0.63982759841404702</v>
      </c>
      <c r="BG599">
        <v>0.64</v>
      </c>
      <c r="BH599" t="s">
        <v>86</v>
      </c>
      <c r="BI599">
        <v>0.64</v>
      </c>
      <c r="BJ599" t="s">
        <v>86</v>
      </c>
      <c r="BK599" s="2">
        <f t="shared" si="19"/>
        <v>0</v>
      </c>
      <c r="BL599" t="b">
        <f t="shared" si="20"/>
        <v>1</v>
      </c>
    </row>
    <row r="600" spans="1:64" x14ac:dyDescent="0.35">
      <c r="A600" t="s">
        <v>1690</v>
      </c>
      <c r="B600" t="s">
        <v>1686</v>
      </c>
      <c r="C600">
        <v>2019</v>
      </c>
      <c r="D600" t="s">
        <v>1687</v>
      </c>
      <c r="E600" t="s">
        <v>1688</v>
      </c>
      <c r="F600" t="s">
        <v>66</v>
      </c>
      <c r="G600" t="s">
        <v>101</v>
      </c>
      <c r="H600" t="s">
        <v>162</v>
      </c>
      <c r="I600" t="s">
        <v>1689</v>
      </c>
      <c r="J600" t="s">
        <v>70</v>
      </c>
      <c r="L600">
        <v>3</v>
      </c>
      <c r="M600" t="b">
        <v>0</v>
      </c>
      <c r="N600">
        <v>1</v>
      </c>
      <c r="O600">
        <v>1</v>
      </c>
      <c r="P600">
        <v>8</v>
      </c>
      <c r="Q600">
        <v>4</v>
      </c>
      <c r="R600">
        <v>4</v>
      </c>
      <c r="S600">
        <v>5</v>
      </c>
      <c r="T600">
        <v>39</v>
      </c>
      <c r="U600">
        <v>5809</v>
      </c>
      <c r="V600">
        <v>144</v>
      </c>
      <c r="W600">
        <v>25</v>
      </c>
      <c r="X600">
        <v>5.76</v>
      </c>
      <c r="Y600">
        <v>2</v>
      </c>
      <c r="Z600">
        <v>576</v>
      </c>
      <c r="AA600">
        <v>1</v>
      </c>
      <c r="AB600">
        <v>108</v>
      </c>
      <c r="AC600">
        <v>3</v>
      </c>
      <c r="AD600">
        <v>3</v>
      </c>
      <c r="AE600">
        <v>1924</v>
      </c>
      <c r="AF600">
        <v>1</v>
      </c>
      <c r="AG600">
        <v>6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4</v>
      </c>
      <c r="AO600">
        <v>690</v>
      </c>
      <c r="AP600">
        <v>6</v>
      </c>
      <c r="AQ600">
        <v>2608</v>
      </c>
      <c r="AR600">
        <v>9.9156481322086418E-2</v>
      </c>
      <c r="AS600">
        <v>1.8591840247891199E-2</v>
      </c>
      <c r="AT600">
        <v>0.33121019108280247</v>
      </c>
      <c r="AU600">
        <v>1.032880013771733E-3</v>
      </c>
      <c r="AV600">
        <v>0</v>
      </c>
      <c r="AW600">
        <v>0</v>
      </c>
      <c r="AX600">
        <v>0.1187812015837494</v>
      </c>
      <c r="AY600">
        <v>0.4489585126527802</v>
      </c>
      <c r="AZ600">
        <v>0.1187812015837494</v>
      </c>
      <c r="BA600">
        <v>0.66666666666666663</v>
      </c>
      <c r="BB600">
        <v>0.79333333333333333</v>
      </c>
      <c r="BC600">
        <v>0.4</v>
      </c>
      <c r="BD600">
        <v>0.69923825098984338</v>
      </c>
      <c r="BE600">
        <v>4</v>
      </c>
      <c r="BF600">
        <v>0.63980956274746081</v>
      </c>
      <c r="BG600">
        <v>0.64</v>
      </c>
      <c r="BH600" t="s">
        <v>86</v>
      </c>
      <c r="BI600">
        <v>0.64</v>
      </c>
      <c r="BJ600" t="s">
        <v>86</v>
      </c>
      <c r="BK600" s="2">
        <f t="shared" si="19"/>
        <v>0</v>
      </c>
      <c r="BL600" t="b">
        <f t="shared" si="20"/>
        <v>1</v>
      </c>
    </row>
    <row r="601" spans="1:64" x14ac:dyDescent="0.35">
      <c r="A601" t="s">
        <v>1691</v>
      </c>
      <c r="B601" t="s">
        <v>1692</v>
      </c>
      <c r="C601">
        <v>2016</v>
      </c>
      <c r="D601" t="s">
        <v>1693</v>
      </c>
      <c r="E601" t="s">
        <v>1694</v>
      </c>
      <c r="F601" t="s">
        <v>66</v>
      </c>
      <c r="G601" t="s">
        <v>101</v>
      </c>
      <c r="H601" t="s">
        <v>424</v>
      </c>
      <c r="I601" t="s">
        <v>1695</v>
      </c>
      <c r="J601" t="s">
        <v>70</v>
      </c>
      <c r="L601">
        <v>1</v>
      </c>
      <c r="M601" t="b">
        <v>0</v>
      </c>
      <c r="N601">
        <v>3</v>
      </c>
      <c r="O601">
        <v>1</v>
      </c>
      <c r="P601">
        <v>2</v>
      </c>
      <c r="Q601">
        <v>4</v>
      </c>
      <c r="R601">
        <v>-2</v>
      </c>
      <c r="S601">
        <v>3</v>
      </c>
      <c r="T601">
        <v>9</v>
      </c>
      <c r="U601">
        <v>428</v>
      </c>
      <c r="V601">
        <v>25</v>
      </c>
      <c r="W601">
        <v>8</v>
      </c>
      <c r="X601">
        <v>3.125</v>
      </c>
      <c r="Y601">
        <v>2</v>
      </c>
      <c r="Z601">
        <v>45</v>
      </c>
      <c r="AA601">
        <v>0</v>
      </c>
      <c r="AB601">
        <v>0</v>
      </c>
      <c r="AC601">
        <v>1</v>
      </c>
      <c r="AD601">
        <v>1</v>
      </c>
      <c r="AE601">
        <v>25</v>
      </c>
      <c r="AF601">
        <v>0</v>
      </c>
      <c r="AG601">
        <v>0</v>
      </c>
      <c r="AH601">
        <v>2</v>
      </c>
      <c r="AI601">
        <v>161</v>
      </c>
      <c r="AJ601">
        <v>2</v>
      </c>
      <c r="AK601">
        <v>51</v>
      </c>
      <c r="AL601">
        <v>4</v>
      </c>
      <c r="AM601">
        <v>212</v>
      </c>
      <c r="AN601">
        <v>2</v>
      </c>
      <c r="AO601">
        <v>45</v>
      </c>
      <c r="AP601">
        <v>3</v>
      </c>
      <c r="AQ601">
        <v>70</v>
      </c>
      <c r="AR601">
        <v>0.10514018691588781</v>
      </c>
      <c r="AS601">
        <v>0</v>
      </c>
      <c r="AT601">
        <v>5.8411214953271028E-2</v>
      </c>
      <c r="AU601">
        <v>0</v>
      </c>
      <c r="AV601">
        <v>0.37616822429906538</v>
      </c>
      <c r="AW601">
        <v>0.49532710280373832</v>
      </c>
      <c r="AX601">
        <v>0.10514018691588781</v>
      </c>
      <c r="AY601">
        <v>0.1635514018691589</v>
      </c>
      <c r="AZ601">
        <v>-0.39018691588785048</v>
      </c>
      <c r="BA601">
        <v>0.33333333333333331</v>
      </c>
      <c r="BB601">
        <v>0.35416666666666669</v>
      </c>
      <c r="BC601">
        <v>0.2</v>
      </c>
      <c r="BD601">
        <v>0.38113317757009341</v>
      </c>
      <c r="BE601">
        <v>4</v>
      </c>
      <c r="BF601">
        <v>0.31715829439252341</v>
      </c>
      <c r="BG601">
        <v>0.38</v>
      </c>
      <c r="BH601" t="s">
        <v>104</v>
      </c>
      <c r="BI601">
        <v>0.32</v>
      </c>
      <c r="BJ601" t="s">
        <v>104</v>
      </c>
      <c r="BK601" s="2">
        <f t="shared" si="19"/>
        <v>0.06</v>
      </c>
      <c r="BL601" t="b">
        <f t="shared" si="20"/>
        <v>1</v>
      </c>
    </row>
    <row r="602" spans="1:64" x14ac:dyDescent="0.35">
      <c r="A602" t="s">
        <v>1696</v>
      </c>
      <c r="B602" t="s">
        <v>1692</v>
      </c>
      <c r="C602">
        <v>2019</v>
      </c>
      <c r="D602" t="s">
        <v>1693</v>
      </c>
      <c r="E602" t="s">
        <v>1694</v>
      </c>
      <c r="F602" t="s">
        <v>66</v>
      </c>
      <c r="G602" t="s">
        <v>101</v>
      </c>
      <c r="H602" t="s">
        <v>424</v>
      </c>
      <c r="I602" t="s">
        <v>1695</v>
      </c>
      <c r="J602" t="s">
        <v>70</v>
      </c>
      <c r="L602">
        <v>1</v>
      </c>
      <c r="M602" t="b">
        <v>0</v>
      </c>
      <c r="N602">
        <v>1</v>
      </c>
      <c r="O602">
        <v>1</v>
      </c>
      <c r="P602">
        <v>7</v>
      </c>
      <c r="Q602">
        <v>4</v>
      </c>
      <c r="R602">
        <v>3</v>
      </c>
      <c r="S602">
        <v>4</v>
      </c>
      <c r="T602">
        <v>32</v>
      </c>
      <c r="U602">
        <v>736</v>
      </c>
      <c r="V602">
        <v>119</v>
      </c>
      <c r="W602">
        <v>24</v>
      </c>
      <c r="X602">
        <v>4.958333333333333</v>
      </c>
      <c r="Y602">
        <v>3</v>
      </c>
      <c r="Z602">
        <v>99</v>
      </c>
      <c r="AA602">
        <v>0</v>
      </c>
      <c r="AB602">
        <v>0</v>
      </c>
      <c r="AC602">
        <v>3</v>
      </c>
      <c r="AD602">
        <v>3</v>
      </c>
      <c r="AE602">
        <v>199</v>
      </c>
      <c r="AF602">
        <v>2</v>
      </c>
      <c r="AG602">
        <v>13</v>
      </c>
      <c r="AH602">
        <v>2</v>
      </c>
      <c r="AI602">
        <v>48</v>
      </c>
      <c r="AJ602">
        <v>2</v>
      </c>
      <c r="AK602">
        <v>11</v>
      </c>
      <c r="AL602">
        <v>4</v>
      </c>
      <c r="AM602">
        <v>59</v>
      </c>
      <c r="AN602">
        <v>5</v>
      </c>
      <c r="AO602">
        <v>112</v>
      </c>
      <c r="AP602">
        <v>6</v>
      </c>
      <c r="AQ602">
        <v>298</v>
      </c>
      <c r="AR602">
        <v>0.13451086956521741</v>
      </c>
      <c r="AS602">
        <v>0</v>
      </c>
      <c r="AT602">
        <v>0.2703804347826087</v>
      </c>
      <c r="AU602">
        <v>1.7663043478260872E-2</v>
      </c>
      <c r="AV602">
        <v>6.5217391304347824E-2</v>
      </c>
      <c r="AW602">
        <v>8.0163043478260865E-2</v>
      </c>
      <c r="AX602">
        <v>0.1521739130434783</v>
      </c>
      <c r="AY602">
        <v>0.40489130434782611</v>
      </c>
      <c r="AZ602">
        <v>7.2010869565217406E-2</v>
      </c>
      <c r="BA602">
        <v>0.5</v>
      </c>
      <c r="BB602">
        <v>0.65972222222222221</v>
      </c>
      <c r="BC602">
        <v>0.4</v>
      </c>
      <c r="BD602">
        <v>0.67000679347826075</v>
      </c>
      <c r="BE602">
        <v>4</v>
      </c>
      <c r="BF602">
        <v>0.55743225392512075</v>
      </c>
      <c r="BG602">
        <v>0.56000000000000005</v>
      </c>
      <c r="BH602" t="s">
        <v>71</v>
      </c>
      <c r="BI602">
        <v>0.56000000000000005</v>
      </c>
      <c r="BJ602" t="s">
        <v>71</v>
      </c>
      <c r="BK602" s="2">
        <f t="shared" si="19"/>
        <v>0</v>
      </c>
      <c r="BL602" t="b">
        <f t="shared" si="20"/>
        <v>1</v>
      </c>
    </row>
    <row r="603" spans="1:64" x14ac:dyDescent="0.35">
      <c r="A603" t="s">
        <v>1697</v>
      </c>
      <c r="B603" t="s">
        <v>1698</v>
      </c>
      <c r="C603">
        <v>2014</v>
      </c>
      <c r="D603" t="s">
        <v>1699</v>
      </c>
      <c r="E603" t="s">
        <v>1700</v>
      </c>
      <c r="F603" t="s">
        <v>66</v>
      </c>
      <c r="G603" t="s">
        <v>101</v>
      </c>
      <c r="H603" t="s">
        <v>102</v>
      </c>
      <c r="I603" t="s">
        <v>102</v>
      </c>
      <c r="J603" t="s">
        <v>70</v>
      </c>
      <c r="L603">
        <v>3</v>
      </c>
      <c r="M603" t="b">
        <v>0</v>
      </c>
      <c r="N603">
        <v>1</v>
      </c>
      <c r="O603">
        <v>2</v>
      </c>
      <c r="P603">
        <v>11</v>
      </c>
      <c r="Q603">
        <v>4</v>
      </c>
      <c r="R603">
        <v>7</v>
      </c>
      <c r="S603">
        <v>6</v>
      </c>
      <c r="T603">
        <v>35</v>
      </c>
      <c r="U603">
        <v>527</v>
      </c>
      <c r="V603">
        <v>146</v>
      </c>
      <c r="W603">
        <v>26</v>
      </c>
      <c r="X603">
        <v>5.615384615384615</v>
      </c>
      <c r="Y603">
        <v>9</v>
      </c>
      <c r="Z603">
        <v>108</v>
      </c>
      <c r="AA603">
        <v>0</v>
      </c>
      <c r="AB603">
        <v>0</v>
      </c>
      <c r="AC603">
        <v>3</v>
      </c>
      <c r="AD603">
        <v>3</v>
      </c>
      <c r="AE603">
        <v>39</v>
      </c>
      <c r="AF603">
        <v>1</v>
      </c>
      <c r="AG603">
        <v>15</v>
      </c>
      <c r="AH603">
        <v>0</v>
      </c>
      <c r="AI603">
        <v>0</v>
      </c>
      <c r="AJ603">
        <v>3</v>
      </c>
      <c r="AK603">
        <v>19</v>
      </c>
      <c r="AL603">
        <v>3</v>
      </c>
      <c r="AM603">
        <v>19</v>
      </c>
      <c r="AN603">
        <v>10</v>
      </c>
      <c r="AO603">
        <v>123</v>
      </c>
      <c r="AP603">
        <v>12</v>
      </c>
      <c r="AQ603">
        <v>147</v>
      </c>
      <c r="AR603">
        <v>0.2049335863377609</v>
      </c>
      <c r="AS603">
        <v>0</v>
      </c>
      <c r="AT603">
        <v>7.4003795066413663E-2</v>
      </c>
      <c r="AU603">
        <v>2.8462998102466788E-2</v>
      </c>
      <c r="AV603">
        <v>0</v>
      </c>
      <c r="AW603">
        <v>3.6053130929791267E-2</v>
      </c>
      <c r="AX603">
        <v>0.23339658444022771</v>
      </c>
      <c r="AY603">
        <v>0.27893738140417462</v>
      </c>
      <c r="AZ603">
        <v>0.19734345351043639</v>
      </c>
      <c r="BA603">
        <v>0.83333333333333337</v>
      </c>
      <c r="BB603">
        <v>0.76923076923076916</v>
      </c>
      <c r="BC603">
        <v>0.8</v>
      </c>
      <c r="BD603">
        <v>0.74833965844402273</v>
      </c>
      <c r="BE603">
        <v>4</v>
      </c>
      <c r="BF603">
        <v>0.78772594025203135</v>
      </c>
      <c r="BG603">
        <v>0.8</v>
      </c>
      <c r="BH603" t="s">
        <v>164</v>
      </c>
      <c r="BI603">
        <v>0.79</v>
      </c>
      <c r="BJ603" t="s">
        <v>86</v>
      </c>
      <c r="BK603" s="2">
        <f t="shared" si="19"/>
        <v>1.0000000000000009E-2</v>
      </c>
      <c r="BL603" t="b">
        <f t="shared" si="20"/>
        <v>0</v>
      </c>
    </row>
    <row r="604" spans="1:64" x14ac:dyDescent="0.35">
      <c r="A604" t="s">
        <v>1701</v>
      </c>
      <c r="B604" t="s">
        <v>1698</v>
      </c>
      <c r="C604">
        <v>2020</v>
      </c>
      <c r="D604" t="s">
        <v>1699</v>
      </c>
      <c r="E604" t="s">
        <v>1700</v>
      </c>
      <c r="F604" t="s">
        <v>66</v>
      </c>
      <c r="G604" t="s">
        <v>101</v>
      </c>
      <c r="H604" t="s">
        <v>102</v>
      </c>
      <c r="I604" t="s">
        <v>102</v>
      </c>
      <c r="J604" t="s">
        <v>70</v>
      </c>
      <c r="L604">
        <v>3</v>
      </c>
      <c r="M604" t="b">
        <v>0</v>
      </c>
      <c r="N604">
        <v>2</v>
      </c>
      <c r="O604">
        <v>3</v>
      </c>
      <c r="P604">
        <v>11</v>
      </c>
      <c r="Q604">
        <v>3</v>
      </c>
      <c r="R604">
        <v>8</v>
      </c>
      <c r="S604">
        <v>5</v>
      </c>
      <c r="T604">
        <v>36</v>
      </c>
      <c r="U604">
        <v>2275</v>
      </c>
      <c r="V604">
        <v>163</v>
      </c>
      <c r="W604">
        <v>29</v>
      </c>
      <c r="X604">
        <v>5.6206896551724137</v>
      </c>
      <c r="Y604">
        <v>5</v>
      </c>
      <c r="Z604">
        <v>679</v>
      </c>
      <c r="AA604">
        <v>2</v>
      </c>
      <c r="AB604">
        <v>64</v>
      </c>
      <c r="AC604">
        <v>2</v>
      </c>
      <c r="AD604">
        <v>2</v>
      </c>
      <c r="AE604">
        <v>184</v>
      </c>
      <c r="AF604">
        <v>1</v>
      </c>
      <c r="AG604">
        <v>85</v>
      </c>
      <c r="AH604">
        <v>1</v>
      </c>
      <c r="AI604">
        <v>1</v>
      </c>
      <c r="AJ604">
        <v>2</v>
      </c>
      <c r="AK604">
        <v>21</v>
      </c>
      <c r="AL604">
        <v>4</v>
      </c>
      <c r="AM604">
        <v>66</v>
      </c>
      <c r="AN604">
        <v>8</v>
      </c>
      <c r="AO604">
        <v>828</v>
      </c>
      <c r="AP604">
        <v>9</v>
      </c>
      <c r="AQ604">
        <v>927</v>
      </c>
      <c r="AR604">
        <v>0.29846153846153839</v>
      </c>
      <c r="AS604">
        <v>2.8131868131868128E-2</v>
      </c>
      <c r="AT604">
        <v>8.0879120879120886E-2</v>
      </c>
      <c r="AU604">
        <v>3.7362637362637362E-2</v>
      </c>
      <c r="AV604">
        <v>4.3956043956043961E-4</v>
      </c>
      <c r="AW604">
        <v>2.9010989010989009E-2</v>
      </c>
      <c r="AX604">
        <v>0.36395604395604397</v>
      </c>
      <c r="AY604">
        <v>0.40747252747252749</v>
      </c>
      <c r="AZ604">
        <v>0.33494505494505489</v>
      </c>
      <c r="BA604">
        <v>0.66666666666666663</v>
      </c>
      <c r="BB604">
        <v>0.77011494252873558</v>
      </c>
      <c r="BC604">
        <v>0.6</v>
      </c>
      <c r="BD604">
        <v>0.83434065934065937</v>
      </c>
      <c r="BE604">
        <v>4</v>
      </c>
      <c r="BF604">
        <v>0.71778056713401539</v>
      </c>
      <c r="BG604">
        <v>0.72</v>
      </c>
      <c r="BH604" t="s">
        <v>86</v>
      </c>
      <c r="BI604">
        <v>0.72</v>
      </c>
      <c r="BJ604" t="s">
        <v>86</v>
      </c>
      <c r="BK604" s="2">
        <f t="shared" si="19"/>
        <v>0</v>
      </c>
      <c r="BL604" t="b">
        <f t="shared" si="20"/>
        <v>1</v>
      </c>
    </row>
    <row r="605" spans="1:64" x14ac:dyDescent="0.35">
      <c r="A605" t="s">
        <v>1702</v>
      </c>
      <c r="B605" t="s">
        <v>1703</v>
      </c>
      <c r="C605">
        <v>2015</v>
      </c>
      <c r="D605" t="s">
        <v>1704</v>
      </c>
      <c r="E605" t="s">
        <v>1705</v>
      </c>
      <c r="F605" t="s">
        <v>66</v>
      </c>
      <c r="G605" t="s">
        <v>144</v>
      </c>
      <c r="H605" t="s">
        <v>898</v>
      </c>
      <c r="I605" t="s">
        <v>1706</v>
      </c>
      <c r="J605" t="s">
        <v>70</v>
      </c>
      <c r="L605">
        <v>2</v>
      </c>
      <c r="M605" t="b">
        <v>0</v>
      </c>
      <c r="N605">
        <v>1</v>
      </c>
      <c r="O605">
        <v>1</v>
      </c>
      <c r="P605">
        <v>5</v>
      </c>
      <c r="Q605">
        <v>1</v>
      </c>
      <c r="R605">
        <v>4</v>
      </c>
      <c r="S605">
        <v>5</v>
      </c>
      <c r="T605">
        <v>20</v>
      </c>
      <c r="U605">
        <v>197</v>
      </c>
      <c r="V605">
        <v>93</v>
      </c>
      <c r="W605">
        <v>17</v>
      </c>
      <c r="X605">
        <v>5.4705882352941178</v>
      </c>
      <c r="Y605">
        <v>2</v>
      </c>
      <c r="Z605">
        <v>35</v>
      </c>
      <c r="AA605">
        <v>0</v>
      </c>
      <c r="AB605">
        <v>0</v>
      </c>
      <c r="AC605">
        <v>2</v>
      </c>
      <c r="AD605">
        <v>2</v>
      </c>
      <c r="AE605">
        <v>82</v>
      </c>
      <c r="AF605">
        <v>1</v>
      </c>
      <c r="AG605">
        <v>4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8</v>
      </c>
      <c r="AN605">
        <v>3</v>
      </c>
      <c r="AO605">
        <v>39</v>
      </c>
      <c r="AP605">
        <v>4</v>
      </c>
      <c r="AQ605">
        <v>117</v>
      </c>
      <c r="AR605">
        <v>0.17766497461928929</v>
      </c>
      <c r="AS605">
        <v>0</v>
      </c>
      <c r="AT605">
        <v>0.41624365482233511</v>
      </c>
      <c r="AU605">
        <v>2.030456852791878E-2</v>
      </c>
      <c r="AV605">
        <v>0</v>
      </c>
      <c r="AW605">
        <v>4.060913705583756E-2</v>
      </c>
      <c r="AX605">
        <v>0.1979695431472081</v>
      </c>
      <c r="AY605">
        <v>0.59390862944162437</v>
      </c>
      <c r="AZ605">
        <v>0.15736040609137061</v>
      </c>
      <c r="BA605">
        <v>0.66666666666666663</v>
      </c>
      <c r="BB605">
        <v>0.74509803921568629</v>
      </c>
      <c r="BC605">
        <v>0.26666666666666672</v>
      </c>
      <c r="BD605">
        <v>0.7233502538071066</v>
      </c>
      <c r="BE605">
        <v>4</v>
      </c>
      <c r="BF605">
        <v>0.60044540658903156</v>
      </c>
      <c r="BG605">
        <v>0.61</v>
      </c>
      <c r="BH605" t="s">
        <v>86</v>
      </c>
      <c r="BI605">
        <v>0.6</v>
      </c>
      <c r="BJ605" t="s">
        <v>86</v>
      </c>
      <c r="BK605" s="2">
        <f t="shared" si="19"/>
        <v>1.0000000000000009E-2</v>
      </c>
      <c r="BL605" t="b">
        <f t="shared" si="20"/>
        <v>1</v>
      </c>
    </row>
    <row r="606" spans="1:64" x14ac:dyDescent="0.35">
      <c r="A606" t="s">
        <v>1707</v>
      </c>
      <c r="B606" t="s">
        <v>1703</v>
      </c>
      <c r="C606">
        <v>2019</v>
      </c>
      <c r="D606" t="s">
        <v>1704</v>
      </c>
      <c r="E606" t="s">
        <v>1705</v>
      </c>
      <c r="F606" t="s">
        <v>66</v>
      </c>
      <c r="G606" t="s">
        <v>144</v>
      </c>
      <c r="H606" t="s">
        <v>898</v>
      </c>
      <c r="I606" t="s">
        <v>1706</v>
      </c>
      <c r="J606" t="s">
        <v>70</v>
      </c>
      <c r="L606">
        <v>2</v>
      </c>
      <c r="M606" t="b">
        <v>0</v>
      </c>
      <c r="N606">
        <v>3</v>
      </c>
      <c r="O606">
        <v>1</v>
      </c>
      <c r="P606">
        <v>3</v>
      </c>
      <c r="Q606">
        <v>0</v>
      </c>
      <c r="R606">
        <v>3</v>
      </c>
      <c r="S606">
        <v>4</v>
      </c>
      <c r="T606">
        <v>8</v>
      </c>
      <c r="U606">
        <v>21</v>
      </c>
      <c r="V606">
        <v>34</v>
      </c>
      <c r="W606">
        <v>7</v>
      </c>
      <c r="X606">
        <v>4.8571428571428568</v>
      </c>
      <c r="Y606">
        <v>2</v>
      </c>
      <c r="Z606">
        <v>5</v>
      </c>
      <c r="AA606">
        <v>0</v>
      </c>
      <c r="AB606">
        <v>0</v>
      </c>
      <c r="AC606">
        <v>1</v>
      </c>
      <c r="AD606">
        <v>1</v>
      </c>
      <c r="AE606">
        <v>4</v>
      </c>
      <c r="AF606">
        <v>1</v>
      </c>
      <c r="AG606">
        <v>5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3</v>
      </c>
      <c r="AO606">
        <v>10</v>
      </c>
      <c r="AP606">
        <v>3</v>
      </c>
      <c r="AQ606">
        <v>9</v>
      </c>
      <c r="AR606">
        <v>0.23809523809523811</v>
      </c>
      <c r="AS606">
        <v>0</v>
      </c>
      <c r="AT606">
        <v>0.19047619047619049</v>
      </c>
      <c r="AU606">
        <v>0.23809523809523811</v>
      </c>
      <c r="AV606">
        <v>0</v>
      </c>
      <c r="AW606">
        <v>0</v>
      </c>
      <c r="AX606">
        <v>0.47619047619047622</v>
      </c>
      <c r="AY606">
        <v>0.42857142857142849</v>
      </c>
      <c r="AZ606">
        <v>0.47619047619047622</v>
      </c>
      <c r="BA606">
        <v>0.5</v>
      </c>
      <c r="BB606">
        <v>0.64285714285714279</v>
      </c>
      <c r="BC606">
        <v>0.2</v>
      </c>
      <c r="BD606">
        <v>0.92261904761904767</v>
      </c>
      <c r="BE606">
        <v>4</v>
      </c>
      <c r="BF606">
        <v>0.56636904761904761</v>
      </c>
      <c r="BG606">
        <v>0.56999999999999995</v>
      </c>
      <c r="BH606" t="s">
        <v>71</v>
      </c>
      <c r="BI606">
        <v>0.56999999999999995</v>
      </c>
      <c r="BJ606" t="s">
        <v>71</v>
      </c>
      <c r="BK606" s="2">
        <f t="shared" si="19"/>
        <v>0</v>
      </c>
      <c r="BL606" t="b">
        <f t="shared" si="20"/>
        <v>1</v>
      </c>
    </row>
    <row r="607" spans="1:64" x14ac:dyDescent="0.35">
      <c r="A607" t="s">
        <v>1708</v>
      </c>
      <c r="B607" t="s">
        <v>1709</v>
      </c>
      <c r="C607">
        <v>2016</v>
      </c>
      <c r="D607" t="s">
        <v>1710</v>
      </c>
      <c r="E607" t="s">
        <v>1711</v>
      </c>
      <c r="F607" t="s">
        <v>66</v>
      </c>
      <c r="G607" t="s">
        <v>101</v>
      </c>
      <c r="H607" t="s">
        <v>424</v>
      </c>
      <c r="I607" t="s">
        <v>1712</v>
      </c>
      <c r="J607" t="s">
        <v>70</v>
      </c>
      <c r="L607">
        <v>3</v>
      </c>
      <c r="M607" t="b">
        <v>0</v>
      </c>
      <c r="N607">
        <v>3</v>
      </c>
      <c r="O607">
        <v>2</v>
      </c>
      <c r="P607">
        <v>6</v>
      </c>
      <c r="Q607">
        <v>3</v>
      </c>
      <c r="R607">
        <v>3</v>
      </c>
      <c r="S607">
        <v>4</v>
      </c>
      <c r="T607">
        <v>18</v>
      </c>
      <c r="U607">
        <v>698</v>
      </c>
      <c r="V607">
        <v>80</v>
      </c>
      <c r="W607">
        <v>17</v>
      </c>
      <c r="X607">
        <v>4.7058823529411766</v>
      </c>
      <c r="Y607">
        <v>1</v>
      </c>
      <c r="Z607">
        <v>6</v>
      </c>
      <c r="AA607">
        <v>0</v>
      </c>
      <c r="AB607">
        <v>0</v>
      </c>
      <c r="AC607">
        <v>3</v>
      </c>
      <c r="AD607">
        <v>3</v>
      </c>
      <c r="AE607">
        <v>198</v>
      </c>
      <c r="AF607">
        <v>0</v>
      </c>
      <c r="AG607">
        <v>0</v>
      </c>
      <c r="AH607">
        <v>2</v>
      </c>
      <c r="AI607">
        <v>48</v>
      </c>
      <c r="AJ607">
        <v>3</v>
      </c>
      <c r="AK607">
        <v>44</v>
      </c>
      <c r="AL607">
        <v>5</v>
      </c>
      <c r="AM607">
        <v>92</v>
      </c>
      <c r="AN607">
        <v>1</v>
      </c>
      <c r="AO607">
        <v>6</v>
      </c>
      <c r="AP607">
        <v>4</v>
      </c>
      <c r="AQ607">
        <v>204</v>
      </c>
      <c r="AR607">
        <v>8.5959885386819486E-3</v>
      </c>
      <c r="AS607">
        <v>0</v>
      </c>
      <c r="AT607">
        <v>0.28366762177650429</v>
      </c>
      <c r="AU607">
        <v>0</v>
      </c>
      <c r="AV607">
        <v>6.8767908309455589E-2</v>
      </c>
      <c r="AW607">
        <v>0.1318051575931232</v>
      </c>
      <c r="AX607">
        <v>8.5959885386819486E-3</v>
      </c>
      <c r="AY607">
        <v>0.29226361031518627</v>
      </c>
      <c r="AZ607">
        <v>-0.12320916905444131</v>
      </c>
      <c r="BA607">
        <v>0.5</v>
      </c>
      <c r="BB607">
        <v>0.61764705882352944</v>
      </c>
      <c r="BC607">
        <v>0.26666666666666672</v>
      </c>
      <c r="BD607">
        <v>0.54799426934097417</v>
      </c>
      <c r="BE607">
        <v>4</v>
      </c>
      <c r="BF607">
        <v>0.48307699870779258</v>
      </c>
      <c r="BG607">
        <v>0.49</v>
      </c>
      <c r="BH607" t="s">
        <v>71</v>
      </c>
      <c r="BI607">
        <v>0.48</v>
      </c>
      <c r="BJ607" t="s">
        <v>71</v>
      </c>
      <c r="BK607" s="2">
        <f t="shared" si="19"/>
        <v>1.0000000000000009E-2</v>
      </c>
      <c r="BL607" t="b">
        <f t="shared" si="20"/>
        <v>1</v>
      </c>
    </row>
    <row r="608" spans="1:64" x14ac:dyDescent="0.35">
      <c r="A608" t="s">
        <v>1713</v>
      </c>
      <c r="B608" t="s">
        <v>1709</v>
      </c>
      <c r="C608">
        <v>2017</v>
      </c>
      <c r="D608" t="s">
        <v>1710</v>
      </c>
      <c r="E608" t="s">
        <v>1711</v>
      </c>
      <c r="F608" t="s">
        <v>66</v>
      </c>
      <c r="G608" t="s">
        <v>101</v>
      </c>
      <c r="H608" t="s">
        <v>424</v>
      </c>
      <c r="I608" t="s">
        <v>1712</v>
      </c>
      <c r="J608" t="s">
        <v>70</v>
      </c>
      <c r="L608">
        <v>3</v>
      </c>
      <c r="M608" t="b">
        <v>0</v>
      </c>
      <c r="N608">
        <v>1</v>
      </c>
      <c r="O608">
        <v>1</v>
      </c>
      <c r="P608">
        <v>6</v>
      </c>
      <c r="Q608">
        <v>3</v>
      </c>
      <c r="R608">
        <v>3</v>
      </c>
      <c r="S608">
        <v>4</v>
      </c>
      <c r="T608">
        <v>25</v>
      </c>
      <c r="U608">
        <v>845</v>
      </c>
      <c r="V608">
        <v>108</v>
      </c>
      <c r="W608">
        <v>22</v>
      </c>
      <c r="X608">
        <v>4.9090909090909092</v>
      </c>
      <c r="Y608">
        <v>3</v>
      </c>
      <c r="Z608">
        <v>104</v>
      </c>
      <c r="AA608">
        <v>0</v>
      </c>
      <c r="AB608">
        <v>0</v>
      </c>
      <c r="AC608">
        <v>4</v>
      </c>
      <c r="AD608">
        <v>4</v>
      </c>
      <c r="AE608">
        <v>285</v>
      </c>
      <c r="AF608">
        <v>1</v>
      </c>
      <c r="AG608">
        <v>3</v>
      </c>
      <c r="AH608">
        <v>2</v>
      </c>
      <c r="AI608">
        <v>137</v>
      </c>
      <c r="AJ608">
        <v>2</v>
      </c>
      <c r="AK608">
        <v>7</v>
      </c>
      <c r="AL608">
        <v>4</v>
      </c>
      <c r="AM608">
        <v>144</v>
      </c>
      <c r="AN608">
        <v>4</v>
      </c>
      <c r="AO608">
        <v>107</v>
      </c>
      <c r="AP608">
        <v>7</v>
      </c>
      <c r="AQ608">
        <v>389</v>
      </c>
      <c r="AR608">
        <v>0.1230769230769231</v>
      </c>
      <c r="AS608">
        <v>0</v>
      </c>
      <c r="AT608">
        <v>0.33727810650887569</v>
      </c>
      <c r="AU608">
        <v>3.5502958579881659E-3</v>
      </c>
      <c r="AV608">
        <v>0.16213017751479289</v>
      </c>
      <c r="AW608">
        <v>0.17041420118343201</v>
      </c>
      <c r="AX608">
        <v>0.12662721893491119</v>
      </c>
      <c r="AY608">
        <v>0.46035502958579883</v>
      </c>
      <c r="AZ608">
        <v>-4.3786982248520713E-2</v>
      </c>
      <c r="BA608">
        <v>0.5</v>
      </c>
      <c r="BB608">
        <v>0.65151515151515149</v>
      </c>
      <c r="BC608">
        <v>0.46666666666666667</v>
      </c>
      <c r="BD608">
        <v>0.5976331360946745</v>
      </c>
      <c r="BE608">
        <v>4</v>
      </c>
      <c r="BF608">
        <v>0.55395373856912311</v>
      </c>
      <c r="BG608">
        <v>0.62</v>
      </c>
      <c r="BH608" t="s">
        <v>86</v>
      </c>
      <c r="BI608">
        <v>0.55000000000000004</v>
      </c>
      <c r="BJ608" t="s">
        <v>71</v>
      </c>
      <c r="BK608" s="2">
        <f t="shared" si="19"/>
        <v>6.9999999999999951E-2</v>
      </c>
      <c r="BL608" t="b">
        <f t="shared" si="20"/>
        <v>0</v>
      </c>
    </row>
    <row r="609" spans="1:64" x14ac:dyDescent="0.35">
      <c r="A609" t="s">
        <v>1714</v>
      </c>
      <c r="B609" t="s">
        <v>1709</v>
      </c>
      <c r="C609">
        <v>2022</v>
      </c>
      <c r="D609" t="s">
        <v>1710</v>
      </c>
      <c r="E609" t="s">
        <v>1711</v>
      </c>
      <c r="F609" t="s">
        <v>66</v>
      </c>
      <c r="G609" t="s">
        <v>101</v>
      </c>
      <c r="H609" t="s">
        <v>424</v>
      </c>
      <c r="I609" t="s">
        <v>1712</v>
      </c>
      <c r="J609" t="s">
        <v>70</v>
      </c>
      <c r="L609">
        <v>3</v>
      </c>
      <c r="M609" t="b">
        <v>0</v>
      </c>
      <c r="N609">
        <v>1</v>
      </c>
      <c r="O609">
        <v>2</v>
      </c>
      <c r="P609">
        <v>7</v>
      </c>
      <c r="Q609">
        <v>4</v>
      </c>
      <c r="R609">
        <v>3</v>
      </c>
      <c r="S609">
        <v>5</v>
      </c>
      <c r="T609">
        <v>15</v>
      </c>
      <c r="U609">
        <v>64</v>
      </c>
      <c r="V609">
        <v>75</v>
      </c>
      <c r="W609">
        <v>14</v>
      </c>
      <c r="X609">
        <v>5.3571428571428568</v>
      </c>
      <c r="Y609">
        <v>4</v>
      </c>
      <c r="Z609">
        <v>12</v>
      </c>
      <c r="AA609">
        <v>0</v>
      </c>
      <c r="AB609">
        <v>0</v>
      </c>
      <c r="AC609">
        <v>1</v>
      </c>
      <c r="AD609">
        <v>1</v>
      </c>
      <c r="AE609">
        <v>14</v>
      </c>
      <c r="AF609">
        <v>0</v>
      </c>
      <c r="AG609">
        <v>0</v>
      </c>
      <c r="AH609">
        <v>2</v>
      </c>
      <c r="AI609">
        <v>6</v>
      </c>
      <c r="AJ609">
        <v>1</v>
      </c>
      <c r="AK609">
        <v>1</v>
      </c>
      <c r="AL609">
        <v>3</v>
      </c>
      <c r="AM609">
        <v>7</v>
      </c>
      <c r="AN609">
        <v>4</v>
      </c>
      <c r="AO609">
        <v>12</v>
      </c>
      <c r="AP609">
        <v>5</v>
      </c>
      <c r="AQ609">
        <v>26</v>
      </c>
      <c r="AR609">
        <v>0.1875</v>
      </c>
      <c r="AS609">
        <v>0</v>
      </c>
      <c r="AT609">
        <v>0.21875</v>
      </c>
      <c r="AU609">
        <v>0</v>
      </c>
      <c r="AV609">
        <v>9.375E-2</v>
      </c>
      <c r="AW609">
        <v>0.109375</v>
      </c>
      <c r="AX609">
        <v>0.1875</v>
      </c>
      <c r="AY609">
        <v>0.40625</v>
      </c>
      <c r="AZ609">
        <v>7.8125E-2</v>
      </c>
      <c r="BA609">
        <v>0.66666666666666663</v>
      </c>
      <c r="BB609">
        <v>0.72619047619047616</v>
      </c>
      <c r="BC609">
        <v>0.33333333333333331</v>
      </c>
      <c r="BD609">
        <v>0.673828125</v>
      </c>
      <c r="BE609">
        <v>4</v>
      </c>
      <c r="BF609">
        <v>0.60000465029761907</v>
      </c>
      <c r="BG609">
        <v>0.61</v>
      </c>
      <c r="BH609" t="s">
        <v>86</v>
      </c>
      <c r="BI609">
        <v>0.6</v>
      </c>
      <c r="BJ609" t="s">
        <v>86</v>
      </c>
      <c r="BK609" s="2">
        <f t="shared" si="19"/>
        <v>1.0000000000000009E-2</v>
      </c>
      <c r="BL609" t="b">
        <f t="shared" si="20"/>
        <v>1</v>
      </c>
    </row>
    <row r="610" spans="1:64" x14ac:dyDescent="0.35">
      <c r="A610" t="s">
        <v>1715</v>
      </c>
      <c r="B610" t="s">
        <v>1716</v>
      </c>
      <c r="C610">
        <v>2014</v>
      </c>
      <c r="D610" t="s">
        <v>1717</v>
      </c>
      <c r="E610" t="s">
        <v>1718</v>
      </c>
      <c r="F610" t="s">
        <v>66</v>
      </c>
      <c r="G610" t="s">
        <v>101</v>
      </c>
      <c r="H610" t="s">
        <v>129</v>
      </c>
      <c r="I610" t="s">
        <v>1719</v>
      </c>
      <c r="J610" t="s">
        <v>70</v>
      </c>
      <c r="L610">
        <v>1</v>
      </c>
      <c r="M610" t="b">
        <v>0</v>
      </c>
      <c r="N610">
        <v>1</v>
      </c>
      <c r="O610">
        <v>1</v>
      </c>
      <c r="P610">
        <v>10</v>
      </c>
      <c r="Q610">
        <v>3</v>
      </c>
      <c r="R610">
        <v>7</v>
      </c>
      <c r="S610">
        <v>5</v>
      </c>
      <c r="T610">
        <v>19</v>
      </c>
      <c r="U610">
        <v>1210</v>
      </c>
      <c r="V610">
        <v>100</v>
      </c>
      <c r="W610">
        <v>18</v>
      </c>
      <c r="X610">
        <v>5.5555555555555554</v>
      </c>
      <c r="Y610">
        <v>4</v>
      </c>
      <c r="Z610">
        <v>82</v>
      </c>
      <c r="AA610">
        <v>1</v>
      </c>
      <c r="AB610">
        <v>2</v>
      </c>
      <c r="AC610">
        <v>2</v>
      </c>
      <c r="AD610">
        <v>2</v>
      </c>
      <c r="AE610">
        <v>816</v>
      </c>
      <c r="AF610">
        <v>0</v>
      </c>
      <c r="AG610">
        <v>0</v>
      </c>
      <c r="AH610">
        <v>0</v>
      </c>
      <c r="AI610">
        <v>0</v>
      </c>
      <c r="AJ610">
        <v>2</v>
      </c>
      <c r="AK610">
        <v>4</v>
      </c>
      <c r="AL610">
        <v>2</v>
      </c>
      <c r="AM610">
        <v>4</v>
      </c>
      <c r="AN610">
        <v>5</v>
      </c>
      <c r="AO610">
        <v>84</v>
      </c>
      <c r="AP610">
        <v>7</v>
      </c>
      <c r="AQ610">
        <v>900</v>
      </c>
      <c r="AR610">
        <v>6.7768595041322308E-2</v>
      </c>
      <c r="AS610">
        <v>1.652892561983471E-3</v>
      </c>
      <c r="AT610">
        <v>0.67438016528925615</v>
      </c>
      <c r="AU610">
        <v>0</v>
      </c>
      <c r="AV610">
        <v>0</v>
      </c>
      <c r="AW610">
        <v>3.3057851239669421E-3</v>
      </c>
      <c r="AX610">
        <v>6.9421487603305784E-2</v>
      </c>
      <c r="AY610">
        <v>0.74380165289256195</v>
      </c>
      <c r="AZ610">
        <v>6.6115702479338845E-2</v>
      </c>
      <c r="BA610">
        <v>0.66666666666666663</v>
      </c>
      <c r="BB610">
        <v>0.75925925925925919</v>
      </c>
      <c r="BC610">
        <v>0.46666666666666667</v>
      </c>
      <c r="BD610">
        <v>0.66632231404958675</v>
      </c>
      <c r="BE610">
        <v>4</v>
      </c>
      <c r="BF610">
        <v>0.63972872666054481</v>
      </c>
      <c r="BG610">
        <v>0.62</v>
      </c>
      <c r="BH610" t="s">
        <v>86</v>
      </c>
      <c r="BI610">
        <v>0.64</v>
      </c>
      <c r="BJ610" t="s">
        <v>86</v>
      </c>
      <c r="BK610" s="2">
        <f t="shared" si="19"/>
        <v>-2.0000000000000018E-2</v>
      </c>
      <c r="BL610" t="b">
        <f t="shared" si="20"/>
        <v>1</v>
      </c>
    </row>
    <row r="611" spans="1:64" x14ac:dyDescent="0.35">
      <c r="A611" t="s">
        <v>1720</v>
      </c>
      <c r="B611" t="s">
        <v>1716</v>
      </c>
      <c r="C611">
        <v>2020</v>
      </c>
      <c r="D611" t="s">
        <v>1717</v>
      </c>
      <c r="E611" t="s">
        <v>1718</v>
      </c>
      <c r="F611" t="s">
        <v>66</v>
      </c>
      <c r="G611" t="s">
        <v>101</v>
      </c>
      <c r="H611" t="s">
        <v>129</v>
      </c>
      <c r="I611" t="s">
        <v>1719</v>
      </c>
      <c r="J611" t="s">
        <v>70</v>
      </c>
      <c r="L611">
        <v>1</v>
      </c>
      <c r="M611" t="b">
        <v>0</v>
      </c>
      <c r="N611">
        <v>1</v>
      </c>
      <c r="O611">
        <v>1</v>
      </c>
      <c r="P611">
        <v>13</v>
      </c>
      <c r="Q611">
        <v>5</v>
      </c>
      <c r="R611">
        <v>8</v>
      </c>
      <c r="S611">
        <v>5</v>
      </c>
      <c r="T611">
        <v>42</v>
      </c>
      <c r="U611">
        <v>1950</v>
      </c>
      <c r="V611">
        <v>170</v>
      </c>
      <c r="W611">
        <v>29</v>
      </c>
      <c r="X611">
        <v>5.8620689655172411</v>
      </c>
      <c r="Y611">
        <v>6</v>
      </c>
      <c r="Z611">
        <v>343</v>
      </c>
      <c r="AA611">
        <v>0</v>
      </c>
      <c r="AB611">
        <v>0</v>
      </c>
      <c r="AC611">
        <v>5</v>
      </c>
      <c r="AD611">
        <v>5</v>
      </c>
      <c r="AE611">
        <v>299</v>
      </c>
      <c r="AF611">
        <v>1</v>
      </c>
      <c r="AG611">
        <v>1</v>
      </c>
      <c r="AH611">
        <v>1</v>
      </c>
      <c r="AI611">
        <v>42</v>
      </c>
      <c r="AJ611">
        <v>4</v>
      </c>
      <c r="AK611">
        <v>21</v>
      </c>
      <c r="AL611">
        <v>5</v>
      </c>
      <c r="AM611">
        <v>63</v>
      </c>
      <c r="AN611">
        <v>7</v>
      </c>
      <c r="AO611">
        <v>344</v>
      </c>
      <c r="AP611">
        <v>11</v>
      </c>
      <c r="AQ611">
        <v>642</v>
      </c>
      <c r="AR611">
        <v>0.17589743589743589</v>
      </c>
      <c r="AS611">
        <v>0</v>
      </c>
      <c r="AT611">
        <v>0.15333333333333329</v>
      </c>
      <c r="AU611">
        <v>5.1282051282051282E-4</v>
      </c>
      <c r="AV611">
        <v>2.1538461538461541E-2</v>
      </c>
      <c r="AW611">
        <v>3.2307692307692308E-2</v>
      </c>
      <c r="AX611">
        <v>0.1764102564102564</v>
      </c>
      <c r="AY611">
        <v>0.32923076923076922</v>
      </c>
      <c r="AZ611">
        <v>0.14410256410256411</v>
      </c>
      <c r="BA611">
        <v>0.66666666666666663</v>
      </c>
      <c r="BB611">
        <v>0.81034482758620685</v>
      </c>
      <c r="BC611">
        <v>0.73333333333333328</v>
      </c>
      <c r="BD611">
        <v>0.71506410256410258</v>
      </c>
      <c r="BE611">
        <v>4</v>
      </c>
      <c r="BF611">
        <v>0.73135223253757731</v>
      </c>
      <c r="BG611">
        <v>0.73</v>
      </c>
      <c r="BH611" t="s">
        <v>86</v>
      </c>
      <c r="BI611">
        <v>0.73</v>
      </c>
      <c r="BJ611" t="s">
        <v>86</v>
      </c>
      <c r="BK611" s="2">
        <f t="shared" si="19"/>
        <v>0</v>
      </c>
      <c r="BL611" t="b">
        <f t="shared" si="20"/>
        <v>1</v>
      </c>
    </row>
    <row r="612" spans="1:64" x14ac:dyDescent="0.35">
      <c r="A612" t="s">
        <v>1721</v>
      </c>
      <c r="B612" t="s">
        <v>1722</v>
      </c>
      <c r="C612">
        <v>2015</v>
      </c>
      <c r="D612" t="s">
        <v>1723</v>
      </c>
      <c r="E612" t="s">
        <v>1724</v>
      </c>
      <c r="F612" t="s">
        <v>66</v>
      </c>
      <c r="G612" t="s">
        <v>101</v>
      </c>
      <c r="H612" t="s">
        <v>129</v>
      </c>
      <c r="I612" t="s">
        <v>1725</v>
      </c>
      <c r="J612" t="s">
        <v>70</v>
      </c>
      <c r="L612">
        <v>3</v>
      </c>
      <c r="M612" t="b">
        <v>0</v>
      </c>
      <c r="N612">
        <v>3</v>
      </c>
      <c r="O612">
        <v>1</v>
      </c>
      <c r="P612">
        <v>3</v>
      </c>
      <c r="Q612">
        <v>3</v>
      </c>
      <c r="R612">
        <v>0</v>
      </c>
      <c r="S612">
        <v>4</v>
      </c>
      <c r="T612">
        <v>17</v>
      </c>
      <c r="U612">
        <v>153</v>
      </c>
      <c r="V612">
        <v>78</v>
      </c>
      <c r="W612">
        <v>15</v>
      </c>
      <c r="X612">
        <v>5.2</v>
      </c>
      <c r="Y612">
        <v>1</v>
      </c>
      <c r="Z612">
        <v>3</v>
      </c>
      <c r="AA612">
        <v>0</v>
      </c>
      <c r="AB612">
        <v>0</v>
      </c>
      <c r="AC612">
        <v>2</v>
      </c>
      <c r="AD612">
        <v>2</v>
      </c>
      <c r="AE612">
        <v>8</v>
      </c>
      <c r="AF612">
        <v>1</v>
      </c>
      <c r="AG612">
        <v>8</v>
      </c>
      <c r="AH612">
        <v>2</v>
      </c>
      <c r="AI612">
        <v>8</v>
      </c>
      <c r="AJ612">
        <v>1</v>
      </c>
      <c r="AK612">
        <v>3</v>
      </c>
      <c r="AL612">
        <v>3</v>
      </c>
      <c r="AM612">
        <v>11</v>
      </c>
      <c r="AN612">
        <v>2</v>
      </c>
      <c r="AO612">
        <v>11</v>
      </c>
      <c r="AP612">
        <v>3</v>
      </c>
      <c r="AQ612">
        <v>11</v>
      </c>
      <c r="AR612">
        <v>1.9607843137254902E-2</v>
      </c>
      <c r="AS612">
        <v>0</v>
      </c>
      <c r="AT612">
        <v>5.2287581699346407E-2</v>
      </c>
      <c r="AU612">
        <v>5.2287581699346407E-2</v>
      </c>
      <c r="AV612">
        <v>5.2287581699346407E-2</v>
      </c>
      <c r="AW612">
        <v>7.1895424836601302E-2</v>
      </c>
      <c r="AX612">
        <v>7.1895424836601302E-2</v>
      </c>
      <c r="AY612">
        <v>7.1895424836601302E-2</v>
      </c>
      <c r="AZ612">
        <v>0</v>
      </c>
      <c r="BA612">
        <v>0.5</v>
      </c>
      <c r="BB612">
        <v>0.70000000000000007</v>
      </c>
      <c r="BC612">
        <v>0.2</v>
      </c>
      <c r="BD612">
        <v>0.625</v>
      </c>
      <c r="BE612">
        <v>4</v>
      </c>
      <c r="BF612">
        <v>0.50624999999999998</v>
      </c>
      <c r="BG612">
        <v>0.51</v>
      </c>
      <c r="BH612" t="s">
        <v>71</v>
      </c>
      <c r="BI612">
        <v>0.51</v>
      </c>
      <c r="BJ612" t="s">
        <v>71</v>
      </c>
      <c r="BK612" s="2">
        <f t="shared" si="19"/>
        <v>0</v>
      </c>
      <c r="BL612" t="b">
        <f t="shared" si="20"/>
        <v>1</v>
      </c>
    </row>
    <row r="613" spans="1:64" x14ac:dyDescent="0.35">
      <c r="A613" t="s">
        <v>1726</v>
      </c>
      <c r="B613" t="s">
        <v>1722</v>
      </c>
      <c r="C613">
        <v>2018</v>
      </c>
      <c r="D613" t="s">
        <v>1723</v>
      </c>
      <c r="E613" t="s">
        <v>1724</v>
      </c>
      <c r="F613" t="s">
        <v>66</v>
      </c>
      <c r="G613" t="s">
        <v>101</v>
      </c>
      <c r="H613" t="s">
        <v>129</v>
      </c>
      <c r="I613" t="s">
        <v>1725</v>
      </c>
      <c r="J613" t="s">
        <v>70</v>
      </c>
      <c r="L613">
        <v>3</v>
      </c>
      <c r="M613" t="b">
        <v>0</v>
      </c>
      <c r="N613">
        <v>3</v>
      </c>
      <c r="O613">
        <v>2</v>
      </c>
      <c r="P613">
        <v>8</v>
      </c>
      <c r="Q613">
        <v>4</v>
      </c>
      <c r="R613">
        <v>4</v>
      </c>
      <c r="S613">
        <v>4</v>
      </c>
      <c r="T613">
        <v>31</v>
      </c>
      <c r="U613">
        <v>550</v>
      </c>
      <c r="V613">
        <v>120</v>
      </c>
      <c r="W613">
        <v>24</v>
      </c>
      <c r="X613">
        <v>5</v>
      </c>
      <c r="Y613">
        <v>3</v>
      </c>
      <c r="Z613">
        <v>49</v>
      </c>
      <c r="AA613">
        <v>0</v>
      </c>
      <c r="AB613">
        <v>0</v>
      </c>
      <c r="AC613">
        <v>5</v>
      </c>
      <c r="AD613">
        <v>5</v>
      </c>
      <c r="AE613">
        <v>157</v>
      </c>
      <c r="AF613">
        <v>0</v>
      </c>
      <c r="AG613">
        <v>0</v>
      </c>
      <c r="AH613">
        <v>2</v>
      </c>
      <c r="AI613">
        <v>35</v>
      </c>
      <c r="AJ613">
        <v>2</v>
      </c>
      <c r="AK613">
        <v>9</v>
      </c>
      <c r="AL613">
        <v>5</v>
      </c>
      <c r="AM613">
        <v>45</v>
      </c>
      <c r="AN613">
        <v>3</v>
      </c>
      <c r="AO613">
        <v>49</v>
      </c>
      <c r="AP613">
        <v>8</v>
      </c>
      <c r="AQ613">
        <v>206</v>
      </c>
      <c r="AR613">
        <v>8.9090909090909096E-2</v>
      </c>
      <c r="AS613">
        <v>0</v>
      </c>
      <c r="AT613">
        <v>0.28545454545454552</v>
      </c>
      <c r="AU613">
        <v>0</v>
      </c>
      <c r="AV613">
        <v>6.363636363636363E-2</v>
      </c>
      <c r="AW613">
        <v>8.1818181818181818E-2</v>
      </c>
      <c r="AX613">
        <v>8.9090909090909096E-2</v>
      </c>
      <c r="AY613">
        <v>0.37454545454545463</v>
      </c>
      <c r="AZ613">
        <v>7.2727272727272779E-3</v>
      </c>
      <c r="BA613">
        <v>0.5</v>
      </c>
      <c r="BB613">
        <v>0.66666666666666663</v>
      </c>
      <c r="BC613">
        <v>0.53333333333333333</v>
      </c>
      <c r="BD613">
        <v>0.62954545454545452</v>
      </c>
      <c r="BE613">
        <v>4</v>
      </c>
      <c r="BF613">
        <v>0.58238636363636365</v>
      </c>
      <c r="BG613">
        <v>0.59</v>
      </c>
      <c r="BH613" t="s">
        <v>71</v>
      </c>
      <c r="BI613">
        <v>0.57999999999999996</v>
      </c>
      <c r="BJ613" t="s">
        <v>71</v>
      </c>
      <c r="BK613" s="2">
        <f t="shared" si="19"/>
        <v>1.0000000000000009E-2</v>
      </c>
      <c r="BL613" t="b">
        <f t="shared" si="20"/>
        <v>1</v>
      </c>
    </row>
    <row r="614" spans="1:64" x14ac:dyDescent="0.35">
      <c r="A614" t="s">
        <v>1727</v>
      </c>
      <c r="B614" t="s">
        <v>1722</v>
      </c>
      <c r="C614">
        <v>2021</v>
      </c>
      <c r="D614" t="s">
        <v>1723</v>
      </c>
      <c r="E614" t="s">
        <v>1724</v>
      </c>
      <c r="F614" t="s">
        <v>66</v>
      </c>
      <c r="G614" t="s">
        <v>101</v>
      </c>
      <c r="H614" t="s">
        <v>129</v>
      </c>
      <c r="I614" t="s">
        <v>1725</v>
      </c>
      <c r="J614" t="s">
        <v>70</v>
      </c>
      <c r="L614">
        <v>3</v>
      </c>
      <c r="M614" t="b">
        <v>0</v>
      </c>
      <c r="N614">
        <v>2</v>
      </c>
      <c r="O614">
        <v>1</v>
      </c>
      <c r="P614">
        <v>9</v>
      </c>
      <c r="Q614">
        <v>1</v>
      </c>
      <c r="R614">
        <v>8</v>
      </c>
      <c r="S614">
        <v>5</v>
      </c>
      <c r="T614">
        <v>25</v>
      </c>
      <c r="U614">
        <v>304</v>
      </c>
      <c r="V614">
        <v>118</v>
      </c>
      <c r="W614">
        <v>21</v>
      </c>
      <c r="X614">
        <v>5.6190476190476186</v>
      </c>
      <c r="Y614">
        <v>3</v>
      </c>
      <c r="Z614">
        <v>4</v>
      </c>
      <c r="AA614">
        <v>0</v>
      </c>
      <c r="AB614">
        <v>0</v>
      </c>
      <c r="AC614">
        <v>6</v>
      </c>
      <c r="AD614">
        <v>6</v>
      </c>
      <c r="AE614">
        <v>125</v>
      </c>
      <c r="AF614">
        <v>1</v>
      </c>
      <c r="AG614">
        <v>34</v>
      </c>
      <c r="AH614">
        <v>2</v>
      </c>
      <c r="AI614">
        <v>2</v>
      </c>
      <c r="AJ614">
        <v>0</v>
      </c>
      <c r="AK614">
        <v>0</v>
      </c>
      <c r="AL614">
        <v>2</v>
      </c>
      <c r="AM614">
        <v>2</v>
      </c>
      <c r="AN614">
        <v>4</v>
      </c>
      <c r="AO614">
        <v>38</v>
      </c>
      <c r="AP614">
        <v>9</v>
      </c>
      <c r="AQ614">
        <v>129</v>
      </c>
      <c r="AR614">
        <v>1.3157894736842099E-2</v>
      </c>
      <c r="AS614">
        <v>0</v>
      </c>
      <c r="AT614">
        <v>0.41118421052631582</v>
      </c>
      <c r="AU614">
        <v>0.1118421052631579</v>
      </c>
      <c r="AV614">
        <v>6.5789473684210523E-3</v>
      </c>
      <c r="AW614">
        <v>6.5789473684210523E-3</v>
      </c>
      <c r="AX614">
        <v>0.125</v>
      </c>
      <c r="AY614">
        <v>0.42434210526315791</v>
      </c>
      <c r="AZ614">
        <v>0.118421052631579</v>
      </c>
      <c r="BA614">
        <v>0.66666666666666663</v>
      </c>
      <c r="BB614">
        <v>0.76984126984126977</v>
      </c>
      <c r="BC614">
        <v>0.6</v>
      </c>
      <c r="BD614">
        <v>0.69901315789473684</v>
      </c>
      <c r="BE614">
        <v>4</v>
      </c>
      <c r="BF614">
        <v>0.68388027360066828</v>
      </c>
      <c r="BG614">
        <v>0.68</v>
      </c>
      <c r="BH614" t="s">
        <v>86</v>
      </c>
      <c r="BI614">
        <v>0.68</v>
      </c>
      <c r="BJ614" t="s">
        <v>86</v>
      </c>
      <c r="BK614" s="2">
        <f t="shared" si="19"/>
        <v>0</v>
      </c>
      <c r="BL614" t="b">
        <f t="shared" si="20"/>
        <v>1</v>
      </c>
    </row>
    <row r="615" spans="1:64" x14ac:dyDescent="0.35">
      <c r="A615" t="s">
        <v>1728</v>
      </c>
      <c r="B615" t="s">
        <v>1729</v>
      </c>
      <c r="C615">
        <v>2015</v>
      </c>
      <c r="D615" t="s">
        <v>1730</v>
      </c>
      <c r="E615" t="s">
        <v>1731</v>
      </c>
      <c r="F615" t="s">
        <v>66</v>
      </c>
      <c r="G615" t="s">
        <v>101</v>
      </c>
      <c r="H615" t="s">
        <v>162</v>
      </c>
      <c r="I615" t="s">
        <v>162</v>
      </c>
      <c r="J615" t="s">
        <v>70</v>
      </c>
      <c r="L615">
        <v>5</v>
      </c>
      <c r="M615" t="b">
        <v>0</v>
      </c>
      <c r="N615">
        <v>1</v>
      </c>
      <c r="O615">
        <v>1</v>
      </c>
      <c r="P615">
        <v>4</v>
      </c>
      <c r="Q615">
        <v>2</v>
      </c>
      <c r="R615">
        <v>2</v>
      </c>
      <c r="S615">
        <v>4</v>
      </c>
      <c r="T615">
        <v>17</v>
      </c>
      <c r="U615">
        <v>1154</v>
      </c>
      <c r="V615">
        <v>63</v>
      </c>
      <c r="W615">
        <v>13</v>
      </c>
      <c r="X615">
        <v>4.8461538461538458</v>
      </c>
      <c r="Y615">
        <v>2</v>
      </c>
      <c r="Z615">
        <v>143</v>
      </c>
      <c r="AA615">
        <v>0</v>
      </c>
      <c r="AB615">
        <v>0</v>
      </c>
      <c r="AC615">
        <v>1</v>
      </c>
      <c r="AD615">
        <v>1</v>
      </c>
      <c r="AE615">
        <v>462</v>
      </c>
      <c r="AF615">
        <v>0</v>
      </c>
      <c r="AG615">
        <v>0</v>
      </c>
      <c r="AH615">
        <v>1</v>
      </c>
      <c r="AI615">
        <v>103</v>
      </c>
      <c r="AJ615">
        <v>1</v>
      </c>
      <c r="AK615">
        <v>1</v>
      </c>
      <c r="AL615">
        <v>3</v>
      </c>
      <c r="AM615">
        <v>105</v>
      </c>
      <c r="AN615">
        <v>2</v>
      </c>
      <c r="AO615">
        <v>143</v>
      </c>
      <c r="AP615">
        <v>3</v>
      </c>
      <c r="AQ615">
        <v>605</v>
      </c>
      <c r="AR615">
        <v>0.1239168110918544</v>
      </c>
      <c r="AS615">
        <v>0</v>
      </c>
      <c r="AT615">
        <v>0.40034662045060659</v>
      </c>
      <c r="AU615">
        <v>0</v>
      </c>
      <c r="AV615">
        <v>8.9254766031195837E-2</v>
      </c>
      <c r="AW615">
        <v>9.0987868284228765E-2</v>
      </c>
      <c r="AX615">
        <v>0.1239168110918544</v>
      </c>
      <c r="AY615">
        <v>0.52426343154246102</v>
      </c>
      <c r="AZ615">
        <v>3.292894280762565E-2</v>
      </c>
      <c r="BA615">
        <v>0.5</v>
      </c>
      <c r="BB615">
        <v>0.64102564102564097</v>
      </c>
      <c r="BC615">
        <v>0.2</v>
      </c>
      <c r="BD615">
        <v>0.64558058925476591</v>
      </c>
      <c r="BE615">
        <v>4</v>
      </c>
      <c r="BF615">
        <v>0.49665155757010171</v>
      </c>
      <c r="BG615">
        <v>0.51</v>
      </c>
      <c r="BH615" t="s">
        <v>71</v>
      </c>
      <c r="BI615">
        <v>0.5</v>
      </c>
      <c r="BJ615" t="s">
        <v>71</v>
      </c>
      <c r="BK615" s="2">
        <f t="shared" si="19"/>
        <v>1.0000000000000009E-2</v>
      </c>
      <c r="BL615" t="b">
        <f t="shared" si="20"/>
        <v>1</v>
      </c>
    </row>
    <row r="616" spans="1:64" x14ac:dyDescent="0.35">
      <c r="A616" t="s">
        <v>1732</v>
      </c>
      <c r="B616" t="s">
        <v>1729</v>
      </c>
      <c r="C616">
        <v>2018</v>
      </c>
      <c r="D616" t="s">
        <v>1730</v>
      </c>
      <c r="E616" t="s">
        <v>1731</v>
      </c>
      <c r="F616" t="s">
        <v>66</v>
      </c>
      <c r="G616" t="s">
        <v>101</v>
      </c>
      <c r="H616" t="s">
        <v>162</v>
      </c>
      <c r="I616" t="s">
        <v>162</v>
      </c>
      <c r="J616" t="s">
        <v>70</v>
      </c>
      <c r="L616">
        <v>5</v>
      </c>
      <c r="M616" t="b">
        <v>0</v>
      </c>
      <c r="N616">
        <v>2</v>
      </c>
      <c r="O616">
        <v>1</v>
      </c>
      <c r="P616">
        <v>2</v>
      </c>
      <c r="Q616">
        <v>3</v>
      </c>
      <c r="R616">
        <v>-1</v>
      </c>
      <c r="S616">
        <v>4</v>
      </c>
      <c r="T616">
        <v>14</v>
      </c>
      <c r="U616">
        <v>942</v>
      </c>
      <c r="V616">
        <v>63</v>
      </c>
      <c r="W616">
        <v>13</v>
      </c>
      <c r="X616">
        <v>4.8461538461538458</v>
      </c>
      <c r="Y616">
        <v>1</v>
      </c>
      <c r="Z616">
        <v>45</v>
      </c>
      <c r="AA616">
        <v>0</v>
      </c>
      <c r="AB616">
        <v>0</v>
      </c>
      <c r="AC616">
        <v>1</v>
      </c>
      <c r="AD616">
        <v>1</v>
      </c>
      <c r="AE616">
        <v>285</v>
      </c>
      <c r="AF616">
        <v>0</v>
      </c>
      <c r="AG616">
        <v>0</v>
      </c>
      <c r="AH616">
        <v>1</v>
      </c>
      <c r="AI616">
        <v>129</v>
      </c>
      <c r="AJ616">
        <v>1</v>
      </c>
      <c r="AK616">
        <v>1</v>
      </c>
      <c r="AL616">
        <v>2</v>
      </c>
      <c r="AM616">
        <v>130</v>
      </c>
      <c r="AN616">
        <v>1</v>
      </c>
      <c r="AO616">
        <v>45</v>
      </c>
      <c r="AP616">
        <v>2</v>
      </c>
      <c r="AQ616">
        <v>330</v>
      </c>
      <c r="AR616">
        <v>4.7770700636942678E-2</v>
      </c>
      <c r="AS616">
        <v>0</v>
      </c>
      <c r="AT616">
        <v>0.30254777070063688</v>
      </c>
      <c r="AU616">
        <v>0</v>
      </c>
      <c r="AV616">
        <v>0.13694267515923569</v>
      </c>
      <c r="AW616">
        <v>0.13800424628450109</v>
      </c>
      <c r="AX616">
        <v>4.7770700636942678E-2</v>
      </c>
      <c r="AY616">
        <v>0.3503184713375796</v>
      </c>
      <c r="AZ616">
        <v>-9.023354564755838E-2</v>
      </c>
      <c r="BA616">
        <v>0.5</v>
      </c>
      <c r="BB616">
        <v>0.64102564102564097</v>
      </c>
      <c r="BC616">
        <v>0.1333333333333333</v>
      </c>
      <c r="BD616">
        <v>0.56860403397027603</v>
      </c>
      <c r="BE616">
        <v>4</v>
      </c>
      <c r="BF616">
        <v>0.46074075208231258</v>
      </c>
      <c r="BG616">
        <v>0.48</v>
      </c>
      <c r="BH616" t="s">
        <v>71</v>
      </c>
      <c r="BI616">
        <v>0.46</v>
      </c>
      <c r="BJ616" t="s">
        <v>71</v>
      </c>
      <c r="BK616" s="2">
        <f t="shared" si="19"/>
        <v>1.9999999999999962E-2</v>
      </c>
      <c r="BL616" t="b">
        <f t="shared" si="20"/>
        <v>1</v>
      </c>
    </row>
    <row r="617" spans="1:64" x14ac:dyDescent="0.35">
      <c r="A617" t="s">
        <v>1733</v>
      </c>
      <c r="B617" t="s">
        <v>1734</v>
      </c>
      <c r="C617">
        <v>2014</v>
      </c>
      <c r="D617" t="s">
        <v>1735</v>
      </c>
      <c r="E617" t="s">
        <v>1736</v>
      </c>
      <c r="F617" t="s">
        <v>66</v>
      </c>
      <c r="G617" t="s">
        <v>101</v>
      </c>
      <c r="H617" t="s">
        <v>129</v>
      </c>
      <c r="I617" t="s">
        <v>418</v>
      </c>
      <c r="J617" t="s">
        <v>70</v>
      </c>
      <c r="L617">
        <v>3</v>
      </c>
      <c r="M617" t="b">
        <v>0</v>
      </c>
      <c r="N617">
        <v>1</v>
      </c>
      <c r="O617">
        <v>2</v>
      </c>
      <c r="P617">
        <v>5</v>
      </c>
      <c r="Q617">
        <v>1</v>
      </c>
      <c r="R617">
        <v>4</v>
      </c>
      <c r="S617">
        <v>6</v>
      </c>
      <c r="T617">
        <v>14</v>
      </c>
      <c r="U617">
        <v>446</v>
      </c>
      <c r="V617">
        <v>53</v>
      </c>
      <c r="W617">
        <v>11</v>
      </c>
      <c r="X617">
        <v>4.8181818181818183</v>
      </c>
      <c r="Y617">
        <v>0</v>
      </c>
      <c r="Z617">
        <v>0</v>
      </c>
      <c r="AA617">
        <v>1</v>
      </c>
      <c r="AB617">
        <v>8</v>
      </c>
      <c r="AC617">
        <v>2</v>
      </c>
      <c r="AD617">
        <v>2</v>
      </c>
      <c r="AE617">
        <v>39</v>
      </c>
      <c r="AF617">
        <v>0</v>
      </c>
      <c r="AG617">
        <v>0</v>
      </c>
      <c r="AH617">
        <v>1</v>
      </c>
      <c r="AI617">
        <v>41</v>
      </c>
      <c r="AJ617">
        <v>0</v>
      </c>
      <c r="AK617">
        <v>0</v>
      </c>
      <c r="AL617">
        <v>1</v>
      </c>
      <c r="AM617">
        <v>41</v>
      </c>
      <c r="AN617">
        <v>1</v>
      </c>
      <c r="AO617">
        <v>8</v>
      </c>
      <c r="AP617">
        <v>3</v>
      </c>
      <c r="AQ617">
        <v>47</v>
      </c>
      <c r="AR617">
        <v>0</v>
      </c>
      <c r="AS617">
        <v>1.79372197309417E-2</v>
      </c>
      <c r="AT617">
        <v>8.744394618834081E-2</v>
      </c>
      <c r="AU617">
        <v>0</v>
      </c>
      <c r="AV617">
        <v>9.1928251121076235E-2</v>
      </c>
      <c r="AW617">
        <v>9.1928251121076235E-2</v>
      </c>
      <c r="AX617">
        <v>1.79372197309417E-2</v>
      </c>
      <c r="AY617">
        <v>0.1053811659192825</v>
      </c>
      <c r="AZ617">
        <v>-7.3991031390134535E-2</v>
      </c>
      <c r="BA617">
        <v>0.83333333333333337</v>
      </c>
      <c r="BB617">
        <v>0.63636363636363635</v>
      </c>
      <c r="BC617">
        <v>0.2</v>
      </c>
      <c r="BD617">
        <v>0.57875560538116588</v>
      </c>
      <c r="BE617">
        <v>4</v>
      </c>
      <c r="BF617">
        <v>0.56211314376953392</v>
      </c>
      <c r="BG617">
        <v>0.56999999999999995</v>
      </c>
      <c r="BH617" t="s">
        <v>71</v>
      </c>
      <c r="BI617">
        <v>0.56000000000000005</v>
      </c>
      <c r="BJ617" t="s">
        <v>71</v>
      </c>
      <c r="BK617" s="2">
        <f t="shared" si="19"/>
        <v>9.9999999999998979E-3</v>
      </c>
      <c r="BL617" t="b">
        <f t="shared" si="20"/>
        <v>1</v>
      </c>
    </row>
    <row r="618" spans="1:64" x14ac:dyDescent="0.35">
      <c r="A618" t="s">
        <v>1737</v>
      </c>
      <c r="B618" t="s">
        <v>1734</v>
      </c>
      <c r="C618">
        <v>2018</v>
      </c>
      <c r="D618" t="s">
        <v>1735</v>
      </c>
      <c r="E618" t="s">
        <v>1736</v>
      </c>
      <c r="F618" t="s">
        <v>66</v>
      </c>
      <c r="G618" t="s">
        <v>101</v>
      </c>
      <c r="H618" t="s">
        <v>129</v>
      </c>
      <c r="I618" t="s">
        <v>418</v>
      </c>
      <c r="J618" t="s">
        <v>70</v>
      </c>
      <c r="L618">
        <v>3</v>
      </c>
      <c r="M618" t="b">
        <v>0</v>
      </c>
      <c r="N618">
        <v>1</v>
      </c>
      <c r="O618">
        <v>1</v>
      </c>
      <c r="P618">
        <v>6</v>
      </c>
      <c r="Q618">
        <v>1</v>
      </c>
      <c r="R618">
        <v>5</v>
      </c>
      <c r="S618">
        <v>5</v>
      </c>
      <c r="T618">
        <v>19</v>
      </c>
      <c r="U618">
        <v>426</v>
      </c>
      <c r="V618">
        <v>87</v>
      </c>
      <c r="W618">
        <v>15</v>
      </c>
      <c r="X618">
        <v>5.8</v>
      </c>
      <c r="Y618">
        <v>2</v>
      </c>
      <c r="Z618">
        <v>13</v>
      </c>
      <c r="AA618">
        <v>0</v>
      </c>
      <c r="AB618">
        <v>0</v>
      </c>
      <c r="AC618">
        <v>2</v>
      </c>
      <c r="AD618">
        <v>2</v>
      </c>
      <c r="AE618">
        <v>264</v>
      </c>
      <c r="AF618">
        <v>2</v>
      </c>
      <c r="AG618">
        <v>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4</v>
      </c>
      <c r="AO618">
        <v>17</v>
      </c>
      <c r="AP618">
        <v>4</v>
      </c>
      <c r="AQ618">
        <v>277</v>
      </c>
      <c r="AR618">
        <v>3.0516431924882629E-2</v>
      </c>
      <c r="AS618">
        <v>0</v>
      </c>
      <c r="AT618">
        <v>0.61971830985915488</v>
      </c>
      <c r="AU618">
        <v>9.3896713615023476E-3</v>
      </c>
      <c r="AV618">
        <v>0</v>
      </c>
      <c r="AW618">
        <v>0</v>
      </c>
      <c r="AX618">
        <v>3.9906103286384977E-2</v>
      </c>
      <c r="AY618">
        <v>0.65023474178403751</v>
      </c>
      <c r="AZ618">
        <v>3.9906103286384977E-2</v>
      </c>
      <c r="BA618">
        <v>0.66666666666666663</v>
      </c>
      <c r="BB618">
        <v>0.79999999999999993</v>
      </c>
      <c r="BC618">
        <v>0.26666666666666672</v>
      </c>
      <c r="BD618">
        <v>0.64994131455399062</v>
      </c>
      <c r="BE618">
        <v>4</v>
      </c>
      <c r="BF618">
        <v>0.59581866197183098</v>
      </c>
      <c r="BG618">
        <v>0.59</v>
      </c>
      <c r="BH618" t="s">
        <v>71</v>
      </c>
      <c r="BI618">
        <v>0.6</v>
      </c>
      <c r="BJ618" t="s">
        <v>86</v>
      </c>
      <c r="BK618" s="2">
        <f t="shared" si="19"/>
        <v>-1.0000000000000009E-2</v>
      </c>
      <c r="BL618" t="b">
        <f t="shared" si="20"/>
        <v>0</v>
      </c>
    </row>
    <row r="619" spans="1:64" x14ac:dyDescent="0.35">
      <c r="A619" t="s">
        <v>1738</v>
      </c>
      <c r="B619" t="s">
        <v>1734</v>
      </c>
      <c r="C619">
        <v>2021</v>
      </c>
      <c r="D619" t="s">
        <v>1735</v>
      </c>
      <c r="E619" t="s">
        <v>1736</v>
      </c>
      <c r="F619" t="s">
        <v>66</v>
      </c>
      <c r="G619" t="s">
        <v>101</v>
      </c>
      <c r="H619" t="s">
        <v>129</v>
      </c>
      <c r="I619" t="s">
        <v>418</v>
      </c>
      <c r="J619" t="s">
        <v>70</v>
      </c>
      <c r="L619">
        <v>3</v>
      </c>
      <c r="M619" t="b">
        <v>0</v>
      </c>
      <c r="N619">
        <v>1</v>
      </c>
      <c r="O619">
        <v>1</v>
      </c>
      <c r="P619">
        <v>3</v>
      </c>
      <c r="Q619">
        <v>0</v>
      </c>
      <c r="R619">
        <v>3</v>
      </c>
      <c r="S619">
        <v>4</v>
      </c>
      <c r="T619">
        <v>14</v>
      </c>
      <c r="U619">
        <v>81</v>
      </c>
      <c r="V619">
        <v>70</v>
      </c>
      <c r="W619">
        <v>13</v>
      </c>
      <c r="X619">
        <v>5.384615384615385</v>
      </c>
      <c r="Y619">
        <v>1</v>
      </c>
      <c r="Z619">
        <v>3</v>
      </c>
      <c r="AA619">
        <v>0</v>
      </c>
      <c r="AB619">
        <v>0</v>
      </c>
      <c r="AC619">
        <v>3</v>
      </c>
      <c r="AD619">
        <v>3</v>
      </c>
      <c r="AE619">
        <v>14</v>
      </c>
      <c r="AF619">
        <v>2</v>
      </c>
      <c r="AG619">
        <v>2</v>
      </c>
      <c r="AH619">
        <v>0</v>
      </c>
      <c r="AI619">
        <v>0</v>
      </c>
      <c r="AJ619">
        <v>1</v>
      </c>
      <c r="AK619">
        <v>1</v>
      </c>
      <c r="AL619">
        <v>1</v>
      </c>
      <c r="AM619">
        <v>1</v>
      </c>
      <c r="AN619">
        <v>3</v>
      </c>
      <c r="AO619">
        <v>5</v>
      </c>
      <c r="AP619">
        <v>4</v>
      </c>
      <c r="AQ619">
        <v>17</v>
      </c>
      <c r="AR619">
        <v>3.7037037037037028E-2</v>
      </c>
      <c r="AS619">
        <v>0</v>
      </c>
      <c r="AT619">
        <v>0.1728395061728395</v>
      </c>
      <c r="AU619">
        <v>2.469135802469136E-2</v>
      </c>
      <c r="AV619">
        <v>0</v>
      </c>
      <c r="AW619">
        <v>1.234567901234568E-2</v>
      </c>
      <c r="AX619">
        <v>6.1728395061728392E-2</v>
      </c>
      <c r="AY619">
        <v>0.2098765432098765</v>
      </c>
      <c r="AZ619">
        <v>4.9382716049382713E-2</v>
      </c>
      <c r="BA619">
        <v>0.5</v>
      </c>
      <c r="BB619">
        <v>0.73076923076923084</v>
      </c>
      <c r="BC619">
        <v>0.26666666666666672</v>
      </c>
      <c r="BD619">
        <v>0.65586419753086411</v>
      </c>
      <c r="BE619">
        <v>4</v>
      </c>
      <c r="BF619">
        <v>0.53832502374169044</v>
      </c>
      <c r="BG619">
        <v>0.54</v>
      </c>
      <c r="BH619" t="s">
        <v>71</v>
      </c>
      <c r="BI619">
        <v>0.54</v>
      </c>
      <c r="BJ619" t="s">
        <v>71</v>
      </c>
      <c r="BK619" s="2">
        <f t="shared" si="19"/>
        <v>0</v>
      </c>
      <c r="BL619" t="b">
        <f t="shared" si="20"/>
        <v>1</v>
      </c>
    </row>
    <row r="620" spans="1:64" x14ac:dyDescent="0.35">
      <c r="A620" t="s">
        <v>1739</v>
      </c>
      <c r="B620" t="s">
        <v>1740</v>
      </c>
      <c r="C620">
        <v>2015</v>
      </c>
      <c r="D620" t="s">
        <v>1741</v>
      </c>
      <c r="E620" t="s">
        <v>1742</v>
      </c>
      <c r="F620" t="s">
        <v>66</v>
      </c>
      <c r="G620" t="s">
        <v>101</v>
      </c>
      <c r="H620" t="s">
        <v>162</v>
      </c>
      <c r="I620" t="s">
        <v>1743</v>
      </c>
      <c r="J620" t="s">
        <v>70</v>
      </c>
      <c r="L620">
        <v>3</v>
      </c>
      <c r="M620" t="b">
        <v>0</v>
      </c>
      <c r="N620">
        <v>3</v>
      </c>
      <c r="O620">
        <v>1</v>
      </c>
      <c r="P620">
        <v>2</v>
      </c>
      <c r="Q620">
        <v>4</v>
      </c>
      <c r="R620">
        <v>-2</v>
      </c>
      <c r="S620">
        <v>3</v>
      </c>
      <c r="T620">
        <v>13</v>
      </c>
      <c r="U620">
        <v>244</v>
      </c>
      <c r="V620">
        <v>42</v>
      </c>
      <c r="W620">
        <v>12</v>
      </c>
      <c r="X620">
        <v>3.5</v>
      </c>
      <c r="Y620">
        <v>1</v>
      </c>
      <c r="Z620">
        <v>1</v>
      </c>
      <c r="AA620">
        <v>0</v>
      </c>
      <c r="AB620">
        <v>0</v>
      </c>
      <c r="AC620">
        <v>1</v>
      </c>
      <c r="AD620">
        <v>1</v>
      </c>
      <c r="AE620">
        <v>80</v>
      </c>
      <c r="AF620">
        <v>0</v>
      </c>
      <c r="AG620">
        <v>0</v>
      </c>
      <c r="AH620">
        <v>1</v>
      </c>
      <c r="AI620">
        <v>22</v>
      </c>
      <c r="AJ620">
        <v>2</v>
      </c>
      <c r="AK620">
        <v>23</v>
      </c>
      <c r="AL620">
        <v>3</v>
      </c>
      <c r="AM620">
        <v>45</v>
      </c>
      <c r="AN620">
        <v>1</v>
      </c>
      <c r="AO620">
        <v>1</v>
      </c>
      <c r="AP620">
        <v>2</v>
      </c>
      <c r="AQ620">
        <v>81</v>
      </c>
      <c r="AR620">
        <v>4.0983606557377051E-3</v>
      </c>
      <c r="AS620">
        <v>0</v>
      </c>
      <c r="AT620">
        <v>0.32786885245901642</v>
      </c>
      <c r="AU620">
        <v>0</v>
      </c>
      <c r="AV620">
        <v>9.0163934426229511E-2</v>
      </c>
      <c r="AW620">
        <v>0.1844262295081967</v>
      </c>
      <c r="AX620">
        <v>4.0983606557377051E-3</v>
      </c>
      <c r="AY620">
        <v>0.33196721311475408</v>
      </c>
      <c r="AZ620">
        <v>-0.18032786885245899</v>
      </c>
      <c r="BA620">
        <v>0.33333333333333331</v>
      </c>
      <c r="BB620">
        <v>0.41666666666666669</v>
      </c>
      <c r="BC620">
        <v>0.1333333333333333</v>
      </c>
      <c r="BD620">
        <v>0.51229508196721307</v>
      </c>
      <c r="BE620">
        <v>4</v>
      </c>
      <c r="BF620">
        <v>0.34890710382513662</v>
      </c>
      <c r="BG620">
        <v>0.36</v>
      </c>
      <c r="BH620" t="s">
        <v>104</v>
      </c>
      <c r="BI620">
        <v>0.35</v>
      </c>
      <c r="BJ620" t="s">
        <v>104</v>
      </c>
      <c r="BK620" s="2">
        <f t="shared" si="19"/>
        <v>1.0000000000000009E-2</v>
      </c>
      <c r="BL620" t="b">
        <f t="shared" si="20"/>
        <v>1</v>
      </c>
    </row>
    <row r="621" spans="1:64" x14ac:dyDescent="0.35">
      <c r="A621" t="s">
        <v>1744</v>
      </c>
      <c r="B621" t="s">
        <v>1740</v>
      </c>
      <c r="C621">
        <v>2018</v>
      </c>
      <c r="D621" t="s">
        <v>1741</v>
      </c>
      <c r="E621" t="s">
        <v>1742</v>
      </c>
      <c r="F621" t="s">
        <v>66</v>
      </c>
      <c r="G621" t="s">
        <v>101</v>
      </c>
      <c r="H621" t="s">
        <v>162</v>
      </c>
      <c r="I621" t="s">
        <v>1743</v>
      </c>
      <c r="J621" t="s">
        <v>70</v>
      </c>
      <c r="L621">
        <v>3</v>
      </c>
      <c r="M621" t="b">
        <v>0</v>
      </c>
      <c r="N621">
        <v>4</v>
      </c>
      <c r="O621">
        <v>1</v>
      </c>
      <c r="P621">
        <v>2</v>
      </c>
      <c r="Q621">
        <v>4</v>
      </c>
      <c r="R621">
        <v>-2</v>
      </c>
      <c r="S621">
        <v>2</v>
      </c>
      <c r="T621">
        <v>14</v>
      </c>
      <c r="U621">
        <v>79</v>
      </c>
      <c r="V621">
        <v>36</v>
      </c>
      <c r="W621">
        <v>10</v>
      </c>
      <c r="X621">
        <v>3.6</v>
      </c>
      <c r="Y621">
        <v>1</v>
      </c>
      <c r="Z621">
        <v>17</v>
      </c>
      <c r="AA621">
        <v>0</v>
      </c>
      <c r="AB621">
        <v>0</v>
      </c>
      <c r="AC621">
        <v>2</v>
      </c>
      <c r="AD621">
        <v>2</v>
      </c>
      <c r="AE621">
        <v>10</v>
      </c>
      <c r="AF621">
        <v>1</v>
      </c>
      <c r="AG621">
        <v>2</v>
      </c>
      <c r="AH621">
        <v>1</v>
      </c>
      <c r="AI621">
        <v>13</v>
      </c>
      <c r="AJ621">
        <v>1</v>
      </c>
      <c r="AK621">
        <v>1</v>
      </c>
      <c r="AL621">
        <v>2</v>
      </c>
      <c r="AM621">
        <v>14</v>
      </c>
      <c r="AN621">
        <v>2</v>
      </c>
      <c r="AO621">
        <v>19</v>
      </c>
      <c r="AP621">
        <v>3</v>
      </c>
      <c r="AQ621">
        <v>27</v>
      </c>
      <c r="AR621">
        <v>0.2151898734177215</v>
      </c>
      <c r="AS621">
        <v>0</v>
      </c>
      <c r="AT621">
        <v>0.12658227848101269</v>
      </c>
      <c r="AU621">
        <v>2.5316455696202531E-2</v>
      </c>
      <c r="AV621">
        <v>0.16455696202531639</v>
      </c>
      <c r="AW621">
        <v>0.17721518987341769</v>
      </c>
      <c r="AX621">
        <v>0.24050632911392411</v>
      </c>
      <c r="AY621">
        <v>0.34177215189873422</v>
      </c>
      <c r="AZ621">
        <v>6.3291139240506333E-2</v>
      </c>
      <c r="BA621">
        <v>0.16666666666666671</v>
      </c>
      <c r="BB621">
        <v>0.43333333333333329</v>
      </c>
      <c r="BC621">
        <v>0.2</v>
      </c>
      <c r="BD621">
        <v>0.66455696202531633</v>
      </c>
      <c r="BE621">
        <v>4</v>
      </c>
      <c r="BF621">
        <v>0.36613924050632912</v>
      </c>
      <c r="BG621">
        <v>0.39</v>
      </c>
      <c r="BH621" t="s">
        <v>104</v>
      </c>
      <c r="BI621">
        <v>0.37</v>
      </c>
      <c r="BJ621" t="s">
        <v>104</v>
      </c>
      <c r="BK621" s="2">
        <f t="shared" si="19"/>
        <v>2.0000000000000018E-2</v>
      </c>
      <c r="BL621" t="b">
        <f t="shared" si="20"/>
        <v>1</v>
      </c>
    </row>
    <row r="622" spans="1:64" x14ac:dyDescent="0.35">
      <c r="A622" t="s">
        <v>1745</v>
      </c>
      <c r="B622" t="s">
        <v>1740</v>
      </c>
      <c r="C622">
        <v>2021</v>
      </c>
      <c r="D622" t="s">
        <v>1741</v>
      </c>
      <c r="E622" t="s">
        <v>1742</v>
      </c>
      <c r="F622" t="s">
        <v>66</v>
      </c>
      <c r="G622" t="s">
        <v>101</v>
      </c>
      <c r="H622" t="s">
        <v>162</v>
      </c>
      <c r="I622" t="s">
        <v>1743</v>
      </c>
      <c r="J622" t="s">
        <v>70</v>
      </c>
      <c r="L622">
        <v>3</v>
      </c>
      <c r="M622" t="b">
        <v>0</v>
      </c>
      <c r="N622">
        <v>3</v>
      </c>
      <c r="O622">
        <v>1</v>
      </c>
      <c r="P622">
        <v>1</v>
      </c>
      <c r="Q622">
        <v>1</v>
      </c>
      <c r="R622">
        <v>0</v>
      </c>
      <c r="S622">
        <v>4</v>
      </c>
      <c r="T622">
        <v>16</v>
      </c>
      <c r="U622">
        <v>154</v>
      </c>
      <c r="V622">
        <v>68</v>
      </c>
      <c r="W622">
        <v>13</v>
      </c>
      <c r="X622">
        <v>5.2307692307692308</v>
      </c>
      <c r="Y622">
        <v>0</v>
      </c>
      <c r="Z622">
        <v>0</v>
      </c>
      <c r="AA622">
        <v>0</v>
      </c>
      <c r="AB622">
        <v>0</v>
      </c>
      <c r="AC622">
        <v>5</v>
      </c>
      <c r="AD622">
        <v>5</v>
      </c>
      <c r="AE622">
        <v>23</v>
      </c>
      <c r="AF622">
        <v>1</v>
      </c>
      <c r="AG622">
        <v>2</v>
      </c>
      <c r="AH622">
        <v>0</v>
      </c>
      <c r="AI622">
        <v>0</v>
      </c>
      <c r="AJ622">
        <v>1</v>
      </c>
      <c r="AK622">
        <v>2</v>
      </c>
      <c r="AL622">
        <v>1</v>
      </c>
      <c r="AM622">
        <v>2</v>
      </c>
      <c r="AN622">
        <v>1</v>
      </c>
      <c r="AO622">
        <v>2</v>
      </c>
      <c r="AP622">
        <v>5</v>
      </c>
      <c r="AQ622">
        <v>23</v>
      </c>
      <c r="AR622">
        <v>0</v>
      </c>
      <c r="AS622">
        <v>0</v>
      </c>
      <c r="AT622">
        <v>0.14935064935064929</v>
      </c>
      <c r="AU622">
        <v>1.298701298701299E-2</v>
      </c>
      <c r="AV622">
        <v>0</v>
      </c>
      <c r="AW622">
        <v>1.298701298701299E-2</v>
      </c>
      <c r="AX622">
        <v>1.298701298701299E-2</v>
      </c>
      <c r="AY622">
        <v>0.14935064935064929</v>
      </c>
      <c r="AZ622">
        <v>0</v>
      </c>
      <c r="BA622">
        <v>0.5</v>
      </c>
      <c r="BB622">
        <v>0.70512820512820518</v>
      </c>
      <c r="BC622">
        <v>0.33333333333333331</v>
      </c>
      <c r="BD622">
        <v>0.625</v>
      </c>
      <c r="BE622">
        <v>4</v>
      </c>
      <c r="BF622">
        <v>0.54086538461538458</v>
      </c>
      <c r="BG622">
        <v>0.5</v>
      </c>
      <c r="BH622" t="s">
        <v>71</v>
      </c>
      <c r="BI622">
        <v>0.54</v>
      </c>
      <c r="BJ622" t="s">
        <v>71</v>
      </c>
      <c r="BK622" s="2">
        <f t="shared" si="19"/>
        <v>-4.0000000000000036E-2</v>
      </c>
      <c r="BL622" t="b">
        <f t="shared" si="20"/>
        <v>1</v>
      </c>
    </row>
    <row r="623" spans="1:64" x14ac:dyDescent="0.35">
      <c r="A623" t="s">
        <v>1746</v>
      </c>
      <c r="B623" t="s">
        <v>1747</v>
      </c>
      <c r="C623">
        <v>2017</v>
      </c>
      <c r="D623" t="s">
        <v>1748</v>
      </c>
      <c r="E623" t="s">
        <v>1749</v>
      </c>
      <c r="F623" t="s">
        <v>66</v>
      </c>
      <c r="G623" t="s">
        <v>144</v>
      </c>
      <c r="H623" t="s">
        <v>424</v>
      </c>
      <c r="I623" t="s">
        <v>1750</v>
      </c>
      <c r="J623" t="s">
        <v>70</v>
      </c>
      <c r="L623">
        <v>1</v>
      </c>
      <c r="M623" t="b">
        <v>0</v>
      </c>
      <c r="N623">
        <v>3</v>
      </c>
      <c r="O623">
        <v>1</v>
      </c>
      <c r="P623">
        <v>1</v>
      </c>
      <c r="Q623">
        <v>2</v>
      </c>
      <c r="R623">
        <v>-1</v>
      </c>
      <c r="S623">
        <v>4</v>
      </c>
      <c r="T623">
        <v>9</v>
      </c>
      <c r="U623">
        <v>4047</v>
      </c>
      <c r="V623">
        <v>23</v>
      </c>
      <c r="W623">
        <v>7</v>
      </c>
      <c r="X623">
        <v>3.285714285714286</v>
      </c>
      <c r="Y623">
        <v>0</v>
      </c>
      <c r="Z623">
        <v>0</v>
      </c>
      <c r="AA623">
        <v>0</v>
      </c>
      <c r="AB623">
        <v>0</v>
      </c>
      <c r="AC623">
        <v>3</v>
      </c>
      <c r="AD623">
        <v>3</v>
      </c>
      <c r="AE623">
        <v>305</v>
      </c>
      <c r="AF623">
        <v>0</v>
      </c>
      <c r="AG623">
        <v>0</v>
      </c>
      <c r="AH623">
        <v>1</v>
      </c>
      <c r="AI623">
        <v>781</v>
      </c>
      <c r="AJ623">
        <v>1</v>
      </c>
      <c r="AK623">
        <v>1</v>
      </c>
      <c r="AL623">
        <v>2</v>
      </c>
      <c r="AM623">
        <v>782</v>
      </c>
      <c r="AN623">
        <v>0</v>
      </c>
      <c r="AO623">
        <v>0</v>
      </c>
      <c r="AP623">
        <v>3</v>
      </c>
      <c r="AQ623">
        <v>305</v>
      </c>
      <c r="AR623">
        <v>0</v>
      </c>
      <c r="AS623">
        <v>0</v>
      </c>
      <c r="AT623">
        <v>7.5364467506795152E-2</v>
      </c>
      <c r="AU623">
        <v>0</v>
      </c>
      <c r="AV623">
        <v>0.19298245614035089</v>
      </c>
      <c r="AW623">
        <v>0.19322955275512729</v>
      </c>
      <c r="AX623">
        <v>0</v>
      </c>
      <c r="AY623">
        <v>7.5364467506795152E-2</v>
      </c>
      <c r="AZ623">
        <v>-0.19322955275512729</v>
      </c>
      <c r="BA623">
        <v>0.5</v>
      </c>
      <c r="BB623">
        <v>0.38095238095238099</v>
      </c>
      <c r="BC623">
        <v>0.2</v>
      </c>
      <c r="BD623">
        <v>0.5042315295280454</v>
      </c>
      <c r="BE623">
        <v>4</v>
      </c>
      <c r="BF623">
        <v>0.3962959776201066</v>
      </c>
      <c r="BG623">
        <v>0.43</v>
      </c>
      <c r="BH623" t="s">
        <v>71</v>
      </c>
      <c r="BI623">
        <v>0.4</v>
      </c>
      <c r="BJ623" t="s">
        <v>71</v>
      </c>
      <c r="BK623" s="2">
        <f t="shared" si="19"/>
        <v>2.9999999999999971E-2</v>
      </c>
      <c r="BL623" t="b">
        <f t="shared" si="20"/>
        <v>1</v>
      </c>
    </row>
    <row r="624" spans="1:64" x14ac:dyDescent="0.35">
      <c r="A624" t="s">
        <v>1751</v>
      </c>
      <c r="B624" t="s">
        <v>1747</v>
      </c>
      <c r="C624">
        <v>2022</v>
      </c>
      <c r="D624" t="s">
        <v>1748</v>
      </c>
      <c r="E624" t="s">
        <v>1749</v>
      </c>
      <c r="F624" t="s">
        <v>66</v>
      </c>
      <c r="G624" t="s">
        <v>144</v>
      </c>
      <c r="H624" t="s">
        <v>424</v>
      </c>
      <c r="I624" t="s">
        <v>1750</v>
      </c>
      <c r="J624" t="s">
        <v>70</v>
      </c>
      <c r="L624">
        <v>1</v>
      </c>
      <c r="M624" t="b">
        <v>0</v>
      </c>
      <c r="N624">
        <v>4</v>
      </c>
      <c r="O624">
        <v>2</v>
      </c>
      <c r="P624">
        <v>1</v>
      </c>
      <c r="Q624">
        <v>3</v>
      </c>
      <c r="R624">
        <v>-2</v>
      </c>
      <c r="S624">
        <v>3</v>
      </c>
      <c r="T624">
        <v>15</v>
      </c>
      <c r="U624">
        <v>127</v>
      </c>
      <c r="V624">
        <v>42</v>
      </c>
      <c r="W624">
        <v>12</v>
      </c>
      <c r="X624">
        <v>3.5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</v>
      </c>
      <c r="AE624">
        <v>9</v>
      </c>
      <c r="AF624">
        <v>1</v>
      </c>
      <c r="AG624">
        <v>1</v>
      </c>
      <c r="AH624">
        <v>2</v>
      </c>
      <c r="AI624">
        <v>12</v>
      </c>
      <c r="AJ624">
        <v>2</v>
      </c>
      <c r="AK624">
        <v>15</v>
      </c>
      <c r="AL624">
        <v>5</v>
      </c>
      <c r="AM624">
        <v>34</v>
      </c>
      <c r="AN624">
        <v>1</v>
      </c>
      <c r="AO624">
        <v>1</v>
      </c>
      <c r="AP624">
        <v>2</v>
      </c>
      <c r="AQ624">
        <v>9</v>
      </c>
      <c r="AR624">
        <v>0</v>
      </c>
      <c r="AS624">
        <v>0</v>
      </c>
      <c r="AT624">
        <v>7.0866141732283464E-2</v>
      </c>
      <c r="AU624">
        <v>7.874015748031496E-3</v>
      </c>
      <c r="AV624">
        <v>9.4488188976377951E-2</v>
      </c>
      <c r="AW624">
        <v>0.26771653543307089</v>
      </c>
      <c r="AX624">
        <v>7.874015748031496E-3</v>
      </c>
      <c r="AY624">
        <v>7.0866141732283464E-2</v>
      </c>
      <c r="AZ624">
        <v>-0.25984251968503941</v>
      </c>
      <c r="BA624">
        <v>0.33333333333333331</v>
      </c>
      <c r="BB624">
        <v>0.41666666666666669</v>
      </c>
      <c r="BC624">
        <v>0.1333333333333333</v>
      </c>
      <c r="BD624">
        <v>0.4625984251968504</v>
      </c>
      <c r="BE624">
        <v>4</v>
      </c>
      <c r="BF624">
        <v>0.33648293963254589</v>
      </c>
      <c r="BG624">
        <v>0.36</v>
      </c>
      <c r="BH624" t="s">
        <v>104</v>
      </c>
      <c r="BI624">
        <v>0.34</v>
      </c>
      <c r="BJ624" t="s">
        <v>104</v>
      </c>
      <c r="BK624" s="2">
        <f t="shared" si="19"/>
        <v>1.9999999999999962E-2</v>
      </c>
      <c r="BL624" t="b">
        <f t="shared" si="20"/>
        <v>1</v>
      </c>
    </row>
    <row r="625" spans="1:64" x14ac:dyDescent="0.35">
      <c r="A625" t="s">
        <v>1752</v>
      </c>
      <c r="B625" t="s">
        <v>1753</v>
      </c>
      <c r="C625">
        <v>2015</v>
      </c>
      <c r="D625" t="s">
        <v>1754</v>
      </c>
      <c r="E625" t="s">
        <v>1755</v>
      </c>
      <c r="F625" t="s">
        <v>66</v>
      </c>
      <c r="G625" t="s">
        <v>101</v>
      </c>
      <c r="H625" t="s">
        <v>424</v>
      </c>
      <c r="I625" t="s">
        <v>1712</v>
      </c>
      <c r="J625" t="s">
        <v>70</v>
      </c>
      <c r="L625">
        <v>3</v>
      </c>
      <c r="M625" t="b">
        <v>0</v>
      </c>
      <c r="N625">
        <v>6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6</v>
      </c>
      <c r="U625">
        <v>30</v>
      </c>
      <c r="V625">
        <v>13</v>
      </c>
      <c r="W625">
        <v>3</v>
      </c>
      <c r="X625">
        <v>4.333333333333333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  <c r="AE625">
        <v>12</v>
      </c>
      <c r="AF625">
        <v>1</v>
      </c>
      <c r="AG625">
        <v>8</v>
      </c>
      <c r="AH625">
        <v>1</v>
      </c>
      <c r="AI625">
        <v>1</v>
      </c>
      <c r="AJ625">
        <v>0</v>
      </c>
      <c r="AK625">
        <v>0</v>
      </c>
      <c r="AL625">
        <v>1</v>
      </c>
      <c r="AM625">
        <v>1</v>
      </c>
      <c r="AN625">
        <v>1</v>
      </c>
      <c r="AO625">
        <v>8</v>
      </c>
      <c r="AP625">
        <v>1</v>
      </c>
      <c r="AQ625">
        <v>12</v>
      </c>
      <c r="AR625">
        <v>0</v>
      </c>
      <c r="AS625">
        <v>0</v>
      </c>
      <c r="AT625">
        <v>0.4</v>
      </c>
      <c r="AU625">
        <v>0.26666666666666672</v>
      </c>
      <c r="AV625">
        <v>3.3333333333333333E-2</v>
      </c>
      <c r="AW625">
        <v>3.3333333333333333E-2</v>
      </c>
      <c r="AX625">
        <v>0.26666666666666672</v>
      </c>
      <c r="AY625">
        <v>0.4</v>
      </c>
      <c r="AZ625">
        <v>0.23333333333333331</v>
      </c>
      <c r="BA625">
        <v>0</v>
      </c>
      <c r="BB625">
        <v>0.55555555555555547</v>
      </c>
      <c r="BC625">
        <v>6.6666666666666666E-2</v>
      </c>
      <c r="BD625">
        <v>0.77083333333333337</v>
      </c>
      <c r="BE625">
        <v>4</v>
      </c>
      <c r="BF625">
        <v>0.34826388888888887</v>
      </c>
      <c r="BG625">
        <v>0.35</v>
      </c>
      <c r="BH625" t="s">
        <v>104</v>
      </c>
      <c r="BI625">
        <v>0.35</v>
      </c>
      <c r="BJ625" t="s">
        <v>104</v>
      </c>
      <c r="BK625" s="2">
        <f t="shared" si="19"/>
        <v>0</v>
      </c>
      <c r="BL625" t="b">
        <f t="shared" si="20"/>
        <v>1</v>
      </c>
    </row>
    <row r="626" spans="1:64" x14ac:dyDescent="0.35">
      <c r="A626" t="s">
        <v>1756</v>
      </c>
      <c r="B626" t="s">
        <v>1757</v>
      </c>
      <c r="C626">
        <v>2014</v>
      </c>
      <c r="D626" t="s">
        <v>1758</v>
      </c>
      <c r="E626" t="s">
        <v>1759</v>
      </c>
      <c r="F626" t="s">
        <v>66</v>
      </c>
      <c r="G626" t="s">
        <v>101</v>
      </c>
      <c r="H626" t="s">
        <v>424</v>
      </c>
      <c r="I626" t="s">
        <v>1760</v>
      </c>
      <c r="J626" t="s">
        <v>70</v>
      </c>
      <c r="L626">
        <v>1</v>
      </c>
      <c r="M626" t="b">
        <v>0</v>
      </c>
      <c r="N626">
        <v>6</v>
      </c>
      <c r="O626">
        <v>1</v>
      </c>
      <c r="P626">
        <v>0</v>
      </c>
      <c r="Q626">
        <v>3</v>
      </c>
      <c r="R626">
        <v>-3</v>
      </c>
      <c r="S626">
        <v>1</v>
      </c>
      <c r="T626">
        <v>8</v>
      </c>
      <c r="U626">
        <v>186</v>
      </c>
      <c r="V626">
        <v>14</v>
      </c>
      <c r="W626">
        <v>5</v>
      </c>
      <c r="X626">
        <v>2.8</v>
      </c>
      <c r="Y626">
        <v>0</v>
      </c>
      <c r="Z626">
        <v>0</v>
      </c>
      <c r="AA626">
        <v>0</v>
      </c>
      <c r="AB626">
        <v>0</v>
      </c>
      <c r="AC626">
        <v>2</v>
      </c>
      <c r="AD626">
        <v>1</v>
      </c>
      <c r="AE626">
        <v>77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77</v>
      </c>
      <c r="AR626">
        <v>0</v>
      </c>
      <c r="AS626">
        <v>0</v>
      </c>
      <c r="AT626">
        <v>0.41397849462365588</v>
      </c>
      <c r="AU626">
        <v>0</v>
      </c>
      <c r="AV626">
        <v>0</v>
      </c>
      <c r="AW626">
        <v>0</v>
      </c>
      <c r="AX626">
        <v>0</v>
      </c>
      <c r="AY626">
        <v>0.41397849462365588</v>
      </c>
      <c r="AZ626">
        <v>0</v>
      </c>
      <c r="BA626">
        <v>0</v>
      </c>
      <c r="BB626">
        <v>0.3</v>
      </c>
      <c r="BC626">
        <v>6.6666666666666666E-2</v>
      </c>
      <c r="BD626">
        <v>0.625</v>
      </c>
      <c r="BE626">
        <v>4</v>
      </c>
      <c r="BF626">
        <v>0.2479166666666667</v>
      </c>
      <c r="BG626">
        <v>0.25</v>
      </c>
      <c r="BH626" t="s">
        <v>187</v>
      </c>
      <c r="BI626">
        <v>0.25</v>
      </c>
      <c r="BJ626" t="s">
        <v>187</v>
      </c>
      <c r="BK626" s="2">
        <f t="shared" si="19"/>
        <v>0</v>
      </c>
      <c r="BL626" t="b">
        <f t="shared" si="20"/>
        <v>1</v>
      </c>
    </row>
    <row r="627" spans="1:64" x14ac:dyDescent="0.35">
      <c r="A627" t="s">
        <v>1761</v>
      </c>
      <c r="B627" t="s">
        <v>1757</v>
      </c>
      <c r="C627">
        <v>2018</v>
      </c>
      <c r="D627" t="s">
        <v>1758</v>
      </c>
      <c r="E627" t="s">
        <v>1759</v>
      </c>
      <c r="F627" t="s">
        <v>66</v>
      </c>
      <c r="G627" t="s">
        <v>101</v>
      </c>
      <c r="H627" t="s">
        <v>424</v>
      </c>
      <c r="I627" t="s">
        <v>1760</v>
      </c>
      <c r="J627" t="s">
        <v>70</v>
      </c>
      <c r="L627">
        <v>1</v>
      </c>
      <c r="M627" t="b">
        <v>0</v>
      </c>
      <c r="N627">
        <v>4</v>
      </c>
      <c r="O627">
        <v>2</v>
      </c>
      <c r="P627">
        <v>1</v>
      </c>
      <c r="Q627">
        <v>4</v>
      </c>
      <c r="R627">
        <v>-3</v>
      </c>
      <c r="S627">
        <v>3</v>
      </c>
      <c r="T627">
        <v>10</v>
      </c>
      <c r="U627">
        <v>54</v>
      </c>
      <c r="V627">
        <v>25</v>
      </c>
      <c r="W627">
        <v>8</v>
      </c>
      <c r="X627">
        <v>3.125</v>
      </c>
      <c r="Y627">
        <v>0</v>
      </c>
      <c r="Z627">
        <v>0</v>
      </c>
      <c r="AA627">
        <v>0</v>
      </c>
      <c r="AB627">
        <v>0</v>
      </c>
      <c r="AC627">
        <v>2</v>
      </c>
      <c r="AD627">
        <v>2</v>
      </c>
      <c r="AE627">
        <v>19</v>
      </c>
      <c r="AF627">
        <v>0</v>
      </c>
      <c r="AG627">
        <v>0</v>
      </c>
      <c r="AH627">
        <v>1</v>
      </c>
      <c r="AI627">
        <v>7</v>
      </c>
      <c r="AJ627">
        <v>1</v>
      </c>
      <c r="AK627">
        <v>1</v>
      </c>
      <c r="AL627">
        <v>2</v>
      </c>
      <c r="AM627">
        <v>8</v>
      </c>
      <c r="AN627">
        <v>0</v>
      </c>
      <c r="AO627">
        <v>0</v>
      </c>
      <c r="AP627">
        <v>2</v>
      </c>
      <c r="AQ627">
        <v>19</v>
      </c>
      <c r="AR627">
        <v>0</v>
      </c>
      <c r="AS627">
        <v>0</v>
      </c>
      <c r="AT627">
        <v>0.35185185185185192</v>
      </c>
      <c r="AU627">
        <v>0</v>
      </c>
      <c r="AV627">
        <v>0.12962962962962959</v>
      </c>
      <c r="AW627">
        <v>0.14814814814814811</v>
      </c>
      <c r="AX627">
        <v>0</v>
      </c>
      <c r="AY627">
        <v>0.35185185185185192</v>
      </c>
      <c r="AZ627">
        <v>-0.14814814814814811</v>
      </c>
      <c r="BA627">
        <v>0.33333333333333331</v>
      </c>
      <c r="BB627">
        <v>0.35416666666666669</v>
      </c>
      <c r="BC627">
        <v>0.1333333333333333</v>
      </c>
      <c r="BD627">
        <v>0.53240740740740733</v>
      </c>
      <c r="BE627">
        <v>4</v>
      </c>
      <c r="BF627">
        <v>0.33831018518518519</v>
      </c>
      <c r="BG627">
        <v>0.36</v>
      </c>
      <c r="BH627" t="s">
        <v>104</v>
      </c>
      <c r="BI627">
        <v>0.34</v>
      </c>
      <c r="BJ627" t="s">
        <v>104</v>
      </c>
      <c r="BK627" s="2">
        <f t="shared" si="19"/>
        <v>1.9999999999999962E-2</v>
      </c>
      <c r="BL627" t="b">
        <f t="shared" si="20"/>
        <v>1</v>
      </c>
    </row>
    <row r="628" spans="1:64" x14ac:dyDescent="0.35">
      <c r="A628" t="s">
        <v>1762</v>
      </c>
      <c r="B628" t="s">
        <v>1757</v>
      </c>
      <c r="C628">
        <v>2021</v>
      </c>
      <c r="D628" t="s">
        <v>1758</v>
      </c>
      <c r="E628" t="s">
        <v>1759</v>
      </c>
      <c r="F628" t="s">
        <v>66</v>
      </c>
      <c r="G628" t="s">
        <v>101</v>
      </c>
      <c r="H628" t="s">
        <v>424</v>
      </c>
      <c r="I628" t="s">
        <v>1760</v>
      </c>
      <c r="J628" t="s">
        <v>70</v>
      </c>
      <c r="L628">
        <v>1</v>
      </c>
      <c r="M628" t="b">
        <v>0</v>
      </c>
      <c r="N628">
        <v>5</v>
      </c>
      <c r="O628">
        <v>1</v>
      </c>
      <c r="P628">
        <v>1</v>
      </c>
      <c r="Q628">
        <v>3</v>
      </c>
      <c r="R628">
        <v>-2</v>
      </c>
      <c r="S628">
        <v>2</v>
      </c>
      <c r="T628">
        <v>6</v>
      </c>
      <c r="U628">
        <v>287</v>
      </c>
      <c r="V628">
        <v>10</v>
      </c>
      <c r="W628">
        <v>4</v>
      </c>
      <c r="X628">
        <v>2.5</v>
      </c>
      <c r="Y628">
        <v>1</v>
      </c>
      <c r="Z628">
        <v>7</v>
      </c>
      <c r="AA628">
        <v>0</v>
      </c>
      <c r="AB628">
        <v>0</v>
      </c>
      <c r="AC628">
        <v>3</v>
      </c>
      <c r="AD628">
        <v>2</v>
      </c>
      <c r="AE628">
        <v>153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4</v>
      </c>
      <c r="AL628">
        <v>1</v>
      </c>
      <c r="AM628">
        <v>4</v>
      </c>
      <c r="AN628">
        <v>1</v>
      </c>
      <c r="AO628">
        <v>7</v>
      </c>
      <c r="AP628">
        <v>3</v>
      </c>
      <c r="AQ628">
        <v>160</v>
      </c>
      <c r="AR628">
        <v>2.4390243902439029E-2</v>
      </c>
      <c r="AS628">
        <v>0</v>
      </c>
      <c r="AT628">
        <v>0.5331010452961672</v>
      </c>
      <c r="AU628">
        <v>0</v>
      </c>
      <c r="AV628">
        <v>0</v>
      </c>
      <c r="AW628">
        <v>1.393728222996516E-2</v>
      </c>
      <c r="AX628">
        <v>2.4390243902439029E-2</v>
      </c>
      <c r="AY628">
        <v>0.55749128919860624</v>
      </c>
      <c r="AZ628">
        <v>1.045296167247387E-2</v>
      </c>
      <c r="BA628">
        <v>0.16666666666666671</v>
      </c>
      <c r="BB628">
        <v>0.25</v>
      </c>
      <c r="BC628">
        <v>0.2</v>
      </c>
      <c r="BD628">
        <v>0.63153310104529603</v>
      </c>
      <c r="BE628">
        <v>4</v>
      </c>
      <c r="BF628">
        <v>0.31204994192799068</v>
      </c>
      <c r="BG628">
        <v>0.31</v>
      </c>
      <c r="BH628" t="s">
        <v>104</v>
      </c>
      <c r="BI628">
        <v>0.31</v>
      </c>
      <c r="BJ628" t="s">
        <v>104</v>
      </c>
      <c r="BK628" s="2">
        <f t="shared" si="19"/>
        <v>0</v>
      </c>
      <c r="BL628" t="b">
        <f t="shared" si="20"/>
        <v>1</v>
      </c>
    </row>
    <row r="629" spans="1:64" x14ac:dyDescent="0.35">
      <c r="A629" t="s">
        <v>1763</v>
      </c>
      <c r="B629" t="s">
        <v>1764</v>
      </c>
      <c r="C629">
        <v>2016</v>
      </c>
      <c r="D629" t="s">
        <v>1765</v>
      </c>
      <c r="E629" t="s">
        <v>1766</v>
      </c>
      <c r="F629" t="s">
        <v>66</v>
      </c>
      <c r="G629" t="s">
        <v>101</v>
      </c>
      <c r="H629" t="s">
        <v>129</v>
      </c>
      <c r="I629" t="s">
        <v>1767</v>
      </c>
      <c r="J629" t="s">
        <v>70</v>
      </c>
      <c r="L629">
        <v>1</v>
      </c>
      <c r="M629" t="b">
        <v>0</v>
      </c>
      <c r="N629">
        <v>1</v>
      </c>
      <c r="O629">
        <v>1</v>
      </c>
      <c r="P629">
        <v>6</v>
      </c>
      <c r="Q629">
        <v>0</v>
      </c>
      <c r="R629">
        <v>6</v>
      </c>
      <c r="S629">
        <v>5</v>
      </c>
      <c r="T629">
        <v>15</v>
      </c>
      <c r="U629">
        <v>198</v>
      </c>
      <c r="V629">
        <v>78</v>
      </c>
      <c r="W629">
        <v>13</v>
      </c>
      <c r="X629">
        <v>6</v>
      </c>
      <c r="Y629">
        <v>2</v>
      </c>
      <c r="Z629">
        <v>22</v>
      </c>
      <c r="AA629">
        <v>1</v>
      </c>
      <c r="AB629">
        <v>3</v>
      </c>
      <c r="AC629">
        <v>4</v>
      </c>
      <c r="AD629">
        <v>4</v>
      </c>
      <c r="AE629">
        <v>70</v>
      </c>
      <c r="AF629">
        <v>0</v>
      </c>
      <c r="AG629">
        <v>0</v>
      </c>
      <c r="AH629">
        <v>1</v>
      </c>
      <c r="AI629">
        <v>52</v>
      </c>
      <c r="AJ629">
        <v>0</v>
      </c>
      <c r="AK629">
        <v>0</v>
      </c>
      <c r="AL629">
        <v>1</v>
      </c>
      <c r="AM629">
        <v>52</v>
      </c>
      <c r="AN629">
        <v>3</v>
      </c>
      <c r="AO629">
        <v>25</v>
      </c>
      <c r="AP629">
        <v>7</v>
      </c>
      <c r="AQ629">
        <v>95</v>
      </c>
      <c r="AR629">
        <v>0.1111111111111111</v>
      </c>
      <c r="AS629">
        <v>1.515151515151515E-2</v>
      </c>
      <c r="AT629">
        <v>0.35353535353535348</v>
      </c>
      <c r="AU629">
        <v>0</v>
      </c>
      <c r="AV629">
        <v>0.26262626262626271</v>
      </c>
      <c r="AW629">
        <v>0.26262626262626271</v>
      </c>
      <c r="AX629">
        <v>0.1262626262626263</v>
      </c>
      <c r="AY629">
        <v>0.47979797979797978</v>
      </c>
      <c r="AZ629">
        <v>-0.13636363636363641</v>
      </c>
      <c r="BA629">
        <v>0.66666666666666663</v>
      </c>
      <c r="BB629">
        <v>0.83333333333333337</v>
      </c>
      <c r="BC629">
        <v>0.46666666666666667</v>
      </c>
      <c r="BD629">
        <v>0.53977272727272718</v>
      </c>
      <c r="BE629">
        <v>4</v>
      </c>
      <c r="BF629">
        <v>0.62660984848484846</v>
      </c>
      <c r="BG629">
        <v>0.67</v>
      </c>
      <c r="BH629" t="s">
        <v>86</v>
      </c>
      <c r="BI629">
        <v>0.63</v>
      </c>
      <c r="BJ629" t="s">
        <v>86</v>
      </c>
      <c r="BK629" s="2">
        <f t="shared" si="19"/>
        <v>4.0000000000000036E-2</v>
      </c>
      <c r="BL629" t="b">
        <f t="shared" si="20"/>
        <v>1</v>
      </c>
    </row>
    <row r="630" spans="1:64" x14ac:dyDescent="0.35">
      <c r="A630" t="s">
        <v>1768</v>
      </c>
      <c r="B630" t="s">
        <v>1764</v>
      </c>
      <c r="C630">
        <v>2019</v>
      </c>
      <c r="D630" t="s">
        <v>1765</v>
      </c>
      <c r="E630" t="s">
        <v>1766</v>
      </c>
      <c r="F630" t="s">
        <v>66</v>
      </c>
      <c r="G630" t="s">
        <v>101</v>
      </c>
      <c r="H630" t="s">
        <v>129</v>
      </c>
      <c r="I630" t="s">
        <v>1767</v>
      </c>
      <c r="J630" t="s">
        <v>70</v>
      </c>
      <c r="L630">
        <v>1</v>
      </c>
      <c r="M630" t="b">
        <v>0</v>
      </c>
      <c r="N630">
        <v>1</v>
      </c>
      <c r="O630">
        <v>1</v>
      </c>
      <c r="P630">
        <v>10</v>
      </c>
      <c r="Q630">
        <v>1</v>
      </c>
      <c r="R630">
        <v>9</v>
      </c>
      <c r="S630">
        <v>5</v>
      </c>
      <c r="T630">
        <v>21</v>
      </c>
      <c r="U630">
        <v>1334</v>
      </c>
      <c r="V630">
        <v>111</v>
      </c>
      <c r="W630">
        <v>17</v>
      </c>
      <c r="X630">
        <v>6.5294117647058822</v>
      </c>
      <c r="Y630">
        <v>3</v>
      </c>
      <c r="Z630">
        <v>82</v>
      </c>
      <c r="AA630">
        <v>0</v>
      </c>
      <c r="AB630">
        <v>0</v>
      </c>
      <c r="AC630">
        <v>2</v>
      </c>
      <c r="AD630">
        <v>2</v>
      </c>
      <c r="AE630">
        <v>414</v>
      </c>
      <c r="AF630">
        <v>0</v>
      </c>
      <c r="AG630">
        <v>0</v>
      </c>
      <c r="AH630">
        <v>2</v>
      </c>
      <c r="AI630">
        <v>83</v>
      </c>
      <c r="AJ630">
        <v>0</v>
      </c>
      <c r="AK630">
        <v>0</v>
      </c>
      <c r="AL630">
        <v>2</v>
      </c>
      <c r="AM630">
        <v>83</v>
      </c>
      <c r="AN630">
        <v>3</v>
      </c>
      <c r="AO630">
        <v>82</v>
      </c>
      <c r="AP630">
        <v>5</v>
      </c>
      <c r="AQ630">
        <v>496</v>
      </c>
      <c r="AR630">
        <v>6.1469265367316339E-2</v>
      </c>
      <c r="AS630">
        <v>0</v>
      </c>
      <c r="AT630">
        <v>0.31034482758620691</v>
      </c>
      <c r="AU630">
        <v>0</v>
      </c>
      <c r="AV630">
        <v>6.2218890554722642E-2</v>
      </c>
      <c r="AW630">
        <v>6.2218890554722642E-2</v>
      </c>
      <c r="AX630">
        <v>6.1469265367316339E-2</v>
      </c>
      <c r="AY630">
        <v>0.37181409295352319</v>
      </c>
      <c r="AZ630">
        <v>-7.4962518740630257E-4</v>
      </c>
      <c r="BA630">
        <v>0.66666666666666663</v>
      </c>
      <c r="BB630">
        <v>0.92156862745098034</v>
      </c>
      <c r="BC630">
        <v>0.33333333333333331</v>
      </c>
      <c r="BD630">
        <v>0.62453148425787108</v>
      </c>
      <c r="BE630">
        <v>4</v>
      </c>
      <c r="BF630">
        <v>0.63652502792721288</v>
      </c>
      <c r="BG630">
        <v>0.65</v>
      </c>
      <c r="BH630" t="s">
        <v>86</v>
      </c>
      <c r="BI630">
        <v>0.64</v>
      </c>
      <c r="BJ630" t="s">
        <v>86</v>
      </c>
      <c r="BK630" s="2">
        <f t="shared" si="19"/>
        <v>1.0000000000000009E-2</v>
      </c>
      <c r="BL630" t="b">
        <f t="shared" si="20"/>
        <v>1</v>
      </c>
    </row>
    <row r="631" spans="1:64" x14ac:dyDescent="0.35">
      <c r="A631" t="s">
        <v>1769</v>
      </c>
      <c r="B631" t="s">
        <v>1770</v>
      </c>
      <c r="C631">
        <v>2014</v>
      </c>
      <c r="D631" t="s">
        <v>1771</v>
      </c>
      <c r="E631" t="s">
        <v>1772</v>
      </c>
      <c r="F631" t="s">
        <v>66</v>
      </c>
      <c r="G631" t="s">
        <v>91</v>
      </c>
      <c r="H631" t="s">
        <v>91</v>
      </c>
      <c r="I631" t="s">
        <v>1773</v>
      </c>
      <c r="J631" t="s">
        <v>70</v>
      </c>
      <c r="L631">
        <v>2</v>
      </c>
      <c r="M631" t="b">
        <v>0</v>
      </c>
      <c r="N631">
        <v>1</v>
      </c>
      <c r="O631">
        <v>3</v>
      </c>
      <c r="P631">
        <v>11</v>
      </c>
      <c r="Q631">
        <v>3</v>
      </c>
      <c r="R631">
        <v>8</v>
      </c>
      <c r="S631">
        <v>6</v>
      </c>
      <c r="T631">
        <v>43</v>
      </c>
      <c r="U631">
        <v>351</v>
      </c>
      <c r="V631">
        <v>185</v>
      </c>
      <c r="W631">
        <v>30</v>
      </c>
      <c r="X631">
        <v>6.166666666666667</v>
      </c>
      <c r="Y631">
        <v>4</v>
      </c>
      <c r="Z631">
        <v>32</v>
      </c>
      <c r="AA631">
        <v>1</v>
      </c>
      <c r="AB631">
        <v>5</v>
      </c>
      <c r="AC631">
        <v>3</v>
      </c>
      <c r="AD631">
        <v>3</v>
      </c>
      <c r="AE631">
        <v>24</v>
      </c>
      <c r="AF631">
        <v>5</v>
      </c>
      <c r="AG631">
        <v>63</v>
      </c>
      <c r="AH631">
        <v>0</v>
      </c>
      <c r="AI631">
        <v>0</v>
      </c>
      <c r="AJ631">
        <v>3</v>
      </c>
      <c r="AK631">
        <v>24</v>
      </c>
      <c r="AL631">
        <v>3</v>
      </c>
      <c r="AM631">
        <v>24</v>
      </c>
      <c r="AN631">
        <v>10</v>
      </c>
      <c r="AO631">
        <v>100</v>
      </c>
      <c r="AP631">
        <v>8</v>
      </c>
      <c r="AQ631">
        <v>61</v>
      </c>
      <c r="AR631">
        <v>9.1168091168091173E-2</v>
      </c>
      <c r="AS631">
        <v>1.424501424501425E-2</v>
      </c>
      <c r="AT631">
        <v>6.8376068376068383E-2</v>
      </c>
      <c r="AU631">
        <v>0.17948717948717949</v>
      </c>
      <c r="AV631">
        <v>0</v>
      </c>
      <c r="AW631">
        <v>6.8376068376068383E-2</v>
      </c>
      <c r="AX631">
        <v>0.28490028490028491</v>
      </c>
      <c r="AY631">
        <v>0.1737891737891738</v>
      </c>
      <c r="AZ631">
        <v>0.2165242165242165</v>
      </c>
      <c r="BA631">
        <v>0.83333333333333337</v>
      </c>
      <c r="BB631">
        <v>0.86111111111111116</v>
      </c>
      <c r="BC631">
        <v>0.53333333333333333</v>
      </c>
      <c r="BD631">
        <v>0.76032763532763525</v>
      </c>
      <c r="BE631">
        <v>4</v>
      </c>
      <c r="BF631">
        <v>0.74702635327635325</v>
      </c>
      <c r="BG631">
        <v>0.77</v>
      </c>
      <c r="BH631" t="s">
        <v>86</v>
      </c>
      <c r="BI631">
        <v>0.75</v>
      </c>
      <c r="BJ631" t="s">
        <v>86</v>
      </c>
      <c r="BK631" s="2">
        <f t="shared" si="19"/>
        <v>2.0000000000000018E-2</v>
      </c>
      <c r="BL631" t="b">
        <f t="shared" si="20"/>
        <v>1</v>
      </c>
    </row>
    <row r="632" spans="1:64" x14ac:dyDescent="0.35">
      <c r="A632" t="s">
        <v>1774</v>
      </c>
      <c r="B632" t="s">
        <v>1770</v>
      </c>
      <c r="C632">
        <v>2015</v>
      </c>
      <c r="D632" t="s">
        <v>1771</v>
      </c>
      <c r="E632" t="s">
        <v>1772</v>
      </c>
      <c r="F632" t="s">
        <v>66</v>
      </c>
      <c r="G632" t="s">
        <v>91</v>
      </c>
      <c r="H632" t="s">
        <v>91</v>
      </c>
      <c r="I632" t="s">
        <v>1773</v>
      </c>
      <c r="J632" t="s">
        <v>70</v>
      </c>
      <c r="L632">
        <v>2</v>
      </c>
      <c r="M632" t="b">
        <v>0</v>
      </c>
      <c r="N632">
        <v>1</v>
      </c>
      <c r="O632">
        <v>3</v>
      </c>
      <c r="P632">
        <v>7</v>
      </c>
      <c r="Q632">
        <v>4</v>
      </c>
      <c r="R632">
        <v>3</v>
      </c>
      <c r="S632">
        <v>5</v>
      </c>
      <c r="T632">
        <v>34</v>
      </c>
      <c r="U632">
        <v>582</v>
      </c>
      <c r="V632">
        <v>126</v>
      </c>
      <c r="W632">
        <v>23</v>
      </c>
      <c r="X632">
        <v>5.4782608695652177</v>
      </c>
      <c r="Y632">
        <v>4</v>
      </c>
      <c r="Z632">
        <v>102</v>
      </c>
      <c r="AA632">
        <v>0</v>
      </c>
      <c r="AB632">
        <v>0</v>
      </c>
      <c r="AC632">
        <v>5</v>
      </c>
      <c r="AD632">
        <v>5</v>
      </c>
      <c r="AE632">
        <v>110</v>
      </c>
      <c r="AF632">
        <v>1</v>
      </c>
      <c r="AG632">
        <v>36</v>
      </c>
      <c r="AH632">
        <v>2</v>
      </c>
      <c r="AI632">
        <v>16</v>
      </c>
      <c r="AJ632">
        <v>4</v>
      </c>
      <c r="AK632">
        <v>39</v>
      </c>
      <c r="AL632">
        <v>6</v>
      </c>
      <c r="AM632">
        <v>55</v>
      </c>
      <c r="AN632">
        <v>5</v>
      </c>
      <c r="AO632">
        <v>138</v>
      </c>
      <c r="AP632">
        <v>9</v>
      </c>
      <c r="AQ632">
        <v>212</v>
      </c>
      <c r="AR632">
        <v>0.1752577319587629</v>
      </c>
      <c r="AS632">
        <v>0</v>
      </c>
      <c r="AT632">
        <v>0.18900343642611681</v>
      </c>
      <c r="AU632">
        <v>6.1855670103092793E-2</v>
      </c>
      <c r="AV632">
        <v>2.74914089347079E-2</v>
      </c>
      <c r="AW632">
        <v>9.4501718213058417E-2</v>
      </c>
      <c r="AX632">
        <v>0.23711340206185569</v>
      </c>
      <c r="AY632">
        <v>0.36426116838487971</v>
      </c>
      <c r="AZ632">
        <v>0.14261168384879719</v>
      </c>
      <c r="BA632">
        <v>0.66666666666666663</v>
      </c>
      <c r="BB632">
        <v>0.74637681159420299</v>
      </c>
      <c r="BC632">
        <v>0.6</v>
      </c>
      <c r="BD632">
        <v>0.71413230240549819</v>
      </c>
      <c r="BE632">
        <v>4</v>
      </c>
      <c r="BF632">
        <v>0.68179394516659197</v>
      </c>
      <c r="BG632">
        <v>0.69</v>
      </c>
      <c r="BH632" t="s">
        <v>86</v>
      </c>
      <c r="BI632">
        <v>0.68</v>
      </c>
      <c r="BJ632" t="s">
        <v>86</v>
      </c>
      <c r="BK632" s="2">
        <f t="shared" si="19"/>
        <v>9.9999999999998979E-3</v>
      </c>
      <c r="BL632" t="b">
        <f t="shared" si="20"/>
        <v>1</v>
      </c>
    </row>
    <row r="633" spans="1:64" x14ac:dyDescent="0.35">
      <c r="A633" t="s">
        <v>1775</v>
      </c>
      <c r="B633" t="s">
        <v>1770</v>
      </c>
      <c r="C633">
        <v>2016</v>
      </c>
      <c r="D633" t="s">
        <v>1771</v>
      </c>
      <c r="E633" t="s">
        <v>1772</v>
      </c>
      <c r="F633" t="s">
        <v>66</v>
      </c>
      <c r="G633" t="s">
        <v>91</v>
      </c>
      <c r="H633" t="s">
        <v>91</v>
      </c>
      <c r="I633" t="s">
        <v>1773</v>
      </c>
      <c r="J633" t="s">
        <v>70</v>
      </c>
      <c r="L633">
        <v>2</v>
      </c>
      <c r="M633" t="b">
        <v>0</v>
      </c>
      <c r="N633">
        <v>1</v>
      </c>
      <c r="O633">
        <v>1</v>
      </c>
      <c r="P633">
        <v>6</v>
      </c>
      <c r="Q633">
        <v>4</v>
      </c>
      <c r="R633">
        <v>2</v>
      </c>
      <c r="S633">
        <v>4</v>
      </c>
      <c r="T633">
        <v>36</v>
      </c>
      <c r="U633">
        <v>598</v>
      </c>
      <c r="V633">
        <v>134</v>
      </c>
      <c r="W633">
        <v>26</v>
      </c>
      <c r="X633">
        <v>5.1538461538461542</v>
      </c>
      <c r="Y633">
        <v>3</v>
      </c>
      <c r="Z633">
        <v>50</v>
      </c>
      <c r="AA633">
        <v>0</v>
      </c>
      <c r="AB633">
        <v>0</v>
      </c>
      <c r="AC633">
        <v>3</v>
      </c>
      <c r="AD633">
        <v>3</v>
      </c>
      <c r="AE633">
        <v>54</v>
      </c>
      <c r="AF633">
        <v>4</v>
      </c>
      <c r="AG633">
        <v>54</v>
      </c>
      <c r="AH633">
        <v>0</v>
      </c>
      <c r="AI633">
        <v>0</v>
      </c>
      <c r="AJ633">
        <v>1</v>
      </c>
      <c r="AK633">
        <v>11</v>
      </c>
      <c r="AL633">
        <v>1</v>
      </c>
      <c r="AM633">
        <v>11</v>
      </c>
      <c r="AN633">
        <v>7</v>
      </c>
      <c r="AO633">
        <v>104</v>
      </c>
      <c r="AP633">
        <v>6</v>
      </c>
      <c r="AQ633">
        <v>104</v>
      </c>
      <c r="AR633">
        <v>8.3612040133779264E-2</v>
      </c>
      <c r="AS633">
        <v>0</v>
      </c>
      <c r="AT633">
        <v>9.0301003344481601E-2</v>
      </c>
      <c r="AU633">
        <v>9.0301003344481601E-2</v>
      </c>
      <c r="AV633">
        <v>0</v>
      </c>
      <c r="AW633">
        <v>1.839464882943144E-2</v>
      </c>
      <c r="AX633">
        <v>0.17391304347826089</v>
      </c>
      <c r="AY633">
        <v>0.17391304347826089</v>
      </c>
      <c r="AZ633">
        <v>0.15551839464882941</v>
      </c>
      <c r="BA633">
        <v>0.5</v>
      </c>
      <c r="BB633">
        <v>0.6923076923076924</v>
      </c>
      <c r="BC633">
        <v>0.4</v>
      </c>
      <c r="BD633">
        <v>0.72219899665551834</v>
      </c>
      <c r="BE633">
        <v>4</v>
      </c>
      <c r="BF633">
        <v>0.57862667224080266</v>
      </c>
      <c r="BG633">
        <v>0.57999999999999996</v>
      </c>
      <c r="BH633" t="s">
        <v>71</v>
      </c>
      <c r="BI633">
        <v>0.57999999999999996</v>
      </c>
      <c r="BJ633" t="s">
        <v>71</v>
      </c>
      <c r="BK633" s="2">
        <f t="shared" si="19"/>
        <v>0</v>
      </c>
      <c r="BL633" t="b">
        <f t="shared" si="20"/>
        <v>1</v>
      </c>
    </row>
    <row r="634" spans="1:64" x14ac:dyDescent="0.35">
      <c r="A634" t="s">
        <v>1776</v>
      </c>
      <c r="B634" t="s">
        <v>1770</v>
      </c>
      <c r="C634">
        <v>2017</v>
      </c>
      <c r="D634" t="s">
        <v>1771</v>
      </c>
      <c r="E634" t="s">
        <v>1772</v>
      </c>
      <c r="F634" t="s">
        <v>66</v>
      </c>
      <c r="G634" t="s">
        <v>91</v>
      </c>
      <c r="H634" t="s">
        <v>91</v>
      </c>
      <c r="I634" t="s">
        <v>1773</v>
      </c>
      <c r="J634" t="s">
        <v>70</v>
      </c>
      <c r="L634">
        <v>2</v>
      </c>
      <c r="M634" t="b">
        <v>0</v>
      </c>
      <c r="N634">
        <v>1</v>
      </c>
      <c r="O634">
        <v>1</v>
      </c>
      <c r="P634">
        <v>4</v>
      </c>
      <c r="Q634">
        <v>3</v>
      </c>
      <c r="R634">
        <v>1</v>
      </c>
      <c r="S634">
        <v>4</v>
      </c>
      <c r="T634">
        <v>23</v>
      </c>
      <c r="U634">
        <v>1288</v>
      </c>
      <c r="V634">
        <v>111</v>
      </c>
      <c r="W634">
        <v>20</v>
      </c>
      <c r="X634">
        <v>5.55</v>
      </c>
      <c r="Y634">
        <v>3</v>
      </c>
      <c r="Z634">
        <v>18</v>
      </c>
      <c r="AA634">
        <v>1</v>
      </c>
      <c r="AB634">
        <v>14</v>
      </c>
      <c r="AC634">
        <v>1</v>
      </c>
      <c r="AD634">
        <v>1</v>
      </c>
      <c r="AE634">
        <v>818</v>
      </c>
      <c r="AF634">
        <v>3</v>
      </c>
      <c r="AG634">
        <v>32</v>
      </c>
      <c r="AH634">
        <v>1</v>
      </c>
      <c r="AI634">
        <v>33</v>
      </c>
      <c r="AJ634">
        <v>1</v>
      </c>
      <c r="AK634">
        <v>4</v>
      </c>
      <c r="AL634">
        <v>2</v>
      </c>
      <c r="AM634">
        <v>37</v>
      </c>
      <c r="AN634">
        <v>7</v>
      </c>
      <c r="AO634">
        <v>64</v>
      </c>
      <c r="AP634">
        <v>5</v>
      </c>
      <c r="AQ634">
        <v>850</v>
      </c>
      <c r="AR634">
        <v>1.3975155279503109E-2</v>
      </c>
      <c r="AS634">
        <v>1.0869565217391301E-2</v>
      </c>
      <c r="AT634">
        <v>0.6350931677018633</v>
      </c>
      <c r="AU634">
        <v>2.4844720496894412E-2</v>
      </c>
      <c r="AV634">
        <v>2.562111801242236E-2</v>
      </c>
      <c r="AW634">
        <v>2.872670807453416E-2</v>
      </c>
      <c r="AX634">
        <v>4.9689440993788823E-2</v>
      </c>
      <c r="AY634">
        <v>0.65993788819875776</v>
      </c>
      <c r="AZ634">
        <v>2.096273291925466E-2</v>
      </c>
      <c r="BA634">
        <v>0.5</v>
      </c>
      <c r="BB634">
        <v>0.7583333333333333</v>
      </c>
      <c r="BC634">
        <v>0.33333333333333331</v>
      </c>
      <c r="BD634">
        <v>0.63810170807453415</v>
      </c>
      <c r="BE634">
        <v>4</v>
      </c>
      <c r="BF634">
        <v>0.55744209368530018</v>
      </c>
      <c r="BG634">
        <v>0.57999999999999996</v>
      </c>
      <c r="BH634" t="s">
        <v>71</v>
      </c>
      <c r="BI634">
        <v>0.56000000000000005</v>
      </c>
      <c r="BJ634" t="s">
        <v>71</v>
      </c>
      <c r="BK634" s="2">
        <f t="shared" si="19"/>
        <v>1.9999999999999907E-2</v>
      </c>
      <c r="BL634" t="b">
        <f t="shared" si="20"/>
        <v>1</v>
      </c>
    </row>
    <row r="635" spans="1:64" x14ac:dyDescent="0.35">
      <c r="A635" t="s">
        <v>1777</v>
      </c>
      <c r="B635" t="s">
        <v>1770</v>
      </c>
      <c r="C635">
        <v>2020</v>
      </c>
      <c r="D635" t="s">
        <v>1771</v>
      </c>
      <c r="E635" t="s">
        <v>1772</v>
      </c>
      <c r="F635" t="s">
        <v>66</v>
      </c>
      <c r="G635" t="s">
        <v>91</v>
      </c>
      <c r="H635" t="s">
        <v>91</v>
      </c>
      <c r="I635" t="s">
        <v>1773</v>
      </c>
      <c r="J635" t="s">
        <v>70</v>
      </c>
      <c r="L635">
        <v>2</v>
      </c>
      <c r="M635" t="b">
        <v>0</v>
      </c>
      <c r="N635">
        <v>1</v>
      </c>
      <c r="O635">
        <v>3</v>
      </c>
      <c r="P635">
        <v>8</v>
      </c>
      <c r="Q635">
        <v>2</v>
      </c>
      <c r="R635">
        <v>6</v>
      </c>
      <c r="S635">
        <v>6</v>
      </c>
      <c r="T635">
        <v>26</v>
      </c>
      <c r="U635">
        <v>392</v>
      </c>
      <c r="V635">
        <v>127</v>
      </c>
      <c r="W635">
        <v>23</v>
      </c>
      <c r="X635">
        <v>5.5217391304347823</v>
      </c>
      <c r="Y635">
        <v>4</v>
      </c>
      <c r="Z635">
        <v>82</v>
      </c>
      <c r="AA635">
        <v>1</v>
      </c>
      <c r="AB635">
        <v>1</v>
      </c>
      <c r="AC635">
        <v>2</v>
      </c>
      <c r="AD635">
        <v>2</v>
      </c>
      <c r="AE635">
        <v>12</v>
      </c>
      <c r="AF635">
        <v>1</v>
      </c>
      <c r="AG635">
        <v>179</v>
      </c>
      <c r="AH635">
        <v>1</v>
      </c>
      <c r="AI635">
        <v>4</v>
      </c>
      <c r="AJ635">
        <v>2</v>
      </c>
      <c r="AK635">
        <v>16</v>
      </c>
      <c r="AL635">
        <v>3</v>
      </c>
      <c r="AM635">
        <v>20</v>
      </c>
      <c r="AN635">
        <v>6</v>
      </c>
      <c r="AO635">
        <v>262</v>
      </c>
      <c r="AP635">
        <v>7</v>
      </c>
      <c r="AQ635">
        <v>95</v>
      </c>
      <c r="AR635">
        <v>0.20918367346938779</v>
      </c>
      <c r="AS635">
        <v>2.5510204081632651E-3</v>
      </c>
      <c r="AT635">
        <v>3.0612244897959179E-2</v>
      </c>
      <c r="AU635">
        <v>0.45663265306122452</v>
      </c>
      <c r="AV635">
        <v>1.020408163265306E-2</v>
      </c>
      <c r="AW635">
        <v>5.1020408163265307E-2</v>
      </c>
      <c r="AX635">
        <v>0.66836734693877553</v>
      </c>
      <c r="AY635">
        <v>0.2423469387755102</v>
      </c>
      <c r="AZ635">
        <v>0.61734693877551017</v>
      </c>
      <c r="BA635">
        <v>0.83333333333333337</v>
      </c>
      <c r="BB635">
        <v>0.75362318840579701</v>
      </c>
      <c r="BC635">
        <v>0.46666666666666667</v>
      </c>
      <c r="BD635">
        <v>1.0108418367346941</v>
      </c>
      <c r="BE635">
        <v>4</v>
      </c>
      <c r="BF635">
        <v>0.7661162562851227</v>
      </c>
      <c r="BG635">
        <v>0.77</v>
      </c>
      <c r="BH635" t="s">
        <v>86</v>
      </c>
      <c r="BI635">
        <v>0.77</v>
      </c>
      <c r="BJ635" t="s">
        <v>86</v>
      </c>
      <c r="BK635" s="2">
        <f t="shared" si="19"/>
        <v>0</v>
      </c>
      <c r="BL635" t="b">
        <f t="shared" si="20"/>
        <v>1</v>
      </c>
    </row>
    <row r="636" spans="1:64" x14ac:dyDescent="0.35">
      <c r="A636" t="s">
        <v>1778</v>
      </c>
      <c r="B636" t="s">
        <v>1779</v>
      </c>
      <c r="C636">
        <v>2014</v>
      </c>
      <c r="D636" t="s">
        <v>1780</v>
      </c>
      <c r="E636" t="s">
        <v>1781</v>
      </c>
      <c r="F636" t="s">
        <v>66</v>
      </c>
      <c r="G636" t="s">
        <v>101</v>
      </c>
      <c r="H636" t="s">
        <v>150</v>
      </c>
      <c r="I636" t="s">
        <v>150</v>
      </c>
      <c r="J636" t="s">
        <v>70</v>
      </c>
      <c r="L636">
        <v>4</v>
      </c>
      <c r="M636" t="b">
        <v>0</v>
      </c>
      <c r="N636">
        <v>2</v>
      </c>
      <c r="O636">
        <v>1</v>
      </c>
      <c r="P636">
        <v>6</v>
      </c>
      <c r="Q636">
        <v>3</v>
      </c>
      <c r="R636">
        <v>3</v>
      </c>
      <c r="S636">
        <v>4</v>
      </c>
      <c r="T636">
        <v>37</v>
      </c>
      <c r="U636">
        <v>2788</v>
      </c>
      <c r="V636">
        <v>148</v>
      </c>
      <c r="W636">
        <v>26</v>
      </c>
      <c r="X636">
        <v>5.6923076923076934</v>
      </c>
      <c r="Y636">
        <v>4</v>
      </c>
      <c r="Z636">
        <v>1063</v>
      </c>
      <c r="AA636">
        <v>0</v>
      </c>
      <c r="AB636">
        <v>0</v>
      </c>
      <c r="AC636">
        <v>5</v>
      </c>
      <c r="AD636">
        <v>5</v>
      </c>
      <c r="AE636">
        <v>56</v>
      </c>
      <c r="AF636">
        <v>6</v>
      </c>
      <c r="AG636">
        <v>49</v>
      </c>
      <c r="AH636">
        <v>0</v>
      </c>
      <c r="AI636">
        <v>0</v>
      </c>
      <c r="AJ636">
        <v>3</v>
      </c>
      <c r="AK636">
        <v>11</v>
      </c>
      <c r="AL636">
        <v>3</v>
      </c>
      <c r="AM636">
        <v>11</v>
      </c>
      <c r="AN636">
        <v>10</v>
      </c>
      <c r="AO636">
        <v>1112</v>
      </c>
      <c r="AP636">
        <v>9</v>
      </c>
      <c r="AQ636">
        <v>1119</v>
      </c>
      <c r="AR636">
        <v>0.38127690100430423</v>
      </c>
      <c r="AS636">
        <v>0</v>
      </c>
      <c r="AT636">
        <v>2.0086083213773309E-2</v>
      </c>
      <c r="AU636">
        <v>1.7575322812051649E-2</v>
      </c>
      <c r="AV636">
        <v>0</v>
      </c>
      <c r="AW636">
        <v>3.9454806312769009E-3</v>
      </c>
      <c r="AX636">
        <v>0.39885222381635582</v>
      </c>
      <c r="AY636">
        <v>0.40136298421807748</v>
      </c>
      <c r="AZ636">
        <v>0.3949067431850789</v>
      </c>
      <c r="BA636">
        <v>0.5</v>
      </c>
      <c r="BB636">
        <v>0.78205128205128227</v>
      </c>
      <c r="BC636">
        <v>0.6</v>
      </c>
      <c r="BD636">
        <v>0.87181671449067433</v>
      </c>
      <c r="BE636">
        <v>4</v>
      </c>
      <c r="BF636">
        <v>0.68846699913548914</v>
      </c>
      <c r="BG636">
        <v>0.71</v>
      </c>
      <c r="BH636" t="s">
        <v>86</v>
      </c>
      <c r="BI636">
        <v>0.69</v>
      </c>
      <c r="BJ636" t="s">
        <v>86</v>
      </c>
      <c r="BK636" s="2">
        <f t="shared" si="19"/>
        <v>2.0000000000000018E-2</v>
      </c>
      <c r="BL636" t="b">
        <f t="shared" si="20"/>
        <v>1</v>
      </c>
    </row>
    <row r="637" spans="1:64" x14ac:dyDescent="0.35">
      <c r="A637" t="s">
        <v>1782</v>
      </c>
      <c r="B637" t="s">
        <v>1779</v>
      </c>
      <c r="C637">
        <v>2015</v>
      </c>
      <c r="D637" t="s">
        <v>1780</v>
      </c>
      <c r="E637" t="s">
        <v>1781</v>
      </c>
      <c r="F637" t="s">
        <v>66</v>
      </c>
      <c r="G637" t="s">
        <v>101</v>
      </c>
      <c r="H637" t="s">
        <v>150</v>
      </c>
      <c r="I637" t="s">
        <v>150</v>
      </c>
      <c r="J637" t="s">
        <v>70</v>
      </c>
      <c r="L637">
        <v>4</v>
      </c>
      <c r="M637" t="b">
        <v>0</v>
      </c>
      <c r="N637">
        <v>1</v>
      </c>
      <c r="O637">
        <v>1</v>
      </c>
      <c r="P637">
        <v>8</v>
      </c>
      <c r="Q637">
        <v>2</v>
      </c>
      <c r="R637">
        <v>6</v>
      </c>
      <c r="S637">
        <v>5</v>
      </c>
      <c r="T637">
        <v>33</v>
      </c>
      <c r="U637">
        <v>887</v>
      </c>
      <c r="V637">
        <v>127</v>
      </c>
      <c r="W637">
        <v>23</v>
      </c>
      <c r="X637">
        <v>5.5217391304347823</v>
      </c>
      <c r="Y637">
        <v>5</v>
      </c>
      <c r="Z637">
        <v>168</v>
      </c>
      <c r="AA637">
        <v>0</v>
      </c>
      <c r="AB637">
        <v>0</v>
      </c>
      <c r="AC637">
        <v>2</v>
      </c>
      <c r="AD637">
        <v>2</v>
      </c>
      <c r="AE637">
        <v>50</v>
      </c>
      <c r="AF637">
        <v>2</v>
      </c>
      <c r="AG637">
        <v>11</v>
      </c>
      <c r="AH637">
        <v>0</v>
      </c>
      <c r="AI637">
        <v>0</v>
      </c>
      <c r="AJ637">
        <v>1</v>
      </c>
      <c r="AK637">
        <v>10</v>
      </c>
      <c r="AL637">
        <v>1</v>
      </c>
      <c r="AM637">
        <v>10</v>
      </c>
      <c r="AN637">
        <v>7</v>
      </c>
      <c r="AO637">
        <v>179</v>
      </c>
      <c r="AP637">
        <v>7</v>
      </c>
      <c r="AQ637">
        <v>218</v>
      </c>
      <c r="AR637">
        <v>0.18940248027057499</v>
      </c>
      <c r="AS637">
        <v>0</v>
      </c>
      <c r="AT637">
        <v>5.6369785794813977E-2</v>
      </c>
      <c r="AU637">
        <v>1.240135287485907E-2</v>
      </c>
      <c r="AV637">
        <v>0</v>
      </c>
      <c r="AW637">
        <v>1.1273957158962801E-2</v>
      </c>
      <c r="AX637">
        <v>0.20180383314543399</v>
      </c>
      <c r="AY637">
        <v>0.24577226606538899</v>
      </c>
      <c r="AZ637">
        <v>0.19052987598647131</v>
      </c>
      <c r="BA637">
        <v>0.66666666666666663</v>
      </c>
      <c r="BB637">
        <v>0.75362318840579701</v>
      </c>
      <c r="BC637">
        <v>0.46666666666666667</v>
      </c>
      <c r="BD637">
        <v>0.74408117249154448</v>
      </c>
      <c r="BE637">
        <v>4</v>
      </c>
      <c r="BF637">
        <v>0.6577594235576687</v>
      </c>
      <c r="BG637">
        <v>0.66</v>
      </c>
      <c r="BH637" t="s">
        <v>86</v>
      </c>
      <c r="BI637">
        <v>0.66</v>
      </c>
      <c r="BJ637" t="s">
        <v>86</v>
      </c>
      <c r="BK637" s="2">
        <f t="shared" si="19"/>
        <v>0</v>
      </c>
      <c r="BL637" t="b">
        <f t="shared" si="20"/>
        <v>1</v>
      </c>
    </row>
    <row r="638" spans="1:64" x14ac:dyDescent="0.35">
      <c r="A638" t="s">
        <v>1783</v>
      </c>
      <c r="B638" t="s">
        <v>1779</v>
      </c>
      <c r="C638">
        <v>2016</v>
      </c>
      <c r="D638" t="s">
        <v>1780</v>
      </c>
      <c r="E638" t="s">
        <v>1781</v>
      </c>
      <c r="F638" t="s">
        <v>66</v>
      </c>
      <c r="G638" t="s">
        <v>101</v>
      </c>
      <c r="H638" t="s">
        <v>150</v>
      </c>
      <c r="I638" t="s">
        <v>150</v>
      </c>
      <c r="J638" t="s">
        <v>70</v>
      </c>
      <c r="L638">
        <v>4</v>
      </c>
      <c r="M638" t="b">
        <v>0</v>
      </c>
      <c r="N638">
        <v>1</v>
      </c>
      <c r="O638">
        <v>2</v>
      </c>
      <c r="P638">
        <v>9</v>
      </c>
      <c r="Q638">
        <v>2</v>
      </c>
      <c r="R638">
        <v>7</v>
      </c>
      <c r="S638">
        <v>6</v>
      </c>
      <c r="T638">
        <v>30</v>
      </c>
      <c r="U638">
        <v>713</v>
      </c>
      <c r="V638">
        <v>131</v>
      </c>
      <c r="W638">
        <v>21</v>
      </c>
      <c r="X638">
        <v>6.2380952380952381</v>
      </c>
      <c r="Y638">
        <v>4</v>
      </c>
      <c r="Z638">
        <v>110</v>
      </c>
      <c r="AA638">
        <v>0</v>
      </c>
      <c r="AB638">
        <v>0</v>
      </c>
      <c r="AC638">
        <v>3</v>
      </c>
      <c r="AD638">
        <v>3</v>
      </c>
      <c r="AE638">
        <v>47</v>
      </c>
      <c r="AF638">
        <v>1</v>
      </c>
      <c r="AG638">
        <v>25</v>
      </c>
      <c r="AH638">
        <v>0</v>
      </c>
      <c r="AI638">
        <v>0</v>
      </c>
      <c r="AJ638">
        <v>2</v>
      </c>
      <c r="AK638">
        <v>19</v>
      </c>
      <c r="AL638">
        <v>2</v>
      </c>
      <c r="AM638">
        <v>19</v>
      </c>
      <c r="AN638">
        <v>5</v>
      </c>
      <c r="AO638">
        <v>135</v>
      </c>
      <c r="AP638">
        <v>7</v>
      </c>
      <c r="AQ638">
        <v>157</v>
      </c>
      <c r="AR638">
        <v>0.15427769985974751</v>
      </c>
      <c r="AS638">
        <v>0</v>
      </c>
      <c r="AT638">
        <v>6.5918653576437586E-2</v>
      </c>
      <c r="AU638">
        <v>3.5063113604488078E-2</v>
      </c>
      <c r="AV638">
        <v>0</v>
      </c>
      <c r="AW638">
        <v>2.6647966339410939E-2</v>
      </c>
      <c r="AX638">
        <v>0.18934081346423559</v>
      </c>
      <c r="AY638">
        <v>0.2201963534361851</v>
      </c>
      <c r="AZ638">
        <v>0.16269284712482471</v>
      </c>
      <c r="BA638">
        <v>0.83333333333333337</v>
      </c>
      <c r="BB638">
        <v>0.87301587301587302</v>
      </c>
      <c r="BC638">
        <v>0.46666666666666667</v>
      </c>
      <c r="BD638">
        <v>0.72668302945301544</v>
      </c>
      <c r="BE638">
        <v>4</v>
      </c>
      <c r="BF638">
        <v>0.7249247256172221</v>
      </c>
      <c r="BG638">
        <v>0.7</v>
      </c>
      <c r="BH638" t="s">
        <v>86</v>
      </c>
      <c r="BI638">
        <v>0.72</v>
      </c>
      <c r="BJ638" t="s">
        <v>86</v>
      </c>
      <c r="BK638" s="2">
        <f t="shared" si="19"/>
        <v>-2.0000000000000018E-2</v>
      </c>
      <c r="BL638" t="b">
        <f t="shared" si="20"/>
        <v>1</v>
      </c>
    </row>
    <row r="639" spans="1:64" x14ac:dyDescent="0.35">
      <c r="A639" t="s">
        <v>1784</v>
      </c>
      <c r="B639" t="s">
        <v>1779</v>
      </c>
      <c r="C639">
        <v>2017</v>
      </c>
      <c r="D639" t="s">
        <v>1780</v>
      </c>
      <c r="E639" t="s">
        <v>1781</v>
      </c>
      <c r="F639" t="s">
        <v>66</v>
      </c>
      <c r="G639" t="s">
        <v>101</v>
      </c>
      <c r="H639" t="s">
        <v>150</v>
      </c>
      <c r="I639" t="s">
        <v>150</v>
      </c>
      <c r="J639" t="s">
        <v>70</v>
      </c>
      <c r="L639">
        <v>4</v>
      </c>
      <c r="M639" t="b">
        <v>0</v>
      </c>
      <c r="N639">
        <v>1</v>
      </c>
      <c r="O639">
        <v>1</v>
      </c>
      <c r="P639">
        <v>7</v>
      </c>
      <c r="Q639">
        <v>2</v>
      </c>
      <c r="R639">
        <v>5</v>
      </c>
      <c r="S639">
        <v>5</v>
      </c>
      <c r="T639">
        <v>17</v>
      </c>
      <c r="U639">
        <v>461</v>
      </c>
      <c r="V639">
        <v>75</v>
      </c>
      <c r="W639">
        <v>11</v>
      </c>
      <c r="X639">
        <v>6.8181818181818183</v>
      </c>
      <c r="Y639">
        <v>4</v>
      </c>
      <c r="Z639">
        <v>331</v>
      </c>
      <c r="AA639">
        <v>2</v>
      </c>
      <c r="AB639">
        <v>37</v>
      </c>
      <c r="AC639">
        <v>2</v>
      </c>
      <c r="AD639">
        <v>1</v>
      </c>
      <c r="AE639">
        <v>8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6</v>
      </c>
      <c r="AO639">
        <v>368</v>
      </c>
      <c r="AP639">
        <v>7</v>
      </c>
      <c r="AQ639">
        <v>376</v>
      </c>
      <c r="AR639">
        <v>0.71800433839479394</v>
      </c>
      <c r="AS639">
        <v>8.0260303687635579E-2</v>
      </c>
      <c r="AT639">
        <v>1.735357917570499E-2</v>
      </c>
      <c r="AU639">
        <v>0</v>
      </c>
      <c r="AV639">
        <v>0</v>
      </c>
      <c r="AW639">
        <v>0</v>
      </c>
      <c r="AX639">
        <v>0.79826464208242953</v>
      </c>
      <c r="AY639">
        <v>0.81561822125813443</v>
      </c>
      <c r="AZ639">
        <v>0.79826464208242953</v>
      </c>
      <c r="BA639">
        <v>0.66666666666666663</v>
      </c>
      <c r="BB639">
        <v>0.96969696969696972</v>
      </c>
      <c r="BC639">
        <v>0.46666666666666667</v>
      </c>
      <c r="BD639">
        <v>1.123915401301518</v>
      </c>
      <c r="BE639">
        <v>4</v>
      </c>
      <c r="BF639">
        <v>0.80673642608295537</v>
      </c>
      <c r="BG639">
        <v>0.81</v>
      </c>
      <c r="BH639" t="s">
        <v>164</v>
      </c>
      <c r="BI639">
        <v>0.81</v>
      </c>
      <c r="BJ639" t="s">
        <v>164</v>
      </c>
      <c r="BK639" s="2">
        <f t="shared" si="19"/>
        <v>0</v>
      </c>
      <c r="BL639" t="b">
        <f t="shared" si="20"/>
        <v>1</v>
      </c>
    </row>
    <row r="640" spans="1:64" x14ac:dyDescent="0.35">
      <c r="A640" t="s">
        <v>1785</v>
      </c>
      <c r="B640" t="s">
        <v>1779</v>
      </c>
      <c r="C640">
        <v>2020</v>
      </c>
      <c r="D640" t="s">
        <v>1780</v>
      </c>
      <c r="E640" t="s">
        <v>1781</v>
      </c>
      <c r="F640" t="s">
        <v>66</v>
      </c>
      <c r="G640" t="s">
        <v>101</v>
      </c>
      <c r="H640" t="s">
        <v>150</v>
      </c>
      <c r="I640" t="s">
        <v>150</v>
      </c>
      <c r="J640" t="s">
        <v>70</v>
      </c>
      <c r="L640">
        <v>4</v>
      </c>
      <c r="M640" t="b">
        <v>0</v>
      </c>
      <c r="N640">
        <v>1</v>
      </c>
      <c r="O640">
        <v>1</v>
      </c>
      <c r="P640">
        <v>7</v>
      </c>
      <c r="Q640">
        <v>2</v>
      </c>
      <c r="R640">
        <v>5</v>
      </c>
      <c r="S640">
        <v>5</v>
      </c>
      <c r="T640">
        <v>30</v>
      </c>
      <c r="U640">
        <v>129</v>
      </c>
      <c r="V640">
        <v>145</v>
      </c>
      <c r="W640">
        <v>25</v>
      </c>
      <c r="X640">
        <v>5.8</v>
      </c>
      <c r="Y640">
        <v>5</v>
      </c>
      <c r="Z640">
        <v>10</v>
      </c>
      <c r="AA640">
        <v>0</v>
      </c>
      <c r="AB640">
        <v>0</v>
      </c>
      <c r="AC640">
        <v>4</v>
      </c>
      <c r="AD640">
        <v>4</v>
      </c>
      <c r="AE640">
        <v>8</v>
      </c>
      <c r="AF640">
        <v>4</v>
      </c>
      <c r="AG640">
        <v>6</v>
      </c>
      <c r="AH640">
        <v>0</v>
      </c>
      <c r="AI640">
        <v>0</v>
      </c>
      <c r="AJ640">
        <v>2</v>
      </c>
      <c r="AK640">
        <v>2</v>
      </c>
      <c r="AL640">
        <v>2</v>
      </c>
      <c r="AM640">
        <v>2</v>
      </c>
      <c r="AN640">
        <v>9</v>
      </c>
      <c r="AO640">
        <v>16</v>
      </c>
      <c r="AP640">
        <v>9</v>
      </c>
      <c r="AQ640">
        <v>18</v>
      </c>
      <c r="AR640">
        <v>7.7519379844961239E-2</v>
      </c>
      <c r="AS640">
        <v>0</v>
      </c>
      <c r="AT640">
        <v>6.2015503875968991E-2</v>
      </c>
      <c r="AU640">
        <v>4.6511627906976737E-2</v>
      </c>
      <c r="AV640">
        <v>0</v>
      </c>
      <c r="AW640">
        <v>1.550387596899225E-2</v>
      </c>
      <c r="AX640">
        <v>0.124031007751938</v>
      </c>
      <c r="AY640">
        <v>0.1395348837209302</v>
      </c>
      <c r="AZ640">
        <v>0.10852713178294569</v>
      </c>
      <c r="BA640">
        <v>0.66666666666666663</v>
      </c>
      <c r="BB640">
        <v>0.79999999999999993</v>
      </c>
      <c r="BC640">
        <v>0.6</v>
      </c>
      <c r="BD640">
        <v>0.69282945736434098</v>
      </c>
      <c r="BE640">
        <v>4</v>
      </c>
      <c r="BF640">
        <v>0.68987403100775191</v>
      </c>
      <c r="BG640">
        <v>0.69</v>
      </c>
      <c r="BH640" t="s">
        <v>86</v>
      </c>
      <c r="BI640">
        <v>0.69</v>
      </c>
      <c r="BJ640" t="s">
        <v>86</v>
      </c>
      <c r="BK640" s="2">
        <f t="shared" si="19"/>
        <v>0</v>
      </c>
      <c r="BL640" t="b">
        <f t="shared" si="20"/>
        <v>1</v>
      </c>
    </row>
    <row r="641" spans="1:64" x14ac:dyDescent="0.35">
      <c r="A641" t="s">
        <v>1786</v>
      </c>
      <c r="B641" t="s">
        <v>1787</v>
      </c>
      <c r="C641">
        <v>2017</v>
      </c>
      <c r="D641" t="s">
        <v>1788</v>
      </c>
      <c r="E641" t="s">
        <v>1789</v>
      </c>
      <c r="F641" t="s">
        <v>66</v>
      </c>
      <c r="G641" t="s">
        <v>101</v>
      </c>
      <c r="H641" t="s">
        <v>365</v>
      </c>
      <c r="I641" t="s">
        <v>1790</v>
      </c>
      <c r="J641" t="s">
        <v>70</v>
      </c>
      <c r="L641">
        <v>1</v>
      </c>
      <c r="M641" t="b">
        <v>0</v>
      </c>
      <c r="N641">
        <v>1</v>
      </c>
      <c r="O641">
        <v>1</v>
      </c>
      <c r="P641">
        <v>8</v>
      </c>
      <c r="Q641">
        <v>1</v>
      </c>
      <c r="R641">
        <v>7</v>
      </c>
      <c r="S641">
        <v>5</v>
      </c>
      <c r="T641">
        <v>24</v>
      </c>
      <c r="U641">
        <v>335</v>
      </c>
      <c r="V641">
        <v>109</v>
      </c>
      <c r="W641">
        <v>17</v>
      </c>
      <c r="X641">
        <v>6.4117647058823533</v>
      </c>
      <c r="Y641">
        <v>6</v>
      </c>
      <c r="Z641">
        <v>120</v>
      </c>
      <c r="AA641">
        <v>2</v>
      </c>
      <c r="AB641">
        <v>4</v>
      </c>
      <c r="AC641">
        <v>2</v>
      </c>
      <c r="AD641">
        <v>2</v>
      </c>
      <c r="AE641">
        <v>5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3</v>
      </c>
      <c r="AL641">
        <v>1</v>
      </c>
      <c r="AM641">
        <v>3</v>
      </c>
      <c r="AN641">
        <v>8</v>
      </c>
      <c r="AO641">
        <v>124</v>
      </c>
      <c r="AP641">
        <v>10</v>
      </c>
      <c r="AQ641">
        <v>129</v>
      </c>
      <c r="AR641">
        <v>0.35820895522388058</v>
      </c>
      <c r="AS641">
        <v>1.194029850746269E-2</v>
      </c>
      <c r="AT641">
        <v>1.492537313432836E-2</v>
      </c>
      <c r="AU641">
        <v>0</v>
      </c>
      <c r="AV641">
        <v>0</v>
      </c>
      <c r="AW641">
        <v>8.9552238805970154E-3</v>
      </c>
      <c r="AX641">
        <v>0.37014925373134328</v>
      </c>
      <c r="AY641">
        <v>0.38507462686567162</v>
      </c>
      <c r="AZ641">
        <v>0.36119402985074628</v>
      </c>
      <c r="BA641">
        <v>0.66666666666666663</v>
      </c>
      <c r="BB641">
        <v>0.90196078431372551</v>
      </c>
      <c r="BC641">
        <v>0.66666666666666663</v>
      </c>
      <c r="BD641">
        <v>0.85074626865671643</v>
      </c>
      <c r="BE641">
        <v>4</v>
      </c>
      <c r="BF641">
        <v>0.77151009657594383</v>
      </c>
      <c r="BG641">
        <v>0.77</v>
      </c>
      <c r="BH641" t="s">
        <v>86</v>
      </c>
      <c r="BI641">
        <v>0.77</v>
      </c>
      <c r="BJ641" t="s">
        <v>86</v>
      </c>
      <c r="BK641" s="2">
        <f t="shared" si="19"/>
        <v>0</v>
      </c>
      <c r="BL641" t="b">
        <f t="shared" si="20"/>
        <v>1</v>
      </c>
    </row>
    <row r="642" spans="1:64" x14ac:dyDescent="0.35">
      <c r="A642" t="s">
        <v>1791</v>
      </c>
      <c r="B642" t="s">
        <v>1787</v>
      </c>
      <c r="C642">
        <v>2022</v>
      </c>
      <c r="D642" t="s">
        <v>1788</v>
      </c>
      <c r="E642" t="s">
        <v>1789</v>
      </c>
      <c r="F642" t="s">
        <v>66</v>
      </c>
      <c r="G642" t="s">
        <v>101</v>
      </c>
      <c r="H642" t="s">
        <v>365</v>
      </c>
      <c r="I642" t="s">
        <v>1790</v>
      </c>
      <c r="J642" t="s">
        <v>70</v>
      </c>
      <c r="L642">
        <v>1</v>
      </c>
      <c r="M642" t="b">
        <v>0</v>
      </c>
      <c r="N642">
        <v>1</v>
      </c>
      <c r="O642">
        <v>1</v>
      </c>
      <c r="P642">
        <v>9</v>
      </c>
      <c r="Q642">
        <v>1</v>
      </c>
      <c r="R642">
        <v>8</v>
      </c>
      <c r="S642">
        <v>5</v>
      </c>
      <c r="T642">
        <v>31</v>
      </c>
      <c r="U642">
        <v>421</v>
      </c>
      <c r="V642">
        <v>150</v>
      </c>
      <c r="W642">
        <v>26</v>
      </c>
      <c r="X642">
        <v>5.7692307692307692</v>
      </c>
      <c r="Y642">
        <v>3</v>
      </c>
      <c r="Z642">
        <v>94</v>
      </c>
      <c r="AA642">
        <v>0</v>
      </c>
      <c r="AB642">
        <v>0</v>
      </c>
      <c r="AC642">
        <v>3</v>
      </c>
      <c r="AD642">
        <v>3</v>
      </c>
      <c r="AE642">
        <v>86</v>
      </c>
      <c r="AF642">
        <v>3</v>
      </c>
      <c r="AG642">
        <v>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6</v>
      </c>
      <c r="AO642">
        <v>128</v>
      </c>
      <c r="AP642">
        <v>6</v>
      </c>
      <c r="AQ642">
        <v>180</v>
      </c>
      <c r="AR642">
        <v>0.22327790973871731</v>
      </c>
      <c r="AS642">
        <v>0</v>
      </c>
      <c r="AT642">
        <v>0.20427553444180521</v>
      </c>
      <c r="AU642">
        <v>8.076009501187649E-2</v>
      </c>
      <c r="AV642">
        <v>0</v>
      </c>
      <c r="AW642">
        <v>0</v>
      </c>
      <c r="AX642">
        <v>0.30403800475059378</v>
      </c>
      <c r="AY642">
        <v>0.42755344418052249</v>
      </c>
      <c r="AZ642">
        <v>0.30403800475059378</v>
      </c>
      <c r="BA642">
        <v>0.66666666666666663</v>
      </c>
      <c r="BB642">
        <v>0.79487179487179482</v>
      </c>
      <c r="BC642">
        <v>0.4</v>
      </c>
      <c r="BD642">
        <v>0.815023752969121</v>
      </c>
      <c r="BE642">
        <v>4</v>
      </c>
      <c r="BF642">
        <v>0.66914055362689562</v>
      </c>
      <c r="BG642">
        <v>0.67</v>
      </c>
      <c r="BH642" t="s">
        <v>86</v>
      </c>
      <c r="BI642">
        <v>0.67</v>
      </c>
      <c r="BJ642" t="s">
        <v>86</v>
      </c>
      <c r="BK642" s="2">
        <f t="shared" si="19"/>
        <v>0</v>
      </c>
      <c r="BL642" t="b">
        <f t="shared" si="20"/>
        <v>1</v>
      </c>
    </row>
    <row r="643" spans="1:64" x14ac:dyDescent="0.35">
      <c r="A643" t="s">
        <v>1792</v>
      </c>
      <c r="B643" t="s">
        <v>1793</v>
      </c>
      <c r="C643">
        <v>2016</v>
      </c>
      <c r="D643" t="s">
        <v>1794</v>
      </c>
      <c r="E643" t="s">
        <v>1795</v>
      </c>
      <c r="F643" t="s">
        <v>66</v>
      </c>
      <c r="G643" t="s">
        <v>91</v>
      </c>
      <c r="H643" t="s">
        <v>91</v>
      </c>
      <c r="I643" t="s">
        <v>1796</v>
      </c>
      <c r="J643" t="s">
        <v>70</v>
      </c>
      <c r="L643">
        <v>1</v>
      </c>
      <c r="M643" t="b">
        <v>0</v>
      </c>
      <c r="N643">
        <v>1</v>
      </c>
      <c r="O643">
        <v>2</v>
      </c>
      <c r="P643">
        <v>9</v>
      </c>
      <c r="Q643">
        <v>5</v>
      </c>
      <c r="R643">
        <v>4</v>
      </c>
      <c r="S643">
        <v>6</v>
      </c>
      <c r="T643">
        <v>46</v>
      </c>
      <c r="U643">
        <v>1266</v>
      </c>
      <c r="V643">
        <v>163</v>
      </c>
      <c r="W643">
        <v>30</v>
      </c>
      <c r="X643">
        <v>5.4333333333333336</v>
      </c>
      <c r="Y643">
        <v>8</v>
      </c>
      <c r="Z643">
        <v>266</v>
      </c>
      <c r="AA643">
        <v>0</v>
      </c>
      <c r="AB643">
        <v>0</v>
      </c>
      <c r="AC643">
        <v>4</v>
      </c>
      <c r="AD643">
        <v>4</v>
      </c>
      <c r="AE643">
        <v>136</v>
      </c>
      <c r="AF643">
        <v>4</v>
      </c>
      <c r="AG643">
        <v>36</v>
      </c>
      <c r="AH643">
        <v>1</v>
      </c>
      <c r="AI643">
        <v>51</v>
      </c>
      <c r="AJ643">
        <v>2</v>
      </c>
      <c r="AK643">
        <v>60</v>
      </c>
      <c r="AL643">
        <v>3</v>
      </c>
      <c r="AM643">
        <v>111</v>
      </c>
      <c r="AN643">
        <v>12</v>
      </c>
      <c r="AO643">
        <v>302</v>
      </c>
      <c r="AP643">
        <v>12</v>
      </c>
      <c r="AQ643">
        <v>402</v>
      </c>
      <c r="AR643">
        <v>0.2101105845181675</v>
      </c>
      <c r="AS643">
        <v>0</v>
      </c>
      <c r="AT643">
        <v>0.1074249605055292</v>
      </c>
      <c r="AU643">
        <v>2.843601895734597E-2</v>
      </c>
      <c r="AV643">
        <v>4.0284360189573459E-2</v>
      </c>
      <c r="AW643">
        <v>8.7677725118483416E-2</v>
      </c>
      <c r="AX643">
        <v>0.2385466034755134</v>
      </c>
      <c r="AY643">
        <v>0.31753554502369669</v>
      </c>
      <c r="AZ643">
        <v>0.15086887835703</v>
      </c>
      <c r="BA643">
        <v>0.83333333333333337</v>
      </c>
      <c r="BB643">
        <v>0.73888888888888893</v>
      </c>
      <c r="BC643">
        <v>0.8</v>
      </c>
      <c r="BD643">
        <v>0.71929304897314372</v>
      </c>
      <c r="BE643">
        <v>4</v>
      </c>
      <c r="BF643">
        <v>0.77287881779884149</v>
      </c>
      <c r="BG643">
        <v>0.78</v>
      </c>
      <c r="BH643" t="s">
        <v>86</v>
      </c>
      <c r="BI643">
        <v>0.77</v>
      </c>
      <c r="BJ643" t="s">
        <v>86</v>
      </c>
      <c r="BK643" s="2">
        <f t="shared" ref="BK643:BK706" si="21">BG643-BI643</f>
        <v>1.0000000000000009E-2</v>
      </c>
      <c r="BL643" t="b">
        <f t="shared" ref="BL643:BL706" si="22">EXACT(BH643,BJ643)</f>
        <v>1</v>
      </c>
    </row>
    <row r="644" spans="1:64" x14ac:dyDescent="0.35">
      <c r="A644" t="s">
        <v>1797</v>
      </c>
      <c r="B644" t="s">
        <v>1793</v>
      </c>
      <c r="C644">
        <v>2019</v>
      </c>
      <c r="D644" t="s">
        <v>1794</v>
      </c>
      <c r="E644" t="s">
        <v>1795</v>
      </c>
      <c r="F644" t="s">
        <v>66</v>
      </c>
      <c r="G644" t="s">
        <v>91</v>
      </c>
      <c r="H644" t="s">
        <v>91</v>
      </c>
      <c r="I644" t="s">
        <v>1796</v>
      </c>
      <c r="J644" t="s">
        <v>70</v>
      </c>
      <c r="L644">
        <v>1</v>
      </c>
      <c r="M644" t="b">
        <v>0</v>
      </c>
      <c r="N644">
        <v>1</v>
      </c>
      <c r="O644">
        <v>2</v>
      </c>
      <c r="P644">
        <v>5</v>
      </c>
      <c r="Q644">
        <v>6</v>
      </c>
      <c r="R644">
        <v>-1</v>
      </c>
      <c r="S644">
        <v>5</v>
      </c>
      <c r="T644">
        <v>30</v>
      </c>
      <c r="U644">
        <v>388</v>
      </c>
      <c r="V644">
        <v>109</v>
      </c>
      <c r="W644">
        <v>22</v>
      </c>
      <c r="X644">
        <v>4.9545454545454541</v>
      </c>
      <c r="Y644">
        <v>3</v>
      </c>
      <c r="Z644">
        <v>35</v>
      </c>
      <c r="AA644">
        <v>0</v>
      </c>
      <c r="AB644">
        <v>0</v>
      </c>
      <c r="AC644">
        <v>1</v>
      </c>
      <c r="AD644">
        <v>1</v>
      </c>
      <c r="AE644">
        <v>21</v>
      </c>
      <c r="AF644">
        <v>1</v>
      </c>
      <c r="AG644">
        <v>11</v>
      </c>
      <c r="AH644">
        <v>1</v>
      </c>
      <c r="AI644">
        <v>25</v>
      </c>
      <c r="AJ644">
        <v>2</v>
      </c>
      <c r="AK644">
        <v>11</v>
      </c>
      <c r="AL644">
        <v>3</v>
      </c>
      <c r="AM644">
        <v>36</v>
      </c>
      <c r="AN644">
        <v>4</v>
      </c>
      <c r="AO644">
        <v>46</v>
      </c>
      <c r="AP644">
        <v>4</v>
      </c>
      <c r="AQ644">
        <v>56</v>
      </c>
      <c r="AR644">
        <v>9.0206185567010308E-2</v>
      </c>
      <c r="AS644">
        <v>0</v>
      </c>
      <c r="AT644">
        <v>5.4123711340206188E-2</v>
      </c>
      <c r="AU644">
        <v>2.8350515463917529E-2</v>
      </c>
      <c r="AV644">
        <v>6.4432989690721643E-2</v>
      </c>
      <c r="AW644">
        <v>9.2783505154639179E-2</v>
      </c>
      <c r="AX644">
        <v>0.1185567010309278</v>
      </c>
      <c r="AY644">
        <v>0.14432989690721651</v>
      </c>
      <c r="AZ644">
        <v>2.5773195876288651E-2</v>
      </c>
      <c r="BA644">
        <v>0.66666666666666663</v>
      </c>
      <c r="BB644">
        <v>0.65909090909090906</v>
      </c>
      <c r="BC644">
        <v>0.26666666666666672</v>
      </c>
      <c r="BD644">
        <v>0.64110824742268036</v>
      </c>
      <c r="BE644">
        <v>4</v>
      </c>
      <c r="BF644">
        <v>0.55838312246173072</v>
      </c>
      <c r="BG644">
        <v>0.56999999999999995</v>
      </c>
      <c r="BH644" t="s">
        <v>71</v>
      </c>
      <c r="BI644">
        <v>0.56000000000000005</v>
      </c>
      <c r="BJ644" t="s">
        <v>71</v>
      </c>
      <c r="BK644" s="2">
        <f t="shared" si="21"/>
        <v>9.9999999999998979E-3</v>
      </c>
      <c r="BL644" t="b">
        <f t="shared" si="22"/>
        <v>1</v>
      </c>
    </row>
    <row r="645" spans="1:64" x14ac:dyDescent="0.35">
      <c r="A645" t="s">
        <v>1798</v>
      </c>
      <c r="B645" t="s">
        <v>1793</v>
      </c>
      <c r="C645">
        <v>2022</v>
      </c>
      <c r="D645" t="s">
        <v>1794</v>
      </c>
      <c r="E645" t="s">
        <v>1795</v>
      </c>
      <c r="F645" t="s">
        <v>66</v>
      </c>
      <c r="G645" t="s">
        <v>91</v>
      </c>
      <c r="H645" t="s">
        <v>91</v>
      </c>
      <c r="I645" t="s">
        <v>1796</v>
      </c>
      <c r="J645" t="s">
        <v>70</v>
      </c>
      <c r="L645">
        <v>1</v>
      </c>
      <c r="M645" t="b">
        <v>0</v>
      </c>
      <c r="N645">
        <v>1</v>
      </c>
      <c r="O645">
        <v>2</v>
      </c>
      <c r="P645">
        <v>9</v>
      </c>
      <c r="Q645">
        <v>5</v>
      </c>
      <c r="R645">
        <v>4</v>
      </c>
      <c r="S645">
        <v>6</v>
      </c>
      <c r="T645">
        <v>42</v>
      </c>
      <c r="U645">
        <v>468</v>
      </c>
      <c r="V645">
        <v>180</v>
      </c>
      <c r="W645">
        <v>34</v>
      </c>
      <c r="X645">
        <v>5.2941176470588234</v>
      </c>
      <c r="Y645">
        <v>6</v>
      </c>
      <c r="Z645">
        <v>95</v>
      </c>
      <c r="AA645">
        <v>0</v>
      </c>
      <c r="AB645">
        <v>0</v>
      </c>
      <c r="AC645">
        <v>6</v>
      </c>
      <c r="AD645">
        <v>6</v>
      </c>
      <c r="AE645">
        <v>29</v>
      </c>
      <c r="AF645">
        <v>3</v>
      </c>
      <c r="AG645">
        <v>39</v>
      </c>
      <c r="AH645">
        <v>2</v>
      </c>
      <c r="AI645">
        <v>84</v>
      </c>
      <c r="AJ645">
        <v>4</v>
      </c>
      <c r="AK645">
        <v>32</v>
      </c>
      <c r="AL645">
        <v>6</v>
      </c>
      <c r="AM645">
        <v>116</v>
      </c>
      <c r="AN645">
        <v>9</v>
      </c>
      <c r="AO645">
        <v>134</v>
      </c>
      <c r="AP645">
        <v>12</v>
      </c>
      <c r="AQ645">
        <v>124</v>
      </c>
      <c r="AR645">
        <v>0.20299145299145299</v>
      </c>
      <c r="AS645">
        <v>0</v>
      </c>
      <c r="AT645">
        <v>6.1965811965811968E-2</v>
      </c>
      <c r="AU645">
        <v>8.3333333333333329E-2</v>
      </c>
      <c r="AV645">
        <v>0.17948717948717949</v>
      </c>
      <c r="AW645">
        <v>0.2478632478632479</v>
      </c>
      <c r="AX645">
        <v>0.28632478632478631</v>
      </c>
      <c r="AY645">
        <v>0.26495726495726502</v>
      </c>
      <c r="AZ645">
        <v>3.8461538461538443E-2</v>
      </c>
      <c r="BA645">
        <v>0.83333333333333337</v>
      </c>
      <c r="BB645">
        <v>0.71568627450980393</v>
      </c>
      <c r="BC645">
        <v>0.8</v>
      </c>
      <c r="BD645">
        <v>0.64903846153846156</v>
      </c>
      <c r="BE645">
        <v>4</v>
      </c>
      <c r="BF645">
        <v>0.74951451734539976</v>
      </c>
      <c r="BG645">
        <v>0.74</v>
      </c>
      <c r="BH645" t="s">
        <v>86</v>
      </c>
      <c r="BI645">
        <v>0.75</v>
      </c>
      <c r="BJ645" t="s">
        <v>86</v>
      </c>
      <c r="BK645" s="2">
        <f t="shared" si="21"/>
        <v>-1.0000000000000009E-2</v>
      </c>
      <c r="BL645" t="b">
        <f t="shared" si="22"/>
        <v>1</v>
      </c>
    </row>
    <row r="646" spans="1:64" x14ac:dyDescent="0.35">
      <c r="A646" t="s">
        <v>1799</v>
      </c>
      <c r="B646" t="s">
        <v>1800</v>
      </c>
      <c r="C646">
        <v>2014</v>
      </c>
      <c r="D646" t="s">
        <v>1801</v>
      </c>
      <c r="E646" t="s">
        <v>1802</v>
      </c>
      <c r="F646" t="s">
        <v>66</v>
      </c>
      <c r="G646" t="s">
        <v>101</v>
      </c>
      <c r="H646" t="s">
        <v>195</v>
      </c>
      <c r="I646" t="s">
        <v>195</v>
      </c>
      <c r="J646" t="s">
        <v>70</v>
      </c>
      <c r="L646">
        <v>5</v>
      </c>
      <c r="M646" t="b">
        <v>0</v>
      </c>
      <c r="N646">
        <v>1</v>
      </c>
      <c r="O646">
        <v>3</v>
      </c>
      <c r="P646">
        <v>7</v>
      </c>
      <c r="Q646">
        <v>4</v>
      </c>
      <c r="R646">
        <v>3</v>
      </c>
      <c r="S646">
        <v>5</v>
      </c>
      <c r="T646">
        <v>29</v>
      </c>
      <c r="U646">
        <v>545</v>
      </c>
      <c r="V646">
        <v>144</v>
      </c>
      <c r="W646">
        <v>25</v>
      </c>
      <c r="X646">
        <v>5.76</v>
      </c>
      <c r="Y646">
        <v>3</v>
      </c>
      <c r="Z646">
        <v>76</v>
      </c>
      <c r="AA646">
        <v>1</v>
      </c>
      <c r="AB646">
        <v>12</v>
      </c>
      <c r="AC646">
        <v>2</v>
      </c>
      <c r="AD646">
        <v>2</v>
      </c>
      <c r="AE646">
        <v>52</v>
      </c>
      <c r="AF646">
        <v>3</v>
      </c>
      <c r="AG646">
        <v>22</v>
      </c>
      <c r="AH646">
        <v>0</v>
      </c>
      <c r="AI646">
        <v>0</v>
      </c>
      <c r="AJ646">
        <v>3</v>
      </c>
      <c r="AK646">
        <v>10</v>
      </c>
      <c r="AL646">
        <v>3</v>
      </c>
      <c r="AM646">
        <v>10</v>
      </c>
      <c r="AN646">
        <v>7</v>
      </c>
      <c r="AO646">
        <v>110</v>
      </c>
      <c r="AP646">
        <v>6</v>
      </c>
      <c r="AQ646">
        <v>140</v>
      </c>
      <c r="AR646">
        <v>0.13944954128440371</v>
      </c>
      <c r="AS646">
        <v>2.2018348623853209E-2</v>
      </c>
      <c r="AT646">
        <v>9.5412844036697253E-2</v>
      </c>
      <c r="AU646">
        <v>4.0366972477064222E-2</v>
      </c>
      <c r="AV646">
        <v>0</v>
      </c>
      <c r="AW646">
        <v>1.834862385321101E-2</v>
      </c>
      <c r="AX646">
        <v>0.20183486238532111</v>
      </c>
      <c r="AY646">
        <v>0.25688073394495409</v>
      </c>
      <c r="AZ646">
        <v>0.1834862385321101</v>
      </c>
      <c r="BA646">
        <v>0.66666666666666663</v>
      </c>
      <c r="BB646">
        <v>0.79333333333333333</v>
      </c>
      <c r="BC646">
        <v>0.4</v>
      </c>
      <c r="BD646">
        <v>0.73967889908256879</v>
      </c>
      <c r="BE646">
        <v>4</v>
      </c>
      <c r="BF646">
        <v>0.64991972477064219</v>
      </c>
      <c r="BG646">
        <v>0.67</v>
      </c>
      <c r="BH646" t="s">
        <v>86</v>
      </c>
      <c r="BI646">
        <v>0.65</v>
      </c>
      <c r="BJ646" t="s">
        <v>86</v>
      </c>
      <c r="BK646" s="2">
        <f t="shared" si="21"/>
        <v>2.0000000000000018E-2</v>
      </c>
      <c r="BL646" t="b">
        <f t="shared" si="22"/>
        <v>1</v>
      </c>
    </row>
    <row r="647" spans="1:64" x14ac:dyDescent="0.35">
      <c r="A647" t="s">
        <v>1803</v>
      </c>
      <c r="B647" t="s">
        <v>1800</v>
      </c>
      <c r="C647">
        <v>2015</v>
      </c>
      <c r="D647" t="s">
        <v>1801</v>
      </c>
      <c r="E647" t="s">
        <v>1802</v>
      </c>
      <c r="F647" t="s">
        <v>66</v>
      </c>
      <c r="G647" t="s">
        <v>101</v>
      </c>
      <c r="H647" t="s">
        <v>195</v>
      </c>
      <c r="I647" t="s">
        <v>195</v>
      </c>
      <c r="J647" t="s">
        <v>70</v>
      </c>
      <c r="L647">
        <v>5</v>
      </c>
      <c r="M647" t="b">
        <v>0</v>
      </c>
      <c r="N647">
        <v>1</v>
      </c>
      <c r="O647">
        <v>2</v>
      </c>
      <c r="P647">
        <v>8</v>
      </c>
      <c r="Q647">
        <v>3</v>
      </c>
      <c r="R647">
        <v>5</v>
      </c>
      <c r="S647">
        <v>6</v>
      </c>
      <c r="T647">
        <v>26</v>
      </c>
      <c r="U647">
        <v>286</v>
      </c>
      <c r="V647">
        <v>143</v>
      </c>
      <c r="W647">
        <v>23</v>
      </c>
      <c r="X647">
        <v>6.2173913043478262</v>
      </c>
      <c r="Y647">
        <v>2</v>
      </c>
      <c r="Z647">
        <v>28</v>
      </c>
      <c r="AA647">
        <v>3</v>
      </c>
      <c r="AB647">
        <v>28</v>
      </c>
      <c r="AC647">
        <v>2</v>
      </c>
      <c r="AD647">
        <v>2</v>
      </c>
      <c r="AE647">
        <v>32</v>
      </c>
      <c r="AF647">
        <v>1</v>
      </c>
      <c r="AG647">
        <v>9</v>
      </c>
      <c r="AH647">
        <v>0</v>
      </c>
      <c r="AI647">
        <v>0</v>
      </c>
      <c r="AJ647">
        <v>1</v>
      </c>
      <c r="AK647">
        <v>7</v>
      </c>
      <c r="AL647">
        <v>1</v>
      </c>
      <c r="AM647">
        <v>7</v>
      </c>
      <c r="AN647">
        <v>6</v>
      </c>
      <c r="AO647">
        <v>65</v>
      </c>
      <c r="AP647">
        <v>7</v>
      </c>
      <c r="AQ647">
        <v>88</v>
      </c>
      <c r="AR647">
        <v>9.7902097902097904E-2</v>
      </c>
      <c r="AS647">
        <v>9.7902097902097904E-2</v>
      </c>
      <c r="AT647">
        <v>0.1118881118881119</v>
      </c>
      <c r="AU647">
        <v>3.1468531468531472E-2</v>
      </c>
      <c r="AV647">
        <v>0</v>
      </c>
      <c r="AW647">
        <v>2.4475524475524479E-2</v>
      </c>
      <c r="AX647">
        <v>0.22727272727272729</v>
      </c>
      <c r="AY647">
        <v>0.30769230769230771</v>
      </c>
      <c r="AZ647">
        <v>0.20279720279720281</v>
      </c>
      <c r="BA647">
        <v>0.83333333333333337</v>
      </c>
      <c r="BB647">
        <v>0.86956521739130432</v>
      </c>
      <c r="BC647">
        <v>0.46666666666666667</v>
      </c>
      <c r="BD647">
        <v>0.75174825174825177</v>
      </c>
      <c r="BE647">
        <v>4</v>
      </c>
      <c r="BF647">
        <v>0.73032836728488904</v>
      </c>
      <c r="BG647">
        <v>0.73</v>
      </c>
      <c r="BH647" t="s">
        <v>86</v>
      </c>
      <c r="BI647">
        <v>0.73</v>
      </c>
      <c r="BJ647" t="s">
        <v>86</v>
      </c>
      <c r="BK647" s="2">
        <f t="shared" si="21"/>
        <v>0</v>
      </c>
      <c r="BL647" t="b">
        <f t="shared" si="22"/>
        <v>1</v>
      </c>
    </row>
    <row r="648" spans="1:64" x14ac:dyDescent="0.35">
      <c r="A648" t="s">
        <v>1804</v>
      </c>
      <c r="B648" t="s">
        <v>1800</v>
      </c>
      <c r="C648">
        <v>2016</v>
      </c>
      <c r="D648" t="s">
        <v>1801</v>
      </c>
      <c r="E648" t="s">
        <v>1802</v>
      </c>
      <c r="F648" t="s">
        <v>66</v>
      </c>
      <c r="G648" t="s">
        <v>101</v>
      </c>
      <c r="H648" t="s">
        <v>195</v>
      </c>
      <c r="I648" t="s">
        <v>195</v>
      </c>
      <c r="J648" t="s">
        <v>70</v>
      </c>
      <c r="L648">
        <v>5</v>
      </c>
      <c r="M648" t="b">
        <v>0</v>
      </c>
      <c r="N648">
        <v>1</v>
      </c>
      <c r="O648">
        <v>1</v>
      </c>
      <c r="P648">
        <v>8</v>
      </c>
      <c r="Q648">
        <v>3</v>
      </c>
      <c r="R648">
        <v>5</v>
      </c>
      <c r="S648">
        <v>5</v>
      </c>
      <c r="T648">
        <v>31</v>
      </c>
      <c r="U648">
        <v>720</v>
      </c>
      <c r="V648">
        <v>146</v>
      </c>
      <c r="W648">
        <v>26</v>
      </c>
      <c r="X648">
        <v>5.615384615384615</v>
      </c>
      <c r="Y648">
        <v>4</v>
      </c>
      <c r="Z648">
        <v>132</v>
      </c>
      <c r="AA648">
        <v>1</v>
      </c>
      <c r="AB648">
        <v>38</v>
      </c>
      <c r="AC648">
        <v>2</v>
      </c>
      <c r="AD648">
        <v>2</v>
      </c>
      <c r="AE648">
        <v>73</v>
      </c>
      <c r="AF648">
        <v>2</v>
      </c>
      <c r="AG648">
        <v>27</v>
      </c>
      <c r="AH648">
        <v>0</v>
      </c>
      <c r="AI648">
        <v>0</v>
      </c>
      <c r="AJ648">
        <v>2</v>
      </c>
      <c r="AK648">
        <v>10</v>
      </c>
      <c r="AL648">
        <v>2</v>
      </c>
      <c r="AM648">
        <v>10</v>
      </c>
      <c r="AN648">
        <v>7</v>
      </c>
      <c r="AO648">
        <v>197</v>
      </c>
      <c r="AP648">
        <v>7</v>
      </c>
      <c r="AQ648">
        <v>243</v>
      </c>
      <c r="AR648">
        <v>0.18333333333333329</v>
      </c>
      <c r="AS648">
        <v>5.2777777777777778E-2</v>
      </c>
      <c r="AT648">
        <v>0.1013888888888889</v>
      </c>
      <c r="AU648">
        <v>3.7499999999999999E-2</v>
      </c>
      <c r="AV648">
        <v>0</v>
      </c>
      <c r="AW648">
        <v>1.388888888888889E-2</v>
      </c>
      <c r="AX648">
        <v>0.27361111111111108</v>
      </c>
      <c r="AY648">
        <v>0.33750000000000002</v>
      </c>
      <c r="AZ648">
        <v>0.25972222222222219</v>
      </c>
      <c r="BA648">
        <v>0.66666666666666663</v>
      </c>
      <c r="BB648">
        <v>0.76923076923076916</v>
      </c>
      <c r="BC648">
        <v>0.46666666666666667</v>
      </c>
      <c r="BD648">
        <v>0.78732638888888884</v>
      </c>
      <c r="BE648">
        <v>4</v>
      </c>
      <c r="BF648">
        <v>0.67247262286324783</v>
      </c>
      <c r="BG648">
        <v>0.67</v>
      </c>
      <c r="BH648" t="s">
        <v>86</v>
      </c>
      <c r="BI648">
        <v>0.67</v>
      </c>
      <c r="BJ648" t="s">
        <v>86</v>
      </c>
      <c r="BK648" s="2">
        <f t="shared" si="21"/>
        <v>0</v>
      </c>
      <c r="BL648" t="b">
        <f t="shared" si="22"/>
        <v>1</v>
      </c>
    </row>
    <row r="649" spans="1:64" x14ac:dyDescent="0.35">
      <c r="A649" t="s">
        <v>1805</v>
      </c>
      <c r="B649" t="s">
        <v>1800</v>
      </c>
      <c r="C649">
        <v>2017</v>
      </c>
      <c r="D649" t="s">
        <v>1801</v>
      </c>
      <c r="E649" t="s">
        <v>1802</v>
      </c>
      <c r="F649" t="s">
        <v>66</v>
      </c>
      <c r="G649" t="s">
        <v>101</v>
      </c>
      <c r="H649" t="s">
        <v>195</v>
      </c>
      <c r="I649" t="s">
        <v>195</v>
      </c>
      <c r="J649" t="s">
        <v>70</v>
      </c>
      <c r="L649">
        <v>5</v>
      </c>
      <c r="M649" t="b">
        <v>0</v>
      </c>
      <c r="N649">
        <v>1</v>
      </c>
      <c r="O649">
        <v>5</v>
      </c>
      <c r="P649">
        <v>15</v>
      </c>
      <c r="Q649">
        <v>3</v>
      </c>
      <c r="R649">
        <v>12</v>
      </c>
      <c r="S649">
        <v>7</v>
      </c>
      <c r="T649">
        <v>37</v>
      </c>
      <c r="U649">
        <v>557</v>
      </c>
      <c r="V649">
        <v>171</v>
      </c>
      <c r="W649">
        <v>26</v>
      </c>
      <c r="X649">
        <v>6.5769230769230766</v>
      </c>
      <c r="Y649">
        <v>7</v>
      </c>
      <c r="Z649">
        <v>125</v>
      </c>
      <c r="AA649">
        <v>2</v>
      </c>
      <c r="AB649">
        <v>5</v>
      </c>
      <c r="AC649">
        <v>2</v>
      </c>
      <c r="AD649">
        <v>2</v>
      </c>
      <c r="AE649">
        <v>19</v>
      </c>
      <c r="AF649">
        <v>2</v>
      </c>
      <c r="AG649">
        <v>10</v>
      </c>
      <c r="AH649">
        <v>1</v>
      </c>
      <c r="AI649">
        <v>2</v>
      </c>
      <c r="AJ649">
        <v>1</v>
      </c>
      <c r="AK649">
        <v>2</v>
      </c>
      <c r="AL649">
        <v>2</v>
      </c>
      <c r="AM649">
        <v>4</v>
      </c>
      <c r="AN649">
        <v>11</v>
      </c>
      <c r="AO649">
        <v>140</v>
      </c>
      <c r="AP649">
        <v>11</v>
      </c>
      <c r="AQ649">
        <v>149</v>
      </c>
      <c r="AR649">
        <v>0.2244165170556553</v>
      </c>
      <c r="AS649">
        <v>8.9766606822262122E-3</v>
      </c>
      <c r="AT649">
        <v>3.4111310592459608E-2</v>
      </c>
      <c r="AU649">
        <v>1.7953321364452421E-2</v>
      </c>
      <c r="AV649">
        <v>3.5906642728904849E-3</v>
      </c>
      <c r="AW649">
        <v>7.1813285457809697E-3</v>
      </c>
      <c r="AX649">
        <v>0.25134649910233392</v>
      </c>
      <c r="AY649">
        <v>0.26750448833034107</v>
      </c>
      <c r="AZ649">
        <v>0.24416517055655301</v>
      </c>
      <c r="BA649">
        <v>1</v>
      </c>
      <c r="BB649">
        <v>0.9294871794871794</v>
      </c>
      <c r="BC649">
        <v>0.73333333333333328</v>
      </c>
      <c r="BD649">
        <v>0.77760323159784561</v>
      </c>
      <c r="BE649">
        <v>4</v>
      </c>
      <c r="BF649">
        <v>0.86010593610458952</v>
      </c>
      <c r="BG649">
        <v>0.86</v>
      </c>
      <c r="BH649" t="s">
        <v>164</v>
      </c>
      <c r="BI649">
        <v>0.86</v>
      </c>
      <c r="BJ649" t="s">
        <v>164</v>
      </c>
      <c r="BK649" s="2">
        <f t="shared" si="21"/>
        <v>0</v>
      </c>
      <c r="BL649" t="b">
        <f t="shared" si="22"/>
        <v>1</v>
      </c>
    </row>
    <row r="650" spans="1:64" x14ac:dyDescent="0.35">
      <c r="A650" t="s">
        <v>1806</v>
      </c>
      <c r="B650" t="s">
        <v>1800</v>
      </c>
      <c r="C650">
        <v>2020</v>
      </c>
      <c r="D650" t="s">
        <v>1801</v>
      </c>
      <c r="E650" t="s">
        <v>1802</v>
      </c>
      <c r="F650" t="s">
        <v>66</v>
      </c>
      <c r="G650" t="s">
        <v>101</v>
      </c>
      <c r="H650" t="s">
        <v>195</v>
      </c>
      <c r="I650" t="s">
        <v>195</v>
      </c>
      <c r="J650" t="s">
        <v>70</v>
      </c>
      <c r="L650">
        <v>5</v>
      </c>
      <c r="M650" t="b">
        <v>0</v>
      </c>
      <c r="N650">
        <v>1</v>
      </c>
      <c r="O650">
        <v>1</v>
      </c>
      <c r="P650">
        <v>6</v>
      </c>
      <c r="Q650">
        <v>3</v>
      </c>
      <c r="R650">
        <v>3</v>
      </c>
      <c r="S650">
        <v>4</v>
      </c>
      <c r="T650">
        <v>27</v>
      </c>
      <c r="U650">
        <v>162</v>
      </c>
      <c r="V650">
        <v>125</v>
      </c>
      <c r="W650">
        <v>21</v>
      </c>
      <c r="X650">
        <v>5.9523809523809534</v>
      </c>
      <c r="Y650">
        <v>1</v>
      </c>
      <c r="Z650">
        <v>7</v>
      </c>
      <c r="AA650">
        <v>0</v>
      </c>
      <c r="AB650">
        <v>0</v>
      </c>
      <c r="AC650">
        <v>3</v>
      </c>
      <c r="AD650">
        <v>3</v>
      </c>
      <c r="AE650">
        <v>20</v>
      </c>
      <c r="AF650">
        <v>1</v>
      </c>
      <c r="AG650">
        <v>1</v>
      </c>
      <c r="AH650">
        <v>1</v>
      </c>
      <c r="AI650">
        <v>7</v>
      </c>
      <c r="AJ650">
        <v>1</v>
      </c>
      <c r="AK650">
        <v>5</v>
      </c>
      <c r="AL650">
        <v>2</v>
      </c>
      <c r="AM650">
        <v>12</v>
      </c>
      <c r="AN650">
        <v>2</v>
      </c>
      <c r="AO650">
        <v>8</v>
      </c>
      <c r="AP650">
        <v>4</v>
      </c>
      <c r="AQ650">
        <v>27</v>
      </c>
      <c r="AR650">
        <v>4.3209876543209867E-2</v>
      </c>
      <c r="AS650">
        <v>0</v>
      </c>
      <c r="AT650">
        <v>0.1234567901234568</v>
      </c>
      <c r="AU650">
        <v>6.1728395061728392E-3</v>
      </c>
      <c r="AV650">
        <v>4.3209876543209867E-2</v>
      </c>
      <c r="AW650">
        <v>7.407407407407407E-2</v>
      </c>
      <c r="AX650">
        <v>4.9382716049382713E-2</v>
      </c>
      <c r="AY650">
        <v>0.16666666666666671</v>
      </c>
      <c r="AZ650">
        <v>-2.469135802469136E-2</v>
      </c>
      <c r="BA650">
        <v>0.5</v>
      </c>
      <c r="BB650">
        <v>0.82539682539682557</v>
      </c>
      <c r="BC650">
        <v>0.26666666666666672</v>
      </c>
      <c r="BD650">
        <v>0.60956790123456783</v>
      </c>
      <c r="BE650">
        <v>4</v>
      </c>
      <c r="BF650">
        <v>0.55040784832451506</v>
      </c>
      <c r="BG650">
        <v>0.56000000000000005</v>
      </c>
      <c r="BH650" t="s">
        <v>71</v>
      </c>
      <c r="BI650">
        <v>0.55000000000000004</v>
      </c>
      <c r="BJ650" t="s">
        <v>71</v>
      </c>
      <c r="BK650" s="2">
        <f t="shared" si="21"/>
        <v>1.0000000000000009E-2</v>
      </c>
      <c r="BL650" t="b">
        <f t="shared" si="22"/>
        <v>1</v>
      </c>
    </row>
    <row r="651" spans="1:64" x14ac:dyDescent="0.35">
      <c r="A651" t="s">
        <v>1807</v>
      </c>
      <c r="B651" t="s">
        <v>1808</v>
      </c>
      <c r="C651">
        <v>2015</v>
      </c>
      <c r="D651" t="s">
        <v>1809</v>
      </c>
      <c r="E651" t="s">
        <v>1810</v>
      </c>
      <c r="F651" t="s">
        <v>66</v>
      </c>
      <c r="G651" t="s">
        <v>101</v>
      </c>
      <c r="H651" t="s">
        <v>150</v>
      </c>
      <c r="I651" t="s">
        <v>150</v>
      </c>
      <c r="J651" t="s">
        <v>70</v>
      </c>
      <c r="L651">
        <v>5</v>
      </c>
      <c r="M651" t="b">
        <v>0</v>
      </c>
      <c r="N651">
        <v>1</v>
      </c>
      <c r="O651">
        <v>1</v>
      </c>
      <c r="P651">
        <v>8</v>
      </c>
      <c r="Q651">
        <v>5</v>
      </c>
      <c r="R651">
        <v>3</v>
      </c>
      <c r="S651">
        <v>4</v>
      </c>
      <c r="T651">
        <v>47</v>
      </c>
      <c r="U651">
        <v>1051</v>
      </c>
      <c r="V651">
        <v>157</v>
      </c>
      <c r="W651">
        <v>30</v>
      </c>
      <c r="X651">
        <v>5.2333333333333334</v>
      </c>
      <c r="Y651">
        <v>5</v>
      </c>
      <c r="Z651">
        <v>183</v>
      </c>
      <c r="AA651">
        <v>0</v>
      </c>
      <c r="AB651">
        <v>0</v>
      </c>
      <c r="AC651">
        <v>1</v>
      </c>
      <c r="AD651">
        <v>1</v>
      </c>
      <c r="AE651">
        <v>48</v>
      </c>
      <c r="AF651">
        <v>4</v>
      </c>
      <c r="AG651">
        <v>44</v>
      </c>
      <c r="AH651">
        <v>1</v>
      </c>
      <c r="AI651">
        <v>3</v>
      </c>
      <c r="AJ651">
        <v>4</v>
      </c>
      <c r="AK651">
        <v>21</v>
      </c>
      <c r="AL651">
        <v>5</v>
      </c>
      <c r="AM651">
        <v>24</v>
      </c>
      <c r="AN651">
        <v>9</v>
      </c>
      <c r="AO651">
        <v>227</v>
      </c>
      <c r="AP651">
        <v>6</v>
      </c>
      <c r="AQ651">
        <v>231</v>
      </c>
      <c r="AR651">
        <v>0.17411988582302571</v>
      </c>
      <c r="AS651">
        <v>0</v>
      </c>
      <c r="AT651">
        <v>4.5670789724072312E-2</v>
      </c>
      <c r="AU651">
        <v>4.1864890580399619E-2</v>
      </c>
      <c r="AV651">
        <v>2.85442435775452E-3</v>
      </c>
      <c r="AW651">
        <v>2.283539486203616E-2</v>
      </c>
      <c r="AX651">
        <v>0.21598477640342531</v>
      </c>
      <c r="AY651">
        <v>0.219790675547098</v>
      </c>
      <c r="AZ651">
        <v>0.19314938154138919</v>
      </c>
      <c r="BA651">
        <v>0.5</v>
      </c>
      <c r="BB651">
        <v>0.7055555555555556</v>
      </c>
      <c r="BC651">
        <v>0.4</v>
      </c>
      <c r="BD651">
        <v>0.74571836346336817</v>
      </c>
      <c r="BE651">
        <v>4</v>
      </c>
      <c r="BF651">
        <v>0.587818479754731</v>
      </c>
      <c r="BG651">
        <v>0.59</v>
      </c>
      <c r="BH651" t="s">
        <v>71</v>
      </c>
      <c r="BI651">
        <v>0.59</v>
      </c>
      <c r="BJ651" t="s">
        <v>71</v>
      </c>
      <c r="BK651" s="2">
        <f t="shared" si="21"/>
        <v>0</v>
      </c>
      <c r="BL651" t="b">
        <f t="shared" si="22"/>
        <v>1</v>
      </c>
    </row>
    <row r="652" spans="1:64" x14ac:dyDescent="0.35">
      <c r="A652" t="s">
        <v>1811</v>
      </c>
      <c r="B652" t="s">
        <v>1808</v>
      </c>
      <c r="C652">
        <v>2019</v>
      </c>
      <c r="D652" t="s">
        <v>1809</v>
      </c>
      <c r="E652" t="s">
        <v>1810</v>
      </c>
      <c r="F652" t="s">
        <v>66</v>
      </c>
      <c r="G652" t="s">
        <v>101</v>
      </c>
      <c r="H652" t="s">
        <v>150</v>
      </c>
      <c r="I652" t="s">
        <v>150</v>
      </c>
      <c r="J652" t="s">
        <v>70</v>
      </c>
      <c r="L652">
        <v>5</v>
      </c>
      <c r="M652" t="b">
        <v>0</v>
      </c>
      <c r="N652">
        <v>2</v>
      </c>
      <c r="O652">
        <v>1</v>
      </c>
      <c r="P652">
        <v>4</v>
      </c>
      <c r="Q652">
        <v>4</v>
      </c>
      <c r="R652">
        <v>0</v>
      </c>
      <c r="S652">
        <v>4</v>
      </c>
      <c r="T652">
        <v>31</v>
      </c>
      <c r="U652">
        <v>268</v>
      </c>
      <c r="V652">
        <v>115</v>
      </c>
      <c r="W652">
        <v>22</v>
      </c>
      <c r="X652">
        <v>5.2272727272727284</v>
      </c>
      <c r="Y652">
        <v>3</v>
      </c>
      <c r="Z652">
        <v>26</v>
      </c>
      <c r="AA652">
        <v>0</v>
      </c>
      <c r="AB652">
        <v>0</v>
      </c>
      <c r="AC652">
        <v>1</v>
      </c>
      <c r="AD652">
        <v>1</v>
      </c>
      <c r="AE652">
        <v>22</v>
      </c>
      <c r="AF652">
        <v>1</v>
      </c>
      <c r="AG652">
        <v>1</v>
      </c>
      <c r="AH652">
        <v>1</v>
      </c>
      <c r="AI652">
        <v>4</v>
      </c>
      <c r="AJ652">
        <v>1</v>
      </c>
      <c r="AK652">
        <v>5</v>
      </c>
      <c r="AL652">
        <v>2</v>
      </c>
      <c r="AM652">
        <v>9</v>
      </c>
      <c r="AN652">
        <v>4</v>
      </c>
      <c r="AO652">
        <v>27</v>
      </c>
      <c r="AP652">
        <v>4</v>
      </c>
      <c r="AQ652">
        <v>48</v>
      </c>
      <c r="AR652">
        <v>9.7014925373134331E-2</v>
      </c>
      <c r="AS652">
        <v>0</v>
      </c>
      <c r="AT652">
        <v>8.2089552238805971E-2</v>
      </c>
      <c r="AU652">
        <v>3.731343283582089E-3</v>
      </c>
      <c r="AV652">
        <v>1.492537313432836E-2</v>
      </c>
      <c r="AW652">
        <v>3.3582089552238813E-2</v>
      </c>
      <c r="AX652">
        <v>0.1007462686567164</v>
      </c>
      <c r="AY652">
        <v>0.17910447761194029</v>
      </c>
      <c r="AZ652">
        <v>6.7164179104477612E-2</v>
      </c>
      <c r="BA652">
        <v>0.5</v>
      </c>
      <c r="BB652">
        <v>0.7045454545454547</v>
      </c>
      <c r="BC652">
        <v>0.26666666666666672</v>
      </c>
      <c r="BD652">
        <v>0.66697761194029848</v>
      </c>
      <c r="BE652">
        <v>4</v>
      </c>
      <c r="BF652">
        <v>0.53454743328810495</v>
      </c>
      <c r="BG652">
        <v>0.54</v>
      </c>
      <c r="BH652" t="s">
        <v>71</v>
      </c>
      <c r="BI652">
        <v>0.53</v>
      </c>
      <c r="BJ652" t="s">
        <v>71</v>
      </c>
      <c r="BK652" s="2">
        <f t="shared" si="21"/>
        <v>1.0000000000000009E-2</v>
      </c>
      <c r="BL652" t="b">
        <f t="shared" si="22"/>
        <v>1</v>
      </c>
    </row>
    <row r="653" spans="1:64" x14ac:dyDescent="0.35">
      <c r="A653" t="s">
        <v>1812</v>
      </c>
      <c r="B653" t="s">
        <v>1808</v>
      </c>
      <c r="C653">
        <v>2022</v>
      </c>
      <c r="D653" t="s">
        <v>1809</v>
      </c>
      <c r="E653" t="s">
        <v>1810</v>
      </c>
      <c r="F653" t="s">
        <v>66</v>
      </c>
      <c r="G653" t="s">
        <v>101</v>
      </c>
      <c r="H653" t="s">
        <v>150</v>
      </c>
      <c r="I653" t="s">
        <v>150</v>
      </c>
      <c r="J653" t="s">
        <v>70</v>
      </c>
      <c r="L653">
        <v>5</v>
      </c>
      <c r="M653" t="b">
        <v>0</v>
      </c>
      <c r="N653">
        <v>1</v>
      </c>
      <c r="O653">
        <v>1</v>
      </c>
      <c r="P653">
        <v>7</v>
      </c>
      <c r="Q653">
        <v>2</v>
      </c>
      <c r="R653">
        <v>5</v>
      </c>
      <c r="S653">
        <v>5</v>
      </c>
      <c r="T653">
        <v>36</v>
      </c>
      <c r="U653">
        <v>358</v>
      </c>
      <c r="V653">
        <v>165</v>
      </c>
      <c r="W653">
        <v>28</v>
      </c>
      <c r="X653">
        <v>5.8928571428571432</v>
      </c>
      <c r="Y653">
        <v>5</v>
      </c>
      <c r="Z653">
        <v>53</v>
      </c>
      <c r="AA653">
        <v>0</v>
      </c>
      <c r="AB653">
        <v>0</v>
      </c>
      <c r="AC653">
        <v>5</v>
      </c>
      <c r="AD653">
        <v>4</v>
      </c>
      <c r="AE653">
        <v>64</v>
      </c>
      <c r="AF653">
        <v>3</v>
      </c>
      <c r="AG653">
        <v>39</v>
      </c>
      <c r="AH653">
        <v>1</v>
      </c>
      <c r="AI653">
        <v>19</v>
      </c>
      <c r="AJ653">
        <v>1</v>
      </c>
      <c r="AK653">
        <v>6</v>
      </c>
      <c r="AL653">
        <v>2</v>
      </c>
      <c r="AM653">
        <v>25</v>
      </c>
      <c r="AN653">
        <v>8</v>
      </c>
      <c r="AO653">
        <v>92</v>
      </c>
      <c r="AP653">
        <v>9</v>
      </c>
      <c r="AQ653">
        <v>117</v>
      </c>
      <c r="AR653">
        <v>0.14804469273743021</v>
      </c>
      <c r="AS653">
        <v>0</v>
      </c>
      <c r="AT653">
        <v>0.1787709497206704</v>
      </c>
      <c r="AU653">
        <v>0.1089385474860335</v>
      </c>
      <c r="AV653">
        <v>5.3072625698324022E-2</v>
      </c>
      <c r="AW653">
        <v>6.9832402234636867E-2</v>
      </c>
      <c r="AX653">
        <v>0.25698324022346369</v>
      </c>
      <c r="AY653">
        <v>0.32681564245810057</v>
      </c>
      <c r="AZ653">
        <v>0.18715083798882681</v>
      </c>
      <c r="BA653">
        <v>0.66666666666666663</v>
      </c>
      <c r="BB653">
        <v>0.81547619047619058</v>
      </c>
      <c r="BC653">
        <v>0.6</v>
      </c>
      <c r="BD653">
        <v>0.74196927374301669</v>
      </c>
      <c r="BE653">
        <v>4</v>
      </c>
      <c r="BF653">
        <v>0.70602803272146852</v>
      </c>
      <c r="BG653">
        <v>0.71</v>
      </c>
      <c r="BH653" t="s">
        <v>86</v>
      </c>
      <c r="BI653">
        <v>0.71</v>
      </c>
      <c r="BJ653" t="s">
        <v>86</v>
      </c>
      <c r="BK653" s="2">
        <f t="shared" si="21"/>
        <v>0</v>
      </c>
      <c r="BL653" t="b">
        <f t="shared" si="22"/>
        <v>1</v>
      </c>
    </row>
    <row r="654" spans="1:64" x14ac:dyDescent="0.35">
      <c r="A654" t="s">
        <v>1813</v>
      </c>
      <c r="B654" t="s">
        <v>1814</v>
      </c>
      <c r="C654">
        <v>2015</v>
      </c>
      <c r="D654" t="s">
        <v>1815</v>
      </c>
      <c r="E654" t="s">
        <v>1816</v>
      </c>
      <c r="F654" t="s">
        <v>66</v>
      </c>
      <c r="G654" t="s">
        <v>91</v>
      </c>
      <c r="H654" t="s">
        <v>91</v>
      </c>
      <c r="I654" t="s">
        <v>1773</v>
      </c>
      <c r="J654" t="s">
        <v>70</v>
      </c>
      <c r="L654">
        <v>2</v>
      </c>
      <c r="M654" t="b">
        <v>0</v>
      </c>
      <c r="N654">
        <v>2</v>
      </c>
      <c r="O654">
        <v>3</v>
      </c>
      <c r="P654">
        <v>6</v>
      </c>
      <c r="Q654">
        <v>4</v>
      </c>
      <c r="R654">
        <v>2</v>
      </c>
      <c r="S654">
        <v>4</v>
      </c>
      <c r="T654">
        <v>30</v>
      </c>
      <c r="U654">
        <v>397</v>
      </c>
      <c r="V654">
        <v>121</v>
      </c>
      <c r="W654">
        <v>22</v>
      </c>
      <c r="X654">
        <v>5.5</v>
      </c>
      <c r="Y654">
        <v>3</v>
      </c>
      <c r="Z654">
        <v>27</v>
      </c>
      <c r="AA654">
        <v>0</v>
      </c>
      <c r="AB654">
        <v>0</v>
      </c>
      <c r="AC654">
        <v>1</v>
      </c>
      <c r="AD654">
        <v>1</v>
      </c>
      <c r="AE654">
        <v>36</v>
      </c>
      <c r="AF654">
        <v>2</v>
      </c>
      <c r="AG654">
        <v>14</v>
      </c>
      <c r="AH654">
        <v>1</v>
      </c>
      <c r="AI654">
        <v>3</v>
      </c>
      <c r="AJ654">
        <v>1</v>
      </c>
      <c r="AK654">
        <v>7</v>
      </c>
      <c r="AL654">
        <v>2</v>
      </c>
      <c r="AM654">
        <v>10</v>
      </c>
      <c r="AN654">
        <v>5</v>
      </c>
      <c r="AO654">
        <v>41</v>
      </c>
      <c r="AP654">
        <v>4</v>
      </c>
      <c r="AQ654">
        <v>63</v>
      </c>
      <c r="AR654">
        <v>6.8010075566750636E-2</v>
      </c>
      <c r="AS654">
        <v>0</v>
      </c>
      <c r="AT654">
        <v>9.06801007556675E-2</v>
      </c>
      <c r="AU654">
        <v>3.5264483627204031E-2</v>
      </c>
      <c r="AV654">
        <v>7.556675062972292E-3</v>
      </c>
      <c r="AW654">
        <v>2.5188916876574308E-2</v>
      </c>
      <c r="AX654">
        <v>0.1032745591939547</v>
      </c>
      <c r="AY654">
        <v>0.15869017632241811</v>
      </c>
      <c r="AZ654">
        <v>7.8085642317380355E-2</v>
      </c>
      <c r="BA654">
        <v>0.5</v>
      </c>
      <c r="BB654">
        <v>0.75</v>
      </c>
      <c r="BC654">
        <v>0.26666666666666672</v>
      </c>
      <c r="BD654">
        <v>0.67380352644836272</v>
      </c>
      <c r="BE654">
        <v>4</v>
      </c>
      <c r="BF654">
        <v>0.5476175482787573</v>
      </c>
      <c r="BG654">
        <v>0.54</v>
      </c>
      <c r="BH654" t="s">
        <v>71</v>
      </c>
      <c r="BI654">
        <v>0.55000000000000004</v>
      </c>
      <c r="BJ654" t="s">
        <v>71</v>
      </c>
      <c r="BK654" s="2">
        <f t="shared" si="21"/>
        <v>-1.0000000000000009E-2</v>
      </c>
      <c r="BL654" t="b">
        <f t="shared" si="22"/>
        <v>1</v>
      </c>
    </row>
    <row r="655" spans="1:64" x14ac:dyDescent="0.35">
      <c r="A655" t="s">
        <v>1817</v>
      </c>
      <c r="B655" t="s">
        <v>1814</v>
      </c>
      <c r="C655">
        <v>2018</v>
      </c>
      <c r="D655" t="s">
        <v>1815</v>
      </c>
      <c r="E655" t="s">
        <v>1816</v>
      </c>
      <c r="F655" t="s">
        <v>66</v>
      </c>
      <c r="G655" t="s">
        <v>91</v>
      </c>
      <c r="H655" t="s">
        <v>91</v>
      </c>
      <c r="I655" t="s">
        <v>1773</v>
      </c>
      <c r="J655" t="s">
        <v>70</v>
      </c>
      <c r="L655">
        <v>2</v>
      </c>
      <c r="M655" t="b">
        <v>0</v>
      </c>
      <c r="N655">
        <v>3</v>
      </c>
      <c r="O655">
        <v>1</v>
      </c>
      <c r="P655">
        <v>2</v>
      </c>
      <c r="Q655">
        <v>4</v>
      </c>
      <c r="R655">
        <v>-2</v>
      </c>
      <c r="S655">
        <v>3</v>
      </c>
      <c r="T655">
        <v>14</v>
      </c>
      <c r="U655">
        <v>462</v>
      </c>
      <c r="V655">
        <v>61</v>
      </c>
      <c r="W655">
        <v>11</v>
      </c>
      <c r="X655">
        <v>5.5454545454545459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17</v>
      </c>
      <c r="AJ655">
        <v>2</v>
      </c>
      <c r="AK655">
        <v>13</v>
      </c>
      <c r="AL655">
        <v>3</v>
      </c>
      <c r="AM655">
        <v>30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3.67965367965368E-2</v>
      </c>
      <c r="AW655">
        <v>6.4935064935064929E-2</v>
      </c>
      <c r="AX655">
        <v>0</v>
      </c>
      <c r="AY655">
        <v>0</v>
      </c>
      <c r="AZ655">
        <v>-6.4935064935064929E-2</v>
      </c>
      <c r="BA655">
        <v>0.33333333333333331</v>
      </c>
      <c r="BB655">
        <v>0.75757575757575768</v>
      </c>
      <c r="BC655">
        <v>0</v>
      </c>
      <c r="BD655">
        <v>0.58441558441558439</v>
      </c>
      <c r="BE655">
        <v>4</v>
      </c>
      <c r="BF655">
        <v>0.41883116883116878</v>
      </c>
      <c r="BG655">
        <v>0.42</v>
      </c>
      <c r="BH655" t="s">
        <v>71</v>
      </c>
      <c r="BI655">
        <v>0.42</v>
      </c>
      <c r="BJ655" t="s">
        <v>71</v>
      </c>
      <c r="BK655" s="2">
        <f t="shared" si="21"/>
        <v>0</v>
      </c>
      <c r="BL655" t="b">
        <f t="shared" si="22"/>
        <v>1</v>
      </c>
    </row>
    <row r="656" spans="1:64" x14ac:dyDescent="0.35">
      <c r="A656" t="s">
        <v>1818</v>
      </c>
      <c r="B656" t="s">
        <v>1814</v>
      </c>
      <c r="C656">
        <v>2021</v>
      </c>
      <c r="D656" t="s">
        <v>1815</v>
      </c>
      <c r="E656" t="s">
        <v>1816</v>
      </c>
      <c r="F656" t="s">
        <v>66</v>
      </c>
      <c r="G656" t="s">
        <v>91</v>
      </c>
      <c r="H656" t="s">
        <v>91</v>
      </c>
      <c r="I656" t="s">
        <v>1773</v>
      </c>
      <c r="J656" t="s">
        <v>70</v>
      </c>
      <c r="L656">
        <v>2</v>
      </c>
      <c r="M656" t="b">
        <v>0</v>
      </c>
      <c r="N656">
        <v>1</v>
      </c>
      <c r="O656">
        <v>1</v>
      </c>
      <c r="P656">
        <v>4</v>
      </c>
      <c r="Q656">
        <v>1</v>
      </c>
      <c r="R656">
        <v>3</v>
      </c>
      <c r="S656">
        <v>4</v>
      </c>
      <c r="T656">
        <v>22</v>
      </c>
      <c r="U656">
        <v>253</v>
      </c>
      <c r="V656">
        <v>93</v>
      </c>
      <c r="W656">
        <v>17</v>
      </c>
      <c r="X656">
        <v>5.4705882352941178</v>
      </c>
      <c r="Y656">
        <v>2</v>
      </c>
      <c r="Z656">
        <v>28</v>
      </c>
      <c r="AA656">
        <v>1</v>
      </c>
      <c r="AB656">
        <v>1</v>
      </c>
      <c r="AC656">
        <v>3</v>
      </c>
      <c r="AD656">
        <v>3</v>
      </c>
      <c r="AE656">
        <v>11</v>
      </c>
      <c r="AF656">
        <v>1</v>
      </c>
      <c r="AG656">
        <v>8</v>
      </c>
      <c r="AH656">
        <v>0</v>
      </c>
      <c r="AI656">
        <v>0</v>
      </c>
      <c r="AJ656">
        <v>3</v>
      </c>
      <c r="AK656">
        <v>13</v>
      </c>
      <c r="AL656">
        <v>3</v>
      </c>
      <c r="AM656">
        <v>13</v>
      </c>
      <c r="AN656">
        <v>4</v>
      </c>
      <c r="AO656">
        <v>37</v>
      </c>
      <c r="AP656">
        <v>6</v>
      </c>
      <c r="AQ656">
        <v>40</v>
      </c>
      <c r="AR656">
        <v>0.11067193675889329</v>
      </c>
      <c r="AS656">
        <v>3.952569169960474E-3</v>
      </c>
      <c r="AT656">
        <v>4.3478260869565223E-2</v>
      </c>
      <c r="AU656">
        <v>3.1620553359683792E-2</v>
      </c>
      <c r="AV656">
        <v>0</v>
      </c>
      <c r="AW656">
        <v>5.1383399209486168E-2</v>
      </c>
      <c r="AX656">
        <v>0.14624505928853751</v>
      </c>
      <c r="AY656">
        <v>0.158102766798419</v>
      </c>
      <c r="AZ656">
        <v>9.4861660079051363E-2</v>
      </c>
      <c r="BA656">
        <v>0.5</v>
      </c>
      <c r="BB656">
        <v>0.74509803921568629</v>
      </c>
      <c r="BC656">
        <v>0.4</v>
      </c>
      <c r="BD656">
        <v>0.68428853754940699</v>
      </c>
      <c r="BE656">
        <v>4</v>
      </c>
      <c r="BF656">
        <v>0.58234664419127335</v>
      </c>
      <c r="BG656">
        <v>0.57999999999999996</v>
      </c>
      <c r="BH656" t="s">
        <v>71</v>
      </c>
      <c r="BI656">
        <v>0.57999999999999996</v>
      </c>
      <c r="BJ656" t="s">
        <v>71</v>
      </c>
      <c r="BK656" s="2">
        <f t="shared" si="21"/>
        <v>0</v>
      </c>
      <c r="BL656" t="b">
        <f t="shared" si="22"/>
        <v>1</v>
      </c>
    </row>
    <row r="657" spans="1:64" x14ac:dyDescent="0.35">
      <c r="A657" t="s">
        <v>1819</v>
      </c>
      <c r="B657" t="s">
        <v>1820</v>
      </c>
      <c r="C657">
        <v>2014</v>
      </c>
      <c r="D657" t="s">
        <v>1821</v>
      </c>
      <c r="E657" t="s">
        <v>1822</v>
      </c>
      <c r="F657" t="s">
        <v>66</v>
      </c>
      <c r="G657" t="s">
        <v>67</v>
      </c>
      <c r="H657" t="s">
        <v>68</v>
      </c>
      <c r="I657" t="s">
        <v>68</v>
      </c>
      <c r="J657" t="s">
        <v>70</v>
      </c>
      <c r="L657">
        <v>2</v>
      </c>
      <c r="M657" t="b">
        <v>0</v>
      </c>
      <c r="N657">
        <v>1</v>
      </c>
      <c r="O657">
        <v>1</v>
      </c>
      <c r="P657">
        <v>11</v>
      </c>
      <c r="Q657">
        <v>4</v>
      </c>
      <c r="R657">
        <v>7</v>
      </c>
      <c r="S657">
        <v>5</v>
      </c>
      <c r="T657">
        <v>43</v>
      </c>
      <c r="U657">
        <v>278</v>
      </c>
      <c r="V657">
        <v>181</v>
      </c>
      <c r="W657">
        <v>30</v>
      </c>
      <c r="X657">
        <v>6.0333333333333332</v>
      </c>
      <c r="Y657">
        <v>4</v>
      </c>
      <c r="Z657">
        <v>8</v>
      </c>
      <c r="AA657">
        <v>0</v>
      </c>
      <c r="AB657">
        <v>0</v>
      </c>
      <c r="AC657">
        <v>2</v>
      </c>
      <c r="AD657">
        <v>2</v>
      </c>
      <c r="AE657">
        <v>7</v>
      </c>
      <c r="AF657">
        <v>1</v>
      </c>
      <c r="AG657">
        <v>2</v>
      </c>
      <c r="AH657">
        <v>1</v>
      </c>
      <c r="AI657">
        <v>4</v>
      </c>
      <c r="AJ657">
        <v>4</v>
      </c>
      <c r="AK657">
        <v>27</v>
      </c>
      <c r="AL657">
        <v>5</v>
      </c>
      <c r="AM657">
        <v>31</v>
      </c>
      <c r="AN657">
        <v>5</v>
      </c>
      <c r="AO657">
        <v>10</v>
      </c>
      <c r="AP657">
        <v>6</v>
      </c>
      <c r="AQ657">
        <v>15</v>
      </c>
      <c r="AR657">
        <v>2.8776978417266189E-2</v>
      </c>
      <c r="AS657">
        <v>0</v>
      </c>
      <c r="AT657">
        <v>2.517985611510791E-2</v>
      </c>
      <c r="AU657">
        <v>7.1942446043165471E-3</v>
      </c>
      <c r="AV657">
        <v>1.4388489208633091E-2</v>
      </c>
      <c r="AW657">
        <v>0.1115107913669065</v>
      </c>
      <c r="AX657">
        <v>3.5971223021582732E-2</v>
      </c>
      <c r="AY657">
        <v>5.3956834532374098E-2</v>
      </c>
      <c r="AZ657">
        <v>-7.5539568345323743E-2</v>
      </c>
      <c r="BA657">
        <v>0.66666666666666663</v>
      </c>
      <c r="BB657">
        <v>0.83888888888888891</v>
      </c>
      <c r="BC657">
        <v>0.4</v>
      </c>
      <c r="BD657">
        <v>0.57778776978417268</v>
      </c>
      <c r="BE657">
        <v>4</v>
      </c>
      <c r="BF657">
        <v>0.62083583133493203</v>
      </c>
      <c r="BG657">
        <v>0.62</v>
      </c>
      <c r="BH657" t="s">
        <v>86</v>
      </c>
      <c r="BI657">
        <v>0.62</v>
      </c>
      <c r="BJ657" t="s">
        <v>86</v>
      </c>
      <c r="BK657" s="2">
        <f t="shared" si="21"/>
        <v>0</v>
      </c>
      <c r="BL657" t="b">
        <f t="shared" si="22"/>
        <v>1</v>
      </c>
    </row>
    <row r="658" spans="1:64" x14ac:dyDescent="0.35">
      <c r="A658" t="s">
        <v>1823</v>
      </c>
      <c r="B658" t="s">
        <v>1820</v>
      </c>
      <c r="C658">
        <v>2015</v>
      </c>
      <c r="D658" t="s">
        <v>1821</v>
      </c>
      <c r="E658" t="s">
        <v>1822</v>
      </c>
      <c r="F658" t="s">
        <v>66</v>
      </c>
      <c r="G658" t="s">
        <v>67</v>
      </c>
      <c r="H658" t="s">
        <v>68</v>
      </c>
      <c r="I658" t="s">
        <v>68</v>
      </c>
      <c r="J658" t="s">
        <v>70</v>
      </c>
      <c r="L658">
        <v>2</v>
      </c>
      <c r="M658" t="b">
        <v>0</v>
      </c>
      <c r="N658">
        <v>1</v>
      </c>
      <c r="O658">
        <v>1</v>
      </c>
      <c r="P658">
        <v>8</v>
      </c>
      <c r="Q658">
        <v>4</v>
      </c>
      <c r="R658">
        <v>4</v>
      </c>
      <c r="S658">
        <v>5</v>
      </c>
      <c r="T658">
        <v>35</v>
      </c>
      <c r="U658">
        <v>225</v>
      </c>
      <c r="V658">
        <v>163</v>
      </c>
      <c r="W658">
        <v>28</v>
      </c>
      <c r="X658">
        <v>5.8214285714285712</v>
      </c>
      <c r="Y658">
        <v>2</v>
      </c>
      <c r="Z658">
        <v>15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2</v>
      </c>
      <c r="AG658">
        <v>2</v>
      </c>
      <c r="AH658">
        <v>2</v>
      </c>
      <c r="AI658">
        <v>2</v>
      </c>
      <c r="AJ658">
        <v>2</v>
      </c>
      <c r="AK658">
        <v>9</v>
      </c>
      <c r="AL658">
        <v>4</v>
      </c>
      <c r="AM658">
        <v>11</v>
      </c>
      <c r="AN658">
        <v>4</v>
      </c>
      <c r="AO658">
        <v>17</v>
      </c>
      <c r="AP658">
        <v>2</v>
      </c>
      <c r="AQ658">
        <v>15</v>
      </c>
      <c r="AR658">
        <v>6.6666666666666666E-2</v>
      </c>
      <c r="AS658">
        <v>0</v>
      </c>
      <c r="AT658">
        <v>0</v>
      </c>
      <c r="AU658">
        <v>8.8888888888888889E-3</v>
      </c>
      <c r="AV658">
        <v>8.8888888888888889E-3</v>
      </c>
      <c r="AW658">
        <v>4.8888888888888891E-2</v>
      </c>
      <c r="AX658">
        <v>7.5555555555555556E-2</v>
      </c>
      <c r="AY658">
        <v>6.6666666666666666E-2</v>
      </c>
      <c r="AZ658">
        <v>2.6666666666666661E-2</v>
      </c>
      <c r="BA658">
        <v>0.66666666666666663</v>
      </c>
      <c r="BB658">
        <v>0.80357142857142849</v>
      </c>
      <c r="BC658">
        <v>0.1333333333333333</v>
      </c>
      <c r="BD658">
        <v>0.64166666666666661</v>
      </c>
      <c r="BE658">
        <v>4</v>
      </c>
      <c r="BF658">
        <v>0.56130952380952381</v>
      </c>
      <c r="BG658">
        <v>0.6</v>
      </c>
      <c r="BH658" t="s">
        <v>86</v>
      </c>
      <c r="BI658">
        <v>0.56000000000000005</v>
      </c>
      <c r="BJ658" t="s">
        <v>71</v>
      </c>
      <c r="BK658" s="2">
        <f t="shared" si="21"/>
        <v>3.9999999999999925E-2</v>
      </c>
      <c r="BL658" t="b">
        <f t="shared" si="22"/>
        <v>0</v>
      </c>
    </row>
    <row r="659" spans="1:64" x14ac:dyDescent="0.35">
      <c r="A659" t="s">
        <v>1824</v>
      </c>
      <c r="B659" t="s">
        <v>1820</v>
      </c>
      <c r="C659">
        <v>2016</v>
      </c>
      <c r="D659" t="s">
        <v>1821</v>
      </c>
      <c r="E659" t="s">
        <v>1822</v>
      </c>
      <c r="F659" t="s">
        <v>66</v>
      </c>
      <c r="G659" t="s">
        <v>67</v>
      </c>
      <c r="H659" t="s">
        <v>68</v>
      </c>
      <c r="I659" t="s">
        <v>68</v>
      </c>
      <c r="J659" t="s">
        <v>70</v>
      </c>
      <c r="L659">
        <v>2</v>
      </c>
      <c r="M659" t="b">
        <v>0</v>
      </c>
      <c r="N659">
        <v>1</v>
      </c>
      <c r="O659">
        <v>2</v>
      </c>
      <c r="P659">
        <v>10</v>
      </c>
      <c r="Q659">
        <v>3</v>
      </c>
      <c r="R659">
        <v>7</v>
      </c>
      <c r="S659">
        <v>6</v>
      </c>
      <c r="T659">
        <v>32</v>
      </c>
      <c r="U659">
        <v>194</v>
      </c>
      <c r="V659">
        <v>169</v>
      </c>
      <c r="W659">
        <v>28</v>
      </c>
      <c r="X659">
        <v>6.0357142857142856</v>
      </c>
      <c r="Y659">
        <v>4</v>
      </c>
      <c r="Z659">
        <v>48</v>
      </c>
      <c r="AA659">
        <v>0</v>
      </c>
      <c r="AB659">
        <v>0</v>
      </c>
      <c r="AC659">
        <v>3</v>
      </c>
      <c r="AD659">
        <v>3</v>
      </c>
      <c r="AE659">
        <v>4</v>
      </c>
      <c r="AF659">
        <v>2</v>
      </c>
      <c r="AG659">
        <v>13</v>
      </c>
      <c r="AH659">
        <v>1</v>
      </c>
      <c r="AI659">
        <v>2</v>
      </c>
      <c r="AJ659">
        <v>2</v>
      </c>
      <c r="AK659">
        <v>2</v>
      </c>
      <c r="AL659">
        <v>3</v>
      </c>
      <c r="AM659">
        <v>4</v>
      </c>
      <c r="AN659">
        <v>6</v>
      </c>
      <c r="AO659">
        <v>61</v>
      </c>
      <c r="AP659">
        <v>7</v>
      </c>
      <c r="AQ659">
        <v>52</v>
      </c>
      <c r="AR659">
        <v>0.24742268041237109</v>
      </c>
      <c r="AS659">
        <v>0</v>
      </c>
      <c r="AT659">
        <v>2.0618556701030931E-2</v>
      </c>
      <c r="AU659">
        <v>6.7010309278350513E-2</v>
      </c>
      <c r="AV659">
        <v>1.030927835051546E-2</v>
      </c>
      <c r="AW659">
        <v>2.0618556701030931E-2</v>
      </c>
      <c r="AX659">
        <v>0.31443298969072159</v>
      </c>
      <c r="AY659">
        <v>0.26804123711340211</v>
      </c>
      <c r="AZ659">
        <v>0.29381443298969068</v>
      </c>
      <c r="BA659">
        <v>0.83333333333333337</v>
      </c>
      <c r="BB659">
        <v>0.8392857142857143</v>
      </c>
      <c r="BC659">
        <v>0.46666666666666667</v>
      </c>
      <c r="BD659">
        <v>0.8086340206185566</v>
      </c>
      <c r="BE659">
        <v>4</v>
      </c>
      <c r="BF659">
        <v>0.73697993372606774</v>
      </c>
      <c r="BG659">
        <v>0.76</v>
      </c>
      <c r="BH659" t="s">
        <v>86</v>
      </c>
      <c r="BI659">
        <v>0.74</v>
      </c>
      <c r="BJ659" t="s">
        <v>86</v>
      </c>
      <c r="BK659" s="2">
        <f t="shared" si="21"/>
        <v>2.0000000000000018E-2</v>
      </c>
      <c r="BL659" t="b">
        <f t="shared" si="22"/>
        <v>1</v>
      </c>
    </row>
    <row r="660" spans="1:64" x14ac:dyDescent="0.35">
      <c r="A660" t="s">
        <v>1825</v>
      </c>
      <c r="B660" t="s">
        <v>1820</v>
      </c>
      <c r="C660">
        <v>2017</v>
      </c>
      <c r="D660" t="s">
        <v>1821</v>
      </c>
      <c r="E660" t="s">
        <v>1822</v>
      </c>
      <c r="F660" t="s">
        <v>66</v>
      </c>
      <c r="G660" t="s">
        <v>67</v>
      </c>
      <c r="H660" t="s">
        <v>68</v>
      </c>
      <c r="I660" t="s">
        <v>68</v>
      </c>
      <c r="J660" t="s">
        <v>70</v>
      </c>
      <c r="L660">
        <v>2</v>
      </c>
      <c r="M660" t="b">
        <v>0</v>
      </c>
      <c r="N660">
        <v>2</v>
      </c>
      <c r="O660">
        <v>1</v>
      </c>
      <c r="P660">
        <v>4</v>
      </c>
      <c r="Q660">
        <v>1</v>
      </c>
      <c r="R660">
        <v>3</v>
      </c>
      <c r="S660">
        <v>4</v>
      </c>
      <c r="T660">
        <v>10</v>
      </c>
      <c r="U660">
        <v>110</v>
      </c>
      <c r="V660">
        <v>52</v>
      </c>
      <c r="W660">
        <v>10</v>
      </c>
      <c r="X660">
        <v>5.2</v>
      </c>
      <c r="Y660">
        <v>2</v>
      </c>
      <c r="Z660">
        <v>11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</v>
      </c>
      <c r="AG660">
        <v>5</v>
      </c>
      <c r="AH660">
        <v>1</v>
      </c>
      <c r="AI660">
        <v>4</v>
      </c>
      <c r="AJ660">
        <v>1</v>
      </c>
      <c r="AK660">
        <v>4</v>
      </c>
      <c r="AL660">
        <v>2</v>
      </c>
      <c r="AM660">
        <v>8</v>
      </c>
      <c r="AN660">
        <v>4</v>
      </c>
      <c r="AO660">
        <v>16</v>
      </c>
      <c r="AP660">
        <v>2</v>
      </c>
      <c r="AQ660">
        <v>11</v>
      </c>
      <c r="AR660">
        <v>0.1</v>
      </c>
      <c r="AS660">
        <v>0</v>
      </c>
      <c r="AT660">
        <v>0</v>
      </c>
      <c r="AU660">
        <v>4.5454545454545463E-2</v>
      </c>
      <c r="AV660">
        <v>3.6363636363636362E-2</v>
      </c>
      <c r="AW660">
        <v>7.2727272727272724E-2</v>
      </c>
      <c r="AX660">
        <v>0.14545454545454539</v>
      </c>
      <c r="AY660">
        <v>0.1</v>
      </c>
      <c r="AZ660">
        <v>7.2727272727272724E-2</v>
      </c>
      <c r="BA660">
        <v>0.5</v>
      </c>
      <c r="BB660">
        <v>0.70000000000000007</v>
      </c>
      <c r="BC660">
        <v>0.1333333333333333</v>
      </c>
      <c r="BD660">
        <v>0.67045454545454541</v>
      </c>
      <c r="BE660">
        <v>4</v>
      </c>
      <c r="BF660">
        <v>0.50094696969696972</v>
      </c>
      <c r="BG660">
        <v>0.51</v>
      </c>
      <c r="BH660" t="s">
        <v>71</v>
      </c>
      <c r="BI660">
        <v>0.5</v>
      </c>
      <c r="BJ660" t="s">
        <v>71</v>
      </c>
      <c r="BK660" s="2">
        <f t="shared" si="21"/>
        <v>1.0000000000000009E-2</v>
      </c>
      <c r="BL660" t="b">
        <f t="shared" si="22"/>
        <v>1</v>
      </c>
    </row>
    <row r="661" spans="1:64" x14ac:dyDescent="0.35">
      <c r="A661" t="s">
        <v>1826</v>
      </c>
      <c r="B661" t="s">
        <v>1820</v>
      </c>
      <c r="C661">
        <v>2020</v>
      </c>
      <c r="D661" t="s">
        <v>1821</v>
      </c>
      <c r="E661" t="s">
        <v>1822</v>
      </c>
      <c r="F661" t="s">
        <v>66</v>
      </c>
      <c r="G661" t="s">
        <v>67</v>
      </c>
      <c r="H661" t="s">
        <v>68</v>
      </c>
      <c r="I661" t="s">
        <v>68</v>
      </c>
      <c r="J661" t="s">
        <v>70</v>
      </c>
      <c r="L661">
        <v>2</v>
      </c>
      <c r="M661" t="b">
        <v>0</v>
      </c>
      <c r="N661">
        <v>1</v>
      </c>
      <c r="O661">
        <v>1</v>
      </c>
      <c r="P661">
        <v>10</v>
      </c>
      <c r="Q661">
        <v>5</v>
      </c>
      <c r="R661">
        <v>5</v>
      </c>
      <c r="S661">
        <v>5</v>
      </c>
      <c r="T661">
        <v>50</v>
      </c>
      <c r="U661">
        <v>2770</v>
      </c>
      <c r="V661">
        <v>192</v>
      </c>
      <c r="W661">
        <v>34</v>
      </c>
      <c r="X661">
        <v>5.6470588235294121</v>
      </c>
      <c r="Y661">
        <v>6</v>
      </c>
      <c r="Z661">
        <v>274</v>
      </c>
      <c r="AA661">
        <v>0</v>
      </c>
      <c r="AB661">
        <v>0</v>
      </c>
      <c r="AC661">
        <v>3</v>
      </c>
      <c r="AD661">
        <v>3</v>
      </c>
      <c r="AE661">
        <v>328</v>
      </c>
      <c r="AF661">
        <v>2</v>
      </c>
      <c r="AG661">
        <v>18</v>
      </c>
      <c r="AH661">
        <v>1</v>
      </c>
      <c r="AI661">
        <v>18</v>
      </c>
      <c r="AJ661">
        <v>4</v>
      </c>
      <c r="AK661">
        <v>32</v>
      </c>
      <c r="AL661">
        <v>5</v>
      </c>
      <c r="AM661">
        <v>50</v>
      </c>
      <c r="AN661">
        <v>8</v>
      </c>
      <c r="AO661">
        <v>292</v>
      </c>
      <c r="AP661">
        <v>9</v>
      </c>
      <c r="AQ661">
        <v>602</v>
      </c>
      <c r="AR661">
        <v>9.8916967509025275E-2</v>
      </c>
      <c r="AS661">
        <v>0</v>
      </c>
      <c r="AT661">
        <v>0.1184115523465704</v>
      </c>
      <c r="AU661">
        <v>6.4981949458483759E-3</v>
      </c>
      <c r="AV661">
        <v>6.4981949458483759E-3</v>
      </c>
      <c r="AW661">
        <v>1.8050541516245491E-2</v>
      </c>
      <c r="AX661">
        <v>0.1054151624548736</v>
      </c>
      <c r="AY661">
        <v>0.2173285198555957</v>
      </c>
      <c r="AZ661">
        <v>8.7364620938628151E-2</v>
      </c>
      <c r="BA661">
        <v>0.66666666666666663</v>
      </c>
      <c r="BB661">
        <v>0.77450980392156865</v>
      </c>
      <c r="BC661">
        <v>0.6</v>
      </c>
      <c r="BD661">
        <v>0.67960288808664249</v>
      </c>
      <c r="BE661">
        <v>4</v>
      </c>
      <c r="BF661">
        <v>0.68019483966871941</v>
      </c>
      <c r="BG661">
        <v>0.68</v>
      </c>
      <c r="BH661" t="s">
        <v>86</v>
      </c>
      <c r="BI661">
        <v>0.68</v>
      </c>
      <c r="BJ661" t="s">
        <v>86</v>
      </c>
      <c r="BK661" s="2">
        <f t="shared" si="21"/>
        <v>0</v>
      </c>
      <c r="BL661" t="b">
        <f t="shared" si="22"/>
        <v>1</v>
      </c>
    </row>
    <row r="662" spans="1:64" x14ac:dyDescent="0.35">
      <c r="A662" t="s">
        <v>1827</v>
      </c>
      <c r="B662" t="s">
        <v>1828</v>
      </c>
      <c r="C662">
        <v>2016</v>
      </c>
      <c r="D662" t="s">
        <v>1829</v>
      </c>
      <c r="E662" t="s">
        <v>1830</v>
      </c>
      <c r="F662" t="s">
        <v>66</v>
      </c>
      <c r="G662" t="s">
        <v>67</v>
      </c>
      <c r="H662" t="s">
        <v>84</v>
      </c>
      <c r="I662" t="s">
        <v>959</v>
      </c>
      <c r="J662" t="s">
        <v>70</v>
      </c>
      <c r="L662">
        <v>3</v>
      </c>
      <c r="M662" t="b">
        <v>0</v>
      </c>
      <c r="N662">
        <v>1</v>
      </c>
      <c r="O662">
        <v>3</v>
      </c>
      <c r="P662">
        <v>8</v>
      </c>
      <c r="Q662">
        <v>5</v>
      </c>
      <c r="R662">
        <v>3</v>
      </c>
      <c r="S662">
        <v>5</v>
      </c>
      <c r="T662">
        <v>39</v>
      </c>
      <c r="U662">
        <v>458</v>
      </c>
      <c r="V662">
        <v>141</v>
      </c>
      <c r="W662">
        <v>27</v>
      </c>
      <c r="X662">
        <v>5.2222222222222223</v>
      </c>
      <c r="Y662">
        <v>3</v>
      </c>
      <c r="Z662">
        <v>76</v>
      </c>
      <c r="AA662">
        <v>0</v>
      </c>
      <c r="AB662">
        <v>0</v>
      </c>
      <c r="AC662">
        <v>3</v>
      </c>
      <c r="AD662">
        <v>3</v>
      </c>
      <c r="AE662">
        <v>47</v>
      </c>
      <c r="AF662">
        <v>2</v>
      </c>
      <c r="AG662">
        <v>4</v>
      </c>
      <c r="AH662">
        <v>2</v>
      </c>
      <c r="AI662">
        <v>13</v>
      </c>
      <c r="AJ662">
        <v>2</v>
      </c>
      <c r="AK662">
        <v>10</v>
      </c>
      <c r="AL662">
        <v>4</v>
      </c>
      <c r="AM662">
        <v>23</v>
      </c>
      <c r="AN662">
        <v>5</v>
      </c>
      <c r="AO662">
        <v>80</v>
      </c>
      <c r="AP662">
        <v>6</v>
      </c>
      <c r="AQ662">
        <v>123</v>
      </c>
      <c r="AR662">
        <v>0.16593886462882099</v>
      </c>
      <c r="AS662">
        <v>0</v>
      </c>
      <c r="AT662">
        <v>0.1026200873362445</v>
      </c>
      <c r="AU662">
        <v>8.7336244541484712E-3</v>
      </c>
      <c r="AV662">
        <v>2.838427947598253E-2</v>
      </c>
      <c r="AW662">
        <v>5.0218340611353711E-2</v>
      </c>
      <c r="AX662">
        <v>0.1746724890829694</v>
      </c>
      <c r="AY662">
        <v>0.26855895196506552</v>
      </c>
      <c r="AZ662">
        <v>0.12445414847161571</v>
      </c>
      <c r="BA662">
        <v>0.66666666666666663</v>
      </c>
      <c r="BB662">
        <v>0.70370370370370372</v>
      </c>
      <c r="BC662">
        <v>0.4</v>
      </c>
      <c r="BD662">
        <v>0.70278384279475981</v>
      </c>
      <c r="BE662">
        <v>4</v>
      </c>
      <c r="BF662">
        <v>0.61828855329128252</v>
      </c>
      <c r="BG662">
        <v>0.6</v>
      </c>
      <c r="BH662" t="s">
        <v>86</v>
      </c>
      <c r="BI662">
        <v>0.62</v>
      </c>
      <c r="BJ662" t="s">
        <v>86</v>
      </c>
      <c r="BK662" s="2">
        <f t="shared" si="21"/>
        <v>-2.0000000000000018E-2</v>
      </c>
      <c r="BL662" t="b">
        <f t="shared" si="22"/>
        <v>1</v>
      </c>
    </row>
    <row r="663" spans="1:64" x14ac:dyDescent="0.35">
      <c r="A663" t="s">
        <v>1831</v>
      </c>
      <c r="B663" t="s">
        <v>1828</v>
      </c>
      <c r="C663">
        <v>2019</v>
      </c>
      <c r="D663" t="s">
        <v>1829</v>
      </c>
      <c r="E663" t="s">
        <v>1830</v>
      </c>
      <c r="F663" t="s">
        <v>66</v>
      </c>
      <c r="G663" t="s">
        <v>67</v>
      </c>
      <c r="H663" t="s">
        <v>84</v>
      </c>
      <c r="I663" t="s">
        <v>959</v>
      </c>
      <c r="J663" t="s">
        <v>70</v>
      </c>
      <c r="L663">
        <v>3</v>
      </c>
      <c r="M663" t="b">
        <v>0</v>
      </c>
      <c r="N663">
        <v>1</v>
      </c>
      <c r="O663">
        <v>1</v>
      </c>
      <c r="P663">
        <v>6</v>
      </c>
      <c r="Q663">
        <v>3</v>
      </c>
      <c r="R663">
        <v>3</v>
      </c>
      <c r="S663">
        <v>4</v>
      </c>
      <c r="T663">
        <v>22</v>
      </c>
      <c r="U663">
        <v>290</v>
      </c>
      <c r="V663">
        <v>102</v>
      </c>
      <c r="W663">
        <v>18</v>
      </c>
      <c r="X663">
        <v>5.666666666666667</v>
      </c>
      <c r="Y663">
        <v>3</v>
      </c>
      <c r="Z663">
        <v>71</v>
      </c>
      <c r="AA663">
        <v>0</v>
      </c>
      <c r="AB663">
        <v>0</v>
      </c>
      <c r="AC663">
        <v>2</v>
      </c>
      <c r="AD663">
        <v>2</v>
      </c>
      <c r="AE663">
        <v>65</v>
      </c>
      <c r="AF663">
        <v>0</v>
      </c>
      <c r="AG663">
        <v>0</v>
      </c>
      <c r="AH663">
        <v>1</v>
      </c>
      <c r="AI663">
        <v>17</v>
      </c>
      <c r="AJ663">
        <v>1</v>
      </c>
      <c r="AK663">
        <v>3</v>
      </c>
      <c r="AL663">
        <v>2</v>
      </c>
      <c r="AM663">
        <v>20</v>
      </c>
      <c r="AN663">
        <v>3</v>
      </c>
      <c r="AO663">
        <v>71</v>
      </c>
      <c r="AP663">
        <v>5</v>
      </c>
      <c r="AQ663">
        <v>136</v>
      </c>
      <c r="AR663">
        <v>0.24482758620689651</v>
      </c>
      <c r="AS663">
        <v>0</v>
      </c>
      <c r="AT663">
        <v>0.22413793103448279</v>
      </c>
      <c r="AU663">
        <v>0</v>
      </c>
      <c r="AV663">
        <v>5.8620689655172413E-2</v>
      </c>
      <c r="AW663">
        <v>6.8965517241379309E-2</v>
      </c>
      <c r="AX663">
        <v>0.24482758620689651</v>
      </c>
      <c r="AY663">
        <v>0.4689655172413793</v>
      </c>
      <c r="AZ663">
        <v>0.1758620689655172</v>
      </c>
      <c r="BA663">
        <v>0.5</v>
      </c>
      <c r="BB663">
        <v>0.77777777777777779</v>
      </c>
      <c r="BC663">
        <v>0.33333333333333331</v>
      </c>
      <c r="BD663">
        <v>0.73491379310344829</v>
      </c>
      <c r="BE663">
        <v>4</v>
      </c>
      <c r="BF663">
        <v>0.58650622605363989</v>
      </c>
      <c r="BG663">
        <v>0.6</v>
      </c>
      <c r="BH663" t="s">
        <v>86</v>
      </c>
      <c r="BI663">
        <v>0.59</v>
      </c>
      <c r="BJ663" t="s">
        <v>71</v>
      </c>
      <c r="BK663" s="2">
        <f t="shared" si="21"/>
        <v>1.0000000000000009E-2</v>
      </c>
      <c r="BL663" t="b">
        <f t="shared" si="22"/>
        <v>0</v>
      </c>
    </row>
    <row r="664" spans="1:64" x14ac:dyDescent="0.35">
      <c r="A664" t="s">
        <v>1832</v>
      </c>
      <c r="B664" t="s">
        <v>1828</v>
      </c>
      <c r="C664">
        <v>2022</v>
      </c>
      <c r="D664" t="s">
        <v>1829</v>
      </c>
      <c r="E664" t="s">
        <v>1830</v>
      </c>
      <c r="F664" t="s">
        <v>66</v>
      </c>
      <c r="G664" t="s">
        <v>67</v>
      </c>
      <c r="H664" t="s">
        <v>84</v>
      </c>
      <c r="I664" t="s">
        <v>959</v>
      </c>
      <c r="J664" t="s">
        <v>70</v>
      </c>
      <c r="L664">
        <v>3</v>
      </c>
      <c r="M664" t="b">
        <v>0</v>
      </c>
      <c r="N664">
        <v>1</v>
      </c>
      <c r="O664">
        <v>1</v>
      </c>
      <c r="P664">
        <v>8</v>
      </c>
      <c r="Q664">
        <v>2</v>
      </c>
      <c r="R664">
        <v>6</v>
      </c>
      <c r="S664">
        <v>5</v>
      </c>
      <c r="T664">
        <v>32</v>
      </c>
      <c r="U664">
        <v>331</v>
      </c>
      <c r="V664">
        <v>156</v>
      </c>
      <c r="W664">
        <v>27</v>
      </c>
      <c r="X664">
        <v>5.7777777777777777</v>
      </c>
      <c r="Y664">
        <v>6</v>
      </c>
      <c r="Z664">
        <v>57</v>
      </c>
      <c r="AA664">
        <v>0</v>
      </c>
      <c r="AB664">
        <v>0</v>
      </c>
      <c r="AC664">
        <v>2</v>
      </c>
      <c r="AD664">
        <v>2</v>
      </c>
      <c r="AE664">
        <v>52</v>
      </c>
      <c r="AF664">
        <v>4</v>
      </c>
      <c r="AG664">
        <v>10</v>
      </c>
      <c r="AH664">
        <v>1</v>
      </c>
      <c r="AI664">
        <v>122</v>
      </c>
      <c r="AJ664">
        <v>1</v>
      </c>
      <c r="AK664">
        <v>9</v>
      </c>
      <c r="AL664">
        <v>2</v>
      </c>
      <c r="AM664">
        <v>131</v>
      </c>
      <c r="AN664">
        <v>10</v>
      </c>
      <c r="AO664">
        <v>67</v>
      </c>
      <c r="AP664">
        <v>8</v>
      </c>
      <c r="AQ664">
        <v>109</v>
      </c>
      <c r="AR664">
        <v>0.17220543806646529</v>
      </c>
      <c r="AS664">
        <v>0</v>
      </c>
      <c r="AT664">
        <v>0.1570996978851964</v>
      </c>
      <c r="AU664">
        <v>3.021148036253777E-2</v>
      </c>
      <c r="AV664">
        <v>0.36858006042296071</v>
      </c>
      <c r="AW664">
        <v>0.39577039274924469</v>
      </c>
      <c r="AX664">
        <v>0.202416918429003</v>
      </c>
      <c r="AY664">
        <v>0.32930513595166161</v>
      </c>
      <c r="AZ664">
        <v>-0.19335347432024169</v>
      </c>
      <c r="BA664">
        <v>0.66666666666666663</v>
      </c>
      <c r="BB664">
        <v>0.79629629629629628</v>
      </c>
      <c r="BC664">
        <v>0.53333333333333333</v>
      </c>
      <c r="BD664">
        <v>0.50415407854984895</v>
      </c>
      <c r="BE664">
        <v>4</v>
      </c>
      <c r="BF664">
        <v>0.62511259371153627</v>
      </c>
      <c r="BG664">
        <v>0.68</v>
      </c>
      <c r="BH664" t="s">
        <v>86</v>
      </c>
      <c r="BI664">
        <v>0.63</v>
      </c>
      <c r="BJ664" t="s">
        <v>86</v>
      </c>
      <c r="BK664" s="2">
        <f t="shared" si="21"/>
        <v>5.0000000000000044E-2</v>
      </c>
      <c r="BL664" t="b">
        <f t="shared" si="22"/>
        <v>1</v>
      </c>
    </row>
    <row r="665" spans="1:64" x14ac:dyDescent="0.35">
      <c r="A665" t="s">
        <v>1833</v>
      </c>
      <c r="B665" t="s">
        <v>1834</v>
      </c>
      <c r="C665">
        <v>2015</v>
      </c>
      <c r="D665" t="s">
        <v>1835</v>
      </c>
      <c r="E665" t="s">
        <v>1836</v>
      </c>
      <c r="F665" t="s">
        <v>66</v>
      </c>
      <c r="G665" t="s">
        <v>67</v>
      </c>
      <c r="H665" t="s">
        <v>68</v>
      </c>
      <c r="I665" t="s">
        <v>68</v>
      </c>
      <c r="J665" t="s">
        <v>70</v>
      </c>
      <c r="L665">
        <v>2</v>
      </c>
      <c r="M665" t="b">
        <v>0</v>
      </c>
      <c r="N665">
        <v>1</v>
      </c>
      <c r="O665">
        <v>2</v>
      </c>
      <c r="P665">
        <v>10</v>
      </c>
      <c r="Q665">
        <v>4</v>
      </c>
      <c r="R665">
        <v>6</v>
      </c>
      <c r="S665">
        <v>6</v>
      </c>
      <c r="T665">
        <v>27</v>
      </c>
      <c r="U665">
        <v>296</v>
      </c>
      <c r="V665">
        <v>138</v>
      </c>
      <c r="W665">
        <v>22</v>
      </c>
      <c r="X665">
        <v>6.2727272727272716</v>
      </c>
      <c r="Y665">
        <v>5</v>
      </c>
      <c r="Z665">
        <v>40</v>
      </c>
      <c r="AA665">
        <v>0</v>
      </c>
      <c r="AB665">
        <v>0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2</v>
      </c>
      <c r="AI665">
        <v>67</v>
      </c>
      <c r="AJ665">
        <v>1</v>
      </c>
      <c r="AK665">
        <v>4</v>
      </c>
      <c r="AL665">
        <v>3</v>
      </c>
      <c r="AM665">
        <v>71</v>
      </c>
      <c r="AN665">
        <v>6</v>
      </c>
      <c r="AO665">
        <v>41</v>
      </c>
      <c r="AP665">
        <v>6</v>
      </c>
      <c r="AQ665">
        <v>41</v>
      </c>
      <c r="AR665">
        <v>0.13513513513513509</v>
      </c>
      <c r="AS665">
        <v>0</v>
      </c>
      <c r="AT665">
        <v>3.378378378378379E-3</v>
      </c>
      <c r="AU665">
        <v>3.378378378378379E-3</v>
      </c>
      <c r="AV665">
        <v>0.22635135135135129</v>
      </c>
      <c r="AW665">
        <v>0.23986486486486491</v>
      </c>
      <c r="AX665">
        <v>0.13851351351351349</v>
      </c>
      <c r="AY665">
        <v>0.13851351351351349</v>
      </c>
      <c r="AZ665">
        <v>-0.1013513513513513</v>
      </c>
      <c r="BA665">
        <v>0.83333333333333337</v>
      </c>
      <c r="BB665">
        <v>0.87878787878787856</v>
      </c>
      <c r="BC665">
        <v>0.4</v>
      </c>
      <c r="BD665">
        <v>0.56165540540540537</v>
      </c>
      <c r="BE665">
        <v>4</v>
      </c>
      <c r="BF665">
        <v>0.66844415438165439</v>
      </c>
      <c r="BG665">
        <v>0.66</v>
      </c>
      <c r="BH665" t="s">
        <v>86</v>
      </c>
      <c r="BI665">
        <v>0.67</v>
      </c>
      <c r="BJ665" t="s">
        <v>86</v>
      </c>
      <c r="BK665" s="2">
        <f t="shared" si="21"/>
        <v>-1.0000000000000009E-2</v>
      </c>
      <c r="BL665" t="b">
        <f t="shared" si="22"/>
        <v>1</v>
      </c>
    </row>
    <row r="666" spans="1:64" x14ac:dyDescent="0.35">
      <c r="A666" t="s">
        <v>1837</v>
      </c>
      <c r="B666" t="s">
        <v>1834</v>
      </c>
      <c r="C666">
        <v>2018</v>
      </c>
      <c r="D666" t="s">
        <v>1835</v>
      </c>
      <c r="E666" t="s">
        <v>1836</v>
      </c>
      <c r="F666" t="s">
        <v>66</v>
      </c>
      <c r="G666" t="s">
        <v>67</v>
      </c>
      <c r="H666" t="s">
        <v>68</v>
      </c>
      <c r="I666" t="s">
        <v>68</v>
      </c>
      <c r="J666" t="s">
        <v>70</v>
      </c>
      <c r="L666">
        <v>2</v>
      </c>
      <c r="M666" t="b">
        <v>0</v>
      </c>
      <c r="N666">
        <v>1</v>
      </c>
      <c r="O666">
        <v>2</v>
      </c>
      <c r="P666">
        <v>7</v>
      </c>
      <c r="Q666">
        <v>4</v>
      </c>
      <c r="R666">
        <v>3</v>
      </c>
      <c r="S666">
        <v>5</v>
      </c>
      <c r="T666">
        <v>31</v>
      </c>
      <c r="U666">
        <v>566</v>
      </c>
      <c r="V666">
        <v>137</v>
      </c>
      <c r="W666">
        <v>25</v>
      </c>
      <c r="X666">
        <v>5.48</v>
      </c>
      <c r="Y666">
        <v>2</v>
      </c>
      <c r="Z666">
        <v>26</v>
      </c>
      <c r="AA666">
        <v>0</v>
      </c>
      <c r="AB666">
        <v>0</v>
      </c>
      <c r="AC666">
        <v>1</v>
      </c>
      <c r="AD666">
        <v>1</v>
      </c>
      <c r="AE666">
        <v>72</v>
      </c>
      <c r="AF666">
        <v>2</v>
      </c>
      <c r="AG666">
        <v>26</v>
      </c>
      <c r="AH666">
        <v>3</v>
      </c>
      <c r="AI666">
        <v>51</v>
      </c>
      <c r="AJ666">
        <v>1</v>
      </c>
      <c r="AK666">
        <v>4</v>
      </c>
      <c r="AL666">
        <v>4</v>
      </c>
      <c r="AM666">
        <v>55</v>
      </c>
      <c r="AN666">
        <v>4</v>
      </c>
      <c r="AO666">
        <v>52</v>
      </c>
      <c r="AP666">
        <v>3</v>
      </c>
      <c r="AQ666">
        <v>98</v>
      </c>
      <c r="AR666">
        <v>4.5936395759717308E-2</v>
      </c>
      <c r="AS666">
        <v>0</v>
      </c>
      <c r="AT666">
        <v>0.12720848056537101</v>
      </c>
      <c r="AU666">
        <v>4.5936395759717308E-2</v>
      </c>
      <c r="AV666">
        <v>9.0106007067137811E-2</v>
      </c>
      <c r="AW666">
        <v>9.7173144876325085E-2</v>
      </c>
      <c r="AX666">
        <v>9.187279151943463E-2</v>
      </c>
      <c r="AY666">
        <v>0.17314487632508829</v>
      </c>
      <c r="AZ666">
        <v>-5.3003533568904554E-3</v>
      </c>
      <c r="BA666">
        <v>0.66666666666666663</v>
      </c>
      <c r="BB666">
        <v>0.7466666666666667</v>
      </c>
      <c r="BC666">
        <v>0.2</v>
      </c>
      <c r="BD666">
        <v>0.62168727915194344</v>
      </c>
      <c r="BE666">
        <v>4</v>
      </c>
      <c r="BF666">
        <v>0.55875515312131918</v>
      </c>
      <c r="BG666">
        <v>0.56999999999999995</v>
      </c>
      <c r="BH666" t="s">
        <v>86</v>
      </c>
      <c r="BI666">
        <v>0.56000000000000005</v>
      </c>
      <c r="BJ666" t="s">
        <v>71</v>
      </c>
      <c r="BK666" s="2">
        <f t="shared" si="21"/>
        <v>9.9999999999998979E-3</v>
      </c>
      <c r="BL666" t="b">
        <f t="shared" si="22"/>
        <v>0</v>
      </c>
    </row>
    <row r="667" spans="1:64" x14ac:dyDescent="0.35">
      <c r="A667" t="s">
        <v>1838</v>
      </c>
      <c r="B667" t="s">
        <v>1834</v>
      </c>
      <c r="C667">
        <v>2021</v>
      </c>
      <c r="D667" t="s">
        <v>1835</v>
      </c>
      <c r="E667" t="s">
        <v>1836</v>
      </c>
      <c r="F667" t="s">
        <v>66</v>
      </c>
      <c r="G667" t="s">
        <v>67</v>
      </c>
      <c r="H667" t="s">
        <v>68</v>
      </c>
      <c r="I667" t="s">
        <v>68</v>
      </c>
      <c r="J667" t="s">
        <v>70</v>
      </c>
      <c r="L667">
        <v>2</v>
      </c>
      <c r="M667" t="b">
        <v>0</v>
      </c>
      <c r="N667">
        <v>3</v>
      </c>
      <c r="O667">
        <v>2</v>
      </c>
      <c r="P667">
        <v>5</v>
      </c>
      <c r="Q667">
        <v>2</v>
      </c>
      <c r="R667">
        <v>3</v>
      </c>
      <c r="S667">
        <v>4</v>
      </c>
      <c r="T667">
        <v>19</v>
      </c>
      <c r="U667">
        <v>269</v>
      </c>
      <c r="V667">
        <v>93</v>
      </c>
      <c r="W667">
        <v>17</v>
      </c>
      <c r="X667">
        <v>5.4705882352941178</v>
      </c>
      <c r="Y667">
        <v>3</v>
      </c>
      <c r="Z667">
        <v>172</v>
      </c>
      <c r="AA667">
        <v>0</v>
      </c>
      <c r="AB667">
        <v>0</v>
      </c>
      <c r="AC667">
        <v>1</v>
      </c>
      <c r="AD667">
        <v>1</v>
      </c>
      <c r="AE667">
        <v>21</v>
      </c>
      <c r="AF667">
        <v>2</v>
      </c>
      <c r="AG667">
        <v>2</v>
      </c>
      <c r="AH667">
        <v>2</v>
      </c>
      <c r="AI667">
        <v>54</v>
      </c>
      <c r="AJ667">
        <v>1</v>
      </c>
      <c r="AK667">
        <v>1</v>
      </c>
      <c r="AL667">
        <v>3</v>
      </c>
      <c r="AM667">
        <v>55</v>
      </c>
      <c r="AN667">
        <v>5</v>
      </c>
      <c r="AO667">
        <v>174</v>
      </c>
      <c r="AP667">
        <v>4</v>
      </c>
      <c r="AQ667">
        <v>193</v>
      </c>
      <c r="AR667">
        <v>0.63940520446096649</v>
      </c>
      <c r="AS667">
        <v>0</v>
      </c>
      <c r="AT667">
        <v>7.8066914498141265E-2</v>
      </c>
      <c r="AU667">
        <v>7.4349442379182153E-3</v>
      </c>
      <c r="AV667">
        <v>0.2007434944237918</v>
      </c>
      <c r="AW667">
        <v>0.20446096654275089</v>
      </c>
      <c r="AX667">
        <v>0.64684014869888473</v>
      </c>
      <c r="AY667">
        <v>0.71747211895910779</v>
      </c>
      <c r="AZ667">
        <v>0.44237918215613381</v>
      </c>
      <c r="BA667">
        <v>0.5</v>
      </c>
      <c r="BB667">
        <v>0.74509803921568629</v>
      </c>
      <c r="BC667">
        <v>0.26666666666666672</v>
      </c>
      <c r="BD667">
        <v>0.9014869888475836</v>
      </c>
      <c r="BE667">
        <v>4</v>
      </c>
      <c r="BF667">
        <v>0.60331292368248413</v>
      </c>
      <c r="BG667">
        <v>0.63</v>
      </c>
      <c r="BH667" t="s">
        <v>86</v>
      </c>
      <c r="BI667">
        <v>0.6</v>
      </c>
      <c r="BJ667" t="s">
        <v>86</v>
      </c>
      <c r="BK667" s="2">
        <f t="shared" si="21"/>
        <v>3.0000000000000027E-2</v>
      </c>
      <c r="BL667" t="b">
        <f t="shared" si="22"/>
        <v>1</v>
      </c>
    </row>
    <row r="668" spans="1:64" x14ac:dyDescent="0.35">
      <c r="A668" t="s">
        <v>1839</v>
      </c>
      <c r="B668" t="s">
        <v>1840</v>
      </c>
      <c r="C668">
        <v>2015</v>
      </c>
      <c r="D668" t="s">
        <v>1841</v>
      </c>
      <c r="E668" t="s">
        <v>1842</v>
      </c>
      <c r="F668" t="s">
        <v>66</v>
      </c>
      <c r="G668" t="s">
        <v>67</v>
      </c>
      <c r="H668" t="s">
        <v>68</v>
      </c>
      <c r="I668" t="s">
        <v>68</v>
      </c>
      <c r="J668" t="s">
        <v>70</v>
      </c>
      <c r="L668">
        <v>5</v>
      </c>
      <c r="M668" t="b">
        <v>0</v>
      </c>
      <c r="N668">
        <v>1</v>
      </c>
      <c r="O668">
        <v>2</v>
      </c>
      <c r="P668">
        <v>10</v>
      </c>
      <c r="Q668">
        <v>4</v>
      </c>
      <c r="R668">
        <v>6</v>
      </c>
      <c r="S668">
        <v>6</v>
      </c>
      <c r="T668">
        <v>38</v>
      </c>
      <c r="U668">
        <v>294</v>
      </c>
      <c r="V668">
        <v>162</v>
      </c>
      <c r="W668">
        <v>27</v>
      </c>
      <c r="X668">
        <v>6</v>
      </c>
      <c r="Y668">
        <v>6</v>
      </c>
      <c r="Z668">
        <v>113</v>
      </c>
      <c r="AA668">
        <v>0</v>
      </c>
      <c r="AB668">
        <v>0</v>
      </c>
      <c r="AC668">
        <v>1</v>
      </c>
      <c r="AD668">
        <v>1</v>
      </c>
      <c r="AE668">
        <v>23</v>
      </c>
      <c r="AF668">
        <v>6</v>
      </c>
      <c r="AG668">
        <v>41</v>
      </c>
      <c r="AH668">
        <v>2</v>
      </c>
      <c r="AI668">
        <v>10</v>
      </c>
      <c r="AJ668">
        <v>1</v>
      </c>
      <c r="AK668">
        <v>9</v>
      </c>
      <c r="AL668">
        <v>3</v>
      </c>
      <c r="AM668">
        <v>19</v>
      </c>
      <c r="AN668">
        <v>12</v>
      </c>
      <c r="AO668">
        <v>154</v>
      </c>
      <c r="AP668">
        <v>7</v>
      </c>
      <c r="AQ668">
        <v>136</v>
      </c>
      <c r="AR668">
        <v>0.38435374149659862</v>
      </c>
      <c r="AS668">
        <v>0</v>
      </c>
      <c r="AT668">
        <v>7.8231292517006806E-2</v>
      </c>
      <c r="AU668">
        <v>0.13945578231292521</v>
      </c>
      <c r="AV668">
        <v>3.4013605442176867E-2</v>
      </c>
      <c r="AW668">
        <v>6.4625850340136057E-2</v>
      </c>
      <c r="AX668">
        <v>0.52380952380952384</v>
      </c>
      <c r="AY668">
        <v>0.46258503401360551</v>
      </c>
      <c r="AZ668">
        <v>0.45918367346938782</v>
      </c>
      <c r="BA668">
        <v>0.83333333333333337</v>
      </c>
      <c r="BB668">
        <v>0.83333333333333337</v>
      </c>
      <c r="BC668">
        <v>0.46666666666666667</v>
      </c>
      <c r="BD668">
        <v>0.91198979591836726</v>
      </c>
      <c r="BE668">
        <v>4</v>
      </c>
      <c r="BF668">
        <v>0.76133078231292517</v>
      </c>
      <c r="BG668">
        <v>0.68</v>
      </c>
      <c r="BH668" t="s">
        <v>86</v>
      </c>
      <c r="BI668">
        <v>0.76</v>
      </c>
      <c r="BJ668" t="s">
        <v>86</v>
      </c>
      <c r="BK668" s="2">
        <f t="shared" si="21"/>
        <v>-7.999999999999996E-2</v>
      </c>
      <c r="BL668" t="b">
        <f t="shared" si="22"/>
        <v>1</v>
      </c>
    </row>
    <row r="669" spans="1:64" x14ac:dyDescent="0.35">
      <c r="A669" t="s">
        <v>1843</v>
      </c>
      <c r="B669" t="s">
        <v>1840</v>
      </c>
      <c r="C669">
        <v>2019</v>
      </c>
      <c r="D669" t="s">
        <v>1841</v>
      </c>
      <c r="E669" t="s">
        <v>1842</v>
      </c>
      <c r="F669" t="s">
        <v>66</v>
      </c>
      <c r="G669" t="s">
        <v>67</v>
      </c>
      <c r="H669" t="s">
        <v>68</v>
      </c>
      <c r="I669" t="s">
        <v>68</v>
      </c>
      <c r="J669" t="s">
        <v>70</v>
      </c>
      <c r="L669">
        <v>5</v>
      </c>
      <c r="M669" t="b">
        <v>0</v>
      </c>
      <c r="N669">
        <v>1</v>
      </c>
      <c r="O669">
        <v>1</v>
      </c>
      <c r="P669">
        <v>7</v>
      </c>
      <c r="Q669">
        <v>5</v>
      </c>
      <c r="R669">
        <v>2</v>
      </c>
      <c r="S669">
        <v>4</v>
      </c>
      <c r="T669">
        <v>36</v>
      </c>
      <c r="U669">
        <v>265</v>
      </c>
      <c r="V669">
        <v>137</v>
      </c>
      <c r="W669">
        <v>24</v>
      </c>
      <c r="X669">
        <v>5.708333333333333</v>
      </c>
      <c r="Y669">
        <v>6</v>
      </c>
      <c r="Z669">
        <v>46</v>
      </c>
      <c r="AA669">
        <v>0</v>
      </c>
      <c r="AB669">
        <v>0</v>
      </c>
      <c r="AC669">
        <v>1</v>
      </c>
      <c r="AD669">
        <v>1</v>
      </c>
      <c r="AE669">
        <v>14</v>
      </c>
      <c r="AF669">
        <v>0</v>
      </c>
      <c r="AG669">
        <v>0</v>
      </c>
      <c r="AH669">
        <v>2</v>
      </c>
      <c r="AI669">
        <v>20</v>
      </c>
      <c r="AJ669">
        <v>2</v>
      </c>
      <c r="AK669">
        <v>11</v>
      </c>
      <c r="AL669">
        <v>4</v>
      </c>
      <c r="AM669">
        <v>31</v>
      </c>
      <c r="AN669">
        <v>6</v>
      </c>
      <c r="AO669">
        <v>46</v>
      </c>
      <c r="AP669">
        <v>7</v>
      </c>
      <c r="AQ669">
        <v>60</v>
      </c>
      <c r="AR669">
        <v>0.17358490566037729</v>
      </c>
      <c r="AS669">
        <v>0</v>
      </c>
      <c r="AT669">
        <v>5.2830188679245292E-2</v>
      </c>
      <c r="AU669">
        <v>0</v>
      </c>
      <c r="AV669">
        <v>7.5471698113207544E-2</v>
      </c>
      <c r="AW669">
        <v>0.1169811320754717</v>
      </c>
      <c r="AX669">
        <v>0.17358490566037729</v>
      </c>
      <c r="AY669">
        <v>0.22641509433962259</v>
      </c>
      <c r="AZ669">
        <v>5.6603773584905648E-2</v>
      </c>
      <c r="BA669">
        <v>0.5</v>
      </c>
      <c r="BB669">
        <v>0.78472222222222221</v>
      </c>
      <c r="BC669">
        <v>0.46666666666666667</v>
      </c>
      <c r="BD669">
        <v>0.660377358490566</v>
      </c>
      <c r="BE669">
        <v>4</v>
      </c>
      <c r="BF669">
        <v>0.60294156184486369</v>
      </c>
      <c r="BG669">
        <v>0.61</v>
      </c>
      <c r="BH669" t="s">
        <v>86</v>
      </c>
      <c r="BI669">
        <v>0.6</v>
      </c>
      <c r="BJ669" t="s">
        <v>86</v>
      </c>
      <c r="BK669" s="2">
        <f t="shared" si="21"/>
        <v>1.0000000000000009E-2</v>
      </c>
      <c r="BL669" t="b">
        <f t="shared" si="22"/>
        <v>1</v>
      </c>
    </row>
    <row r="670" spans="1:64" x14ac:dyDescent="0.35">
      <c r="A670" t="s">
        <v>1844</v>
      </c>
      <c r="B670" t="s">
        <v>1840</v>
      </c>
      <c r="C670">
        <v>2022</v>
      </c>
      <c r="D670" t="s">
        <v>1841</v>
      </c>
      <c r="E670" t="s">
        <v>1842</v>
      </c>
      <c r="F670" t="s">
        <v>66</v>
      </c>
      <c r="G670" t="s">
        <v>67</v>
      </c>
      <c r="H670" t="s">
        <v>68</v>
      </c>
      <c r="I670" t="s">
        <v>68</v>
      </c>
      <c r="J670" t="s">
        <v>70</v>
      </c>
      <c r="L670">
        <v>5</v>
      </c>
      <c r="M670" t="b">
        <v>0</v>
      </c>
      <c r="N670">
        <v>1</v>
      </c>
      <c r="O670">
        <v>1</v>
      </c>
      <c r="P670">
        <v>7</v>
      </c>
      <c r="Q670">
        <v>4</v>
      </c>
      <c r="R670">
        <v>3</v>
      </c>
      <c r="S670">
        <v>4</v>
      </c>
      <c r="T670">
        <v>30</v>
      </c>
      <c r="U670">
        <v>222</v>
      </c>
      <c r="V670">
        <v>149</v>
      </c>
      <c r="W670">
        <v>28</v>
      </c>
      <c r="X670">
        <v>5.3214285714285712</v>
      </c>
      <c r="Y670">
        <v>5</v>
      </c>
      <c r="Z670">
        <v>39</v>
      </c>
      <c r="AA670">
        <v>0</v>
      </c>
      <c r="AB670">
        <v>0</v>
      </c>
      <c r="AC670">
        <v>3</v>
      </c>
      <c r="AD670">
        <v>3</v>
      </c>
      <c r="AE670">
        <v>41</v>
      </c>
      <c r="AF670">
        <v>2</v>
      </c>
      <c r="AG670">
        <v>3</v>
      </c>
      <c r="AH670">
        <v>2</v>
      </c>
      <c r="AI670">
        <v>45</v>
      </c>
      <c r="AJ670">
        <v>2</v>
      </c>
      <c r="AK670">
        <v>5</v>
      </c>
      <c r="AL670">
        <v>4</v>
      </c>
      <c r="AM670">
        <v>50</v>
      </c>
      <c r="AN670">
        <v>7</v>
      </c>
      <c r="AO670">
        <v>42</v>
      </c>
      <c r="AP670">
        <v>8</v>
      </c>
      <c r="AQ670">
        <v>80</v>
      </c>
      <c r="AR670">
        <v>0.17567567567567571</v>
      </c>
      <c r="AS670">
        <v>0</v>
      </c>
      <c r="AT670">
        <v>0.18468468468468471</v>
      </c>
      <c r="AU670">
        <v>1.3513513513513511E-2</v>
      </c>
      <c r="AV670">
        <v>0.20270270270270269</v>
      </c>
      <c r="AW670">
        <v>0.2252252252252252</v>
      </c>
      <c r="AX670">
        <v>0.1891891891891892</v>
      </c>
      <c r="AY670">
        <v>0.36036036036036029</v>
      </c>
      <c r="AZ670">
        <v>-3.6036036036036029E-2</v>
      </c>
      <c r="BA670">
        <v>0.5</v>
      </c>
      <c r="BB670">
        <v>0.72023809523809523</v>
      </c>
      <c r="BC670">
        <v>0.53333333333333333</v>
      </c>
      <c r="BD670">
        <v>0.60247747747747749</v>
      </c>
      <c r="BE670">
        <v>4</v>
      </c>
      <c r="BF670">
        <v>0.58901222651222651</v>
      </c>
      <c r="BG670">
        <v>0.62</v>
      </c>
      <c r="BH670" t="s">
        <v>86</v>
      </c>
      <c r="BI670">
        <v>0.59</v>
      </c>
      <c r="BJ670" t="s">
        <v>71</v>
      </c>
      <c r="BK670" s="2">
        <f t="shared" si="21"/>
        <v>3.0000000000000027E-2</v>
      </c>
      <c r="BL670" t="b">
        <f t="shared" si="22"/>
        <v>0</v>
      </c>
    </row>
    <row r="671" spans="1:64" x14ac:dyDescent="0.35">
      <c r="A671" t="s">
        <v>1845</v>
      </c>
      <c r="B671" t="s">
        <v>1846</v>
      </c>
      <c r="C671">
        <v>2014</v>
      </c>
      <c r="D671" t="s">
        <v>1847</v>
      </c>
      <c r="E671" t="s">
        <v>1848</v>
      </c>
      <c r="F671" t="s">
        <v>66</v>
      </c>
      <c r="G671" t="s">
        <v>67</v>
      </c>
      <c r="H671" t="s">
        <v>68</v>
      </c>
      <c r="I671" t="s">
        <v>624</v>
      </c>
      <c r="J671" t="s">
        <v>70</v>
      </c>
      <c r="L671">
        <v>2</v>
      </c>
      <c r="M671" t="b">
        <v>0</v>
      </c>
      <c r="N671">
        <v>1</v>
      </c>
      <c r="O671">
        <v>1</v>
      </c>
      <c r="P671">
        <v>8</v>
      </c>
      <c r="Q671">
        <v>2</v>
      </c>
      <c r="R671">
        <v>6</v>
      </c>
      <c r="S671">
        <v>5</v>
      </c>
      <c r="T671">
        <v>37</v>
      </c>
      <c r="U671">
        <v>390</v>
      </c>
      <c r="V671">
        <v>145</v>
      </c>
      <c r="W671">
        <v>25</v>
      </c>
      <c r="X671">
        <v>5.8</v>
      </c>
      <c r="Y671">
        <v>1</v>
      </c>
      <c r="Z671">
        <v>95</v>
      </c>
      <c r="AA671">
        <v>1</v>
      </c>
      <c r="AB671">
        <v>5</v>
      </c>
      <c r="AC671">
        <v>3</v>
      </c>
      <c r="AD671">
        <v>3</v>
      </c>
      <c r="AE671">
        <v>10</v>
      </c>
      <c r="AF671">
        <v>2</v>
      </c>
      <c r="AG671">
        <v>12</v>
      </c>
      <c r="AH671">
        <v>1</v>
      </c>
      <c r="AI671">
        <v>9</v>
      </c>
      <c r="AJ671">
        <v>3</v>
      </c>
      <c r="AK671">
        <v>10</v>
      </c>
      <c r="AL671">
        <v>4</v>
      </c>
      <c r="AM671">
        <v>19</v>
      </c>
      <c r="AN671">
        <v>4</v>
      </c>
      <c r="AO671">
        <v>112</v>
      </c>
      <c r="AP671">
        <v>5</v>
      </c>
      <c r="AQ671">
        <v>110</v>
      </c>
      <c r="AR671">
        <v>0.24358974358974361</v>
      </c>
      <c r="AS671">
        <v>1.282051282051282E-2</v>
      </c>
      <c r="AT671">
        <v>2.564102564102564E-2</v>
      </c>
      <c r="AU671">
        <v>3.0769230769230771E-2</v>
      </c>
      <c r="AV671">
        <v>2.3076923076923082E-2</v>
      </c>
      <c r="AW671">
        <v>4.8717948717948718E-2</v>
      </c>
      <c r="AX671">
        <v>0.28717948717948721</v>
      </c>
      <c r="AY671">
        <v>0.28205128205128199</v>
      </c>
      <c r="AZ671">
        <v>0.23846153846153839</v>
      </c>
      <c r="BA671">
        <v>0.66666666666666663</v>
      </c>
      <c r="BB671">
        <v>0.79999999999999993</v>
      </c>
      <c r="BC671">
        <v>0.33333333333333331</v>
      </c>
      <c r="BD671">
        <v>0.77403846153846156</v>
      </c>
      <c r="BE671">
        <v>4</v>
      </c>
      <c r="BF671">
        <v>0.64350961538461537</v>
      </c>
      <c r="BG671">
        <v>0.65</v>
      </c>
      <c r="BH671" t="s">
        <v>86</v>
      </c>
      <c r="BI671">
        <v>0.64</v>
      </c>
      <c r="BJ671" t="s">
        <v>86</v>
      </c>
      <c r="BK671" s="2">
        <f t="shared" si="21"/>
        <v>1.0000000000000009E-2</v>
      </c>
      <c r="BL671" t="b">
        <f t="shared" si="22"/>
        <v>1</v>
      </c>
    </row>
    <row r="672" spans="1:64" x14ac:dyDescent="0.35">
      <c r="A672" t="s">
        <v>1849</v>
      </c>
      <c r="B672" t="s">
        <v>1846</v>
      </c>
      <c r="C672">
        <v>2020</v>
      </c>
      <c r="D672" t="s">
        <v>1847</v>
      </c>
      <c r="E672" t="s">
        <v>1848</v>
      </c>
      <c r="F672" t="s">
        <v>66</v>
      </c>
      <c r="G672" t="s">
        <v>67</v>
      </c>
      <c r="H672" t="s">
        <v>68</v>
      </c>
      <c r="I672" t="s">
        <v>624</v>
      </c>
      <c r="J672" t="s">
        <v>70</v>
      </c>
      <c r="L672">
        <v>2</v>
      </c>
      <c r="M672" t="b">
        <v>0</v>
      </c>
      <c r="N672">
        <v>1</v>
      </c>
      <c r="O672">
        <v>2</v>
      </c>
      <c r="P672">
        <v>12</v>
      </c>
      <c r="Q672">
        <v>5</v>
      </c>
      <c r="R672">
        <v>7</v>
      </c>
      <c r="S672">
        <v>6</v>
      </c>
      <c r="T672">
        <v>59</v>
      </c>
      <c r="U672">
        <v>3054</v>
      </c>
      <c r="V672">
        <v>215</v>
      </c>
      <c r="W672">
        <v>37</v>
      </c>
      <c r="X672">
        <v>5.8108108108108114</v>
      </c>
      <c r="Y672">
        <v>6</v>
      </c>
      <c r="Z672">
        <v>946</v>
      </c>
      <c r="AA672">
        <v>1</v>
      </c>
      <c r="AB672">
        <v>4</v>
      </c>
      <c r="AC672">
        <v>4</v>
      </c>
      <c r="AD672">
        <v>4</v>
      </c>
      <c r="AE672">
        <v>157</v>
      </c>
      <c r="AF672">
        <v>3</v>
      </c>
      <c r="AG672">
        <v>40</v>
      </c>
      <c r="AH672">
        <v>2</v>
      </c>
      <c r="AI672">
        <v>99</v>
      </c>
      <c r="AJ672">
        <v>4</v>
      </c>
      <c r="AK672">
        <v>25</v>
      </c>
      <c r="AL672">
        <v>7</v>
      </c>
      <c r="AM672">
        <v>164</v>
      </c>
      <c r="AN672">
        <v>10</v>
      </c>
      <c r="AO672">
        <v>990</v>
      </c>
      <c r="AP672">
        <v>11</v>
      </c>
      <c r="AQ672">
        <v>1107</v>
      </c>
      <c r="AR672">
        <v>0.3097576948264571</v>
      </c>
      <c r="AS672">
        <v>1.3097576948264569E-3</v>
      </c>
      <c r="AT672">
        <v>5.1407989521938438E-2</v>
      </c>
      <c r="AU672">
        <v>1.3097576948264571E-2</v>
      </c>
      <c r="AV672">
        <v>3.2416502946954813E-2</v>
      </c>
      <c r="AW672">
        <v>5.3700065487884738E-2</v>
      </c>
      <c r="AX672">
        <v>0.32416502946954812</v>
      </c>
      <c r="AY672">
        <v>0.36247544204322202</v>
      </c>
      <c r="AZ672">
        <v>0.27046496398166342</v>
      </c>
      <c r="BA672">
        <v>0.83333333333333337</v>
      </c>
      <c r="BB672">
        <v>0.80180180180180194</v>
      </c>
      <c r="BC672">
        <v>0.73333333333333328</v>
      </c>
      <c r="BD672">
        <v>0.79404060248853958</v>
      </c>
      <c r="BE672">
        <v>4</v>
      </c>
      <c r="BF672">
        <v>0.79062726773925207</v>
      </c>
      <c r="BG672">
        <v>0.8</v>
      </c>
      <c r="BH672" t="s">
        <v>164</v>
      </c>
      <c r="BI672">
        <v>0.79</v>
      </c>
      <c r="BJ672" t="s">
        <v>86</v>
      </c>
      <c r="BK672" s="2">
        <f t="shared" si="21"/>
        <v>1.0000000000000009E-2</v>
      </c>
      <c r="BL672" t="b">
        <f t="shared" si="22"/>
        <v>0</v>
      </c>
    </row>
    <row r="673" spans="1:64" x14ac:dyDescent="0.35">
      <c r="A673" t="s">
        <v>1850</v>
      </c>
      <c r="B673" t="s">
        <v>1851</v>
      </c>
      <c r="C673">
        <v>2015</v>
      </c>
      <c r="D673" t="s">
        <v>1852</v>
      </c>
      <c r="E673" t="s">
        <v>1853</v>
      </c>
      <c r="F673" t="s">
        <v>66</v>
      </c>
      <c r="G673" t="s">
        <v>101</v>
      </c>
      <c r="H673" t="s">
        <v>170</v>
      </c>
      <c r="I673" t="s">
        <v>1854</v>
      </c>
      <c r="J673" t="s">
        <v>70</v>
      </c>
      <c r="L673">
        <v>2</v>
      </c>
      <c r="M673" t="b">
        <v>0</v>
      </c>
      <c r="N673">
        <v>1</v>
      </c>
      <c r="O673">
        <v>1</v>
      </c>
      <c r="P673">
        <v>9</v>
      </c>
      <c r="Q673">
        <v>4</v>
      </c>
      <c r="R673">
        <v>5</v>
      </c>
      <c r="S673">
        <v>5</v>
      </c>
      <c r="T673">
        <v>35</v>
      </c>
      <c r="U673">
        <v>414</v>
      </c>
      <c r="V673">
        <v>154</v>
      </c>
      <c r="W673">
        <v>27</v>
      </c>
      <c r="X673">
        <v>5.7037037037037033</v>
      </c>
      <c r="Y673">
        <v>7</v>
      </c>
      <c r="Z673">
        <v>250</v>
      </c>
      <c r="AA673">
        <v>0</v>
      </c>
      <c r="AB673">
        <v>0</v>
      </c>
      <c r="AC673">
        <v>2</v>
      </c>
      <c r="AD673">
        <v>2</v>
      </c>
      <c r="AE673">
        <v>45</v>
      </c>
      <c r="AF673">
        <v>3</v>
      </c>
      <c r="AG673">
        <v>4</v>
      </c>
      <c r="AH673">
        <v>2</v>
      </c>
      <c r="AI673">
        <v>48</v>
      </c>
      <c r="AJ673">
        <v>3</v>
      </c>
      <c r="AK673">
        <v>3</v>
      </c>
      <c r="AL673">
        <v>5</v>
      </c>
      <c r="AM673">
        <v>51</v>
      </c>
      <c r="AN673">
        <v>10</v>
      </c>
      <c r="AO673">
        <v>254</v>
      </c>
      <c r="AP673">
        <v>9</v>
      </c>
      <c r="AQ673">
        <v>295</v>
      </c>
      <c r="AR673">
        <v>0.60386473429951693</v>
      </c>
      <c r="AS673">
        <v>0</v>
      </c>
      <c r="AT673">
        <v>0.108695652173913</v>
      </c>
      <c r="AU673">
        <v>9.6618357487922701E-3</v>
      </c>
      <c r="AV673">
        <v>0.11594202898550721</v>
      </c>
      <c r="AW673">
        <v>0.1231884057971015</v>
      </c>
      <c r="AX673">
        <v>0.61352657004830913</v>
      </c>
      <c r="AY673">
        <v>0.7125603864734299</v>
      </c>
      <c r="AZ673">
        <v>0.49033816425120769</v>
      </c>
      <c r="BA673">
        <v>0.66666666666666663</v>
      </c>
      <c r="BB673">
        <v>0.78395061728395055</v>
      </c>
      <c r="BC673">
        <v>0.6</v>
      </c>
      <c r="BD673">
        <v>0.9314613526570048</v>
      </c>
      <c r="BE673">
        <v>4</v>
      </c>
      <c r="BF673">
        <v>0.74551965915190554</v>
      </c>
      <c r="BG673">
        <v>0.77</v>
      </c>
      <c r="BH673" t="s">
        <v>86</v>
      </c>
      <c r="BI673">
        <v>0.75</v>
      </c>
      <c r="BJ673" t="s">
        <v>86</v>
      </c>
      <c r="BK673" s="2">
        <f t="shared" si="21"/>
        <v>2.0000000000000018E-2</v>
      </c>
      <c r="BL673" t="b">
        <f t="shared" si="22"/>
        <v>1</v>
      </c>
    </row>
    <row r="674" spans="1:64" x14ac:dyDescent="0.35">
      <c r="A674" t="s">
        <v>1855</v>
      </c>
      <c r="B674" t="s">
        <v>1851</v>
      </c>
      <c r="C674">
        <v>2018</v>
      </c>
      <c r="D674" t="s">
        <v>1852</v>
      </c>
      <c r="E674" t="s">
        <v>1853</v>
      </c>
      <c r="F674" t="s">
        <v>66</v>
      </c>
      <c r="G674" t="s">
        <v>101</v>
      </c>
      <c r="H674" t="s">
        <v>170</v>
      </c>
      <c r="I674" t="s">
        <v>1854</v>
      </c>
      <c r="J674" t="s">
        <v>70</v>
      </c>
      <c r="L674">
        <v>2</v>
      </c>
      <c r="M674" t="b">
        <v>0</v>
      </c>
      <c r="N674">
        <v>1</v>
      </c>
      <c r="O674">
        <v>2</v>
      </c>
      <c r="P674">
        <v>6</v>
      </c>
      <c r="Q674">
        <v>3</v>
      </c>
      <c r="R674">
        <v>3</v>
      </c>
      <c r="S674">
        <v>5</v>
      </c>
      <c r="T674">
        <v>17</v>
      </c>
      <c r="U674">
        <v>105</v>
      </c>
      <c r="V674">
        <v>82</v>
      </c>
      <c r="W674">
        <v>15</v>
      </c>
      <c r="X674">
        <v>5.4666666666666668</v>
      </c>
      <c r="Y674">
        <v>3</v>
      </c>
      <c r="Z674">
        <v>49</v>
      </c>
      <c r="AA674">
        <v>0</v>
      </c>
      <c r="AB674">
        <v>0</v>
      </c>
      <c r="AC674">
        <v>3</v>
      </c>
      <c r="AD674">
        <v>2</v>
      </c>
      <c r="AE674">
        <v>12</v>
      </c>
      <c r="AF674">
        <v>1</v>
      </c>
      <c r="AG674">
        <v>1</v>
      </c>
      <c r="AH674">
        <v>2</v>
      </c>
      <c r="AI674">
        <v>12</v>
      </c>
      <c r="AJ674">
        <v>1</v>
      </c>
      <c r="AK674">
        <v>1</v>
      </c>
      <c r="AL674">
        <v>3</v>
      </c>
      <c r="AM674">
        <v>13</v>
      </c>
      <c r="AN674">
        <v>4</v>
      </c>
      <c r="AO674">
        <v>50</v>
      </c>
      <c r="AP674">
        <v>5</v>
      </c>
      <c r="AQ674">
        <v>61</v>
      </c>
      <c r="AR674">
        <v>0.46666666666666667</v>
      </c>
      <c r="AS674">
        <v>0</v>
      </c>
      <c r="AT674">
        <v>0.1142857142857143</v>
      </c>
      <c r="AU674">
        <v>9.5238095238095247E-3</v>
      </c>
      <c r="AV674">
        <v>0.1142857142857143</v>
      </c>
      <c r="AW674">
        <v>0.1238095238095238</v>
      </c>
      <c r="AX674">
        <v>0.47619047619047622</v>
      </c>
      <c r="AY674">
        <v>0.580952380952381</v>
      </c>
      <c r="AZ674">
        <v>0.35238095238095241</v>
      </c>
      <c r="BA674">
        <v>0.66666666666666663</v>
      </c>
      <c r="BB674">
        <v>0.74444444444444446</v>
      </c>
      <c r="BC674">
        <v>0.33333333333333331</v>
      </c>
      <c r="BD674">
        <v>0.84523809523809523</v>
      </c>
      <c r="BE674">
        <v>4</v>
      </c>
      <c r="BF674">
        <v>0.64742063492063495</v>
      </c>
      <c r="BG674">
        <v>0.67</v>
      </c>
      <c r="BH674" t="s">
        <v>86</v>
      </c>
      <c r="BI674">
        <v>0.65</v>
      </c>
      <c r="BJ674" t="s">
        <v>86</v>
      </c>
      <c r="BK674" s="2">
        <f t="shared" si="21"/>
        <v>2.0000000000000018E-2</v>
      </c>
      <c r="BL674" t="b">
        <f t="shared" si="22"/>
        <v>1</v>
      </c>
    </row>
    <row r="675" spans="1:64" x14ac:dyDescent="0.35">
      <c r="A675" t="s">
        <v>1856</v>
      </c>
      <c r="B675" t="s">
        <v>1851</v>
      </c>
      <c r="C675">
        <v>2021</v>
      </c>
      <c r="D675" t="s">
        <v>1852</v>
      </c>
      <c r="E675" t="s">
        <v>1853</v>
      </c>
      <c r="F675" t="s">
        <v>66</v>
      </c>
      <c r="G675" t="s">
        <v>101</v>
      </c>
      <c r="H675" t="s">
        <v>170</v>
      </c>
      <c r="I675" t="s">
        <v>1854</v>
      </c>
      <c r="J675" t="s">
        <v>70</v>
      </c>
      <c r="L675">
        <v>2</v>
      </c>
      <c r="M675" t="b">
        <v>0</v>
      </c>
      <c r="N675">
        <v>1</v>
      </c>
      <c r="O675">
        <v>1</v>
      </c>
      <c r="P675">
        <v>5</v>
      </c>
      <c r="Q675">
        <v>3</v>
      </c>
      <c r="R675">
        <v>2</v>
      </c>
      <c r="S675">
        <v>4</v>
      </c>
      <c r="T675">
        <v>22</v>
      </c>
      <c r="U675">
        <v>65</v>
      </c>
      <c r="V675">
        <v>86</v>
      </c>
      <c r="W675">
        <v>18</v>
      </c>
      <c r="X675">
        <v>4.7777777777777777</v>
      </c>
      <c r="Y675">
        <v>3</v>
      </c>
      <c r="Z675">
        <v>8</v>
      </c>
      <c r="AA675">
        <v>0</v>
      </c>
      <c r="AB675">
        <v>0</v>
      </c>
      <c r="AC675">
        <v>1</v>
      </c>
      <c r="AD675">
        <v>1</v>
      </c>
      <c r="AE675">
        <v>7</v>
      </c>
      <c r="AF675">
        <v>2</v>
      </c>
      <c r="AG675">
        <v>2</v>
      </c>
      <c r="AH675">
        <v>2</v>
      </c>
      <c r="AI675">
        <v>5</v>
      </c>
      <c r="AJ675">
        <v>4</v>
      </c>
      <c r="AK675">
        <v>6</v>
      </c>
      <c r="AL675">
        <v>6</v>
      </c>
      <c r="AM675">
        <v>11</v>
      </c>
      <c r="AN675">
        <v>5</v>
      </c>
      <c r="AO675">
        <v>10</v>
      </c>
      <c r="AP675">
        <v>4</v>
      </c>
      <c r="AQ675">
        <v>15</v>
      </c>
      <c r="AR675">
        <v>0.1230769230769231</v>
      </c>
      <c r="AS675">
        <v>0</v>
      </c>
      <c r="AT675">
        <v>0.1076923076923077</v>
      </c>
      <c r="AU675">
        <v>3.0769230769230771E-2</v>
      </c>
      <c r="AV675">
        <v>7.6923076923076927E-2</v>
      </c>
      <c r="AW675">
        <v>0.16923076923076921</v>
      </c>
      <c r="AX675">
        <v>0.15384615384615391</v>
      </c>
      <c r="AY675">
        <v>0.23076923076923081</v>
      </c>
      <c r="AZ675">
        <v>-1.5384615384615391E-2</v>
      </c>
      <c r="BA675">
        <v>0.5</v>
      </c>
      <c r="BB675">
        <v>0.62962962962962965</v>
      </c>
      <c r="BC675">
        <v>0.26666666666666672</v>
      </c>
      <c r="BD675">
        <v>0.61538461538461531</v>
      </c>
      <c r="BE675">
        <v>4</v>
      </c>
      <c r="BF675">
        <v>0.50292022792022795</v>
      </c>
      <c r="BG675">
        <v>0.51</v>
      </c>
      <c r="BH675" t="s">
        <v>71</v>
      </c>
      <c r="BI675">
        <v>0.5</v>
      </c>
      <c r="BJ675" t="s">
        <v>71</v>
      </c>
      <c r="BK675" s="2">
        <f t="shared" si="21"/>
        <v>1.0000000000000009E-2</v>
      </c>
      <c r="BL675" t="b">
        <f t="shared" si="22"/>
        <v>1</v>
      </c>
    </row>
    <row r="676" spans="1:64" x14ac:dyDescent="0.35">
      <c r="A676" t="s">
        <v>1857</v>
      </c>
      <c r="B676" t="s">
        <v>1858</v>
      </c>
      <c r="C676">
        <v>2015</v>
      </c>
      <c r="D676" t="s">
        <v>1859</v>
      </c>
      <c r="E676" t="s">
        <v>1860</v>
      </c>
      <c r="F676" t="s">
        <v>66</v>
      </c>
      <c r="G676" t="s">
        <v>101</v>
      </c>
      <c r="H676" t="s">
        <v>170</v>
      </c>
      <c r="I676" t="s">
        <v>1861</v>
      </c>
      <c r="J676" t="s">
        <v>70</v>
      </c>
      <c r="L676">
        <v>3</v>
      </c>
      <c r="M676" t="b">
        <v>0</v>
      </c>
      <c r="N676">
        <v>1</v>
      </c>
      <c r="O676">
        <v>1</v>
      </c>
      <c r="P676">
        <v>7</v>
      </c>
      <c r="Q676">
        <v>5</v>
      </c>
      <c r="R676">
        <v>2</v>
      </c>
      <c r="S676">
        <v>4</v>
      </c>
      <c r="T676">
        <v>38</v>
      </c>
      <c r="U676">
        <v>261</v>
      </c>
      <c r="V676">
        <v>153</v>
      </c>
      <c r="W676">
        <v>27</v>
      </c>
      <c r="X676">
        <v>5.666666666666667</v>
      </c>
      <c r="Y676">
        <v>4</v>
      </c>
      <c r="Z676">
        <v>27</v>
      </c>
      <c r="AA676">
        <v>0</v>
      </c>
      <c r="AB676">
        <v>0</v>
      </c>
      <c r="AC676">
        <v>4</v>
      </c>
      <c r="AD676">
        <v>4</v>
      </c>
      <c r="AE676">
        <v>9</v>
      </c>
      <c r="AF676">
        <v>4</v>
      </c>
      <c r="AG676">
        <v>11</v>
      </c>
      <c r="AH676">
        <v>2</v>
      </c>
      <c r="AI676">
        <v>24</v>
      </c>
      <c r="AJ676">
        <v>1</v>
      </c>
      <c r="AK676">
        <v>3</v>
      </c>
      <c r="AL676">
        <v>3</v>
      </c>
      <c r="AM676">
        <v>27</v>
      </c>
      <c r="AN676">
        <v>8</v>
      </c>
      <c r="AO676">
        <v>38</v>
      </c>
      <c r="AP676">
        <v>8</v>
      </c>
      <c r="AQ676">
        <v>36</v>
      </c>
      <c r="AR676">
        <v>0.10344827586206901</v>
      </c>
      <c r="AS676">
        <v>0</v>
      </c>
      <c r="AT676">
        <v>3.4482758620689648E-2</v>
      </c>
      <c r="AU676">
        <v>4.2145593869731802E-2</v>
      </c>
      <c r="AV676">
        <v>9.1954022988505746E-2</v>
      </c>
      <c r="AW676">
        <v>0.10344827586206901</v>
      </c>
      <c r="AX676">
        <v>0.1455938697318008</v>
      </c>
      <c r="AY676">
        <v>0.13793103448275859</v>
      </c>
      <c r="AZ676">
        <v>4.2145593869731809E-2</v>
      </c>
      <c r="BA676">
        <v>0.5</v>
      </c>
      <c r="BB676">
        <v>0.77777777777777779</v>
      </c>
      <c r="BC676">
        <v>0.53333333333333333</v>
      </c>
      <c r="BD676">
        <v>0.65134099616858232</v>
      </c>
      <c r="BE676">
        <v>4</v>
      </c>
      <c r="BF676">
        <v>0.61561302681992336</v>
      </c>
      <c r="BG676">
        <v>0.63</v>
      </c>
      <c r="BH676" t="s">
        <v>86</v>
      </c>
      <c r="BI676">
        <v>0.62</v>
      </c>
      <c r="BJ676" t="s">
        <v>86</v>
      </c>
      <c r="BK676" s="2">
        <f t="shared" si="21"/>
        <v>1.0000000000000009E-2</v>
      </c>
      <c r="BL676" t="b">
        <f t="shared" si="22"/>
        <v>1</v>
      </c>
    </row>
    <row r="677" spans="1:64" x14ac:dyDescent="0.35">
      <c r="A677" t="s">
        <v>1862</v>
      </c>
      <c r="B677" t="s">
        <v>1858</v>
      </c>
      <c r="C677">
        <v>2018</v>
      </c>
      <c r="D677" t="s">
        <v>1859</v>
      </c>
      <c r="E677" t="s">
        <v>1860</v>
      </c>
      <c r="F677" t="s">
        <v>66</v>
      </c>
      <c r="G677" t="s">
        <v>101</v>
      </c>
      <c r="H677" t="s">
        <v>170</v>
      </c>
      <c r="I677" t="s">
        <v>1861</v>
      </c>
      <c r="J677" t="s">
        <v>70</v>
      </c>
      <c r="L677">
        <v>3</v>
      </c>
      <c r="M677" t="b">
        <v>0</v>
      </c>
      <c r="N677">
        <v>1</v>
      </c>
      <c r="O677">
        <v>1</v>
      </c>
      <c r="P677">
        <v>5</v>
      </c>
      <c r="Q677">
        <v>3</v>
      </c>
      <c r="R677">
        <v>2</v>
      </c>
      <c r="S677">
        <v>4</v>
      </c>
      <c r="T677">
        <v>29</v>
      </c>
      <c r="U677">
        <v>149</v>
      </c>
      <c r="V677">
        <v>101</v>
      </c>
      <c r="W677">
        <v>20</v>
      </c>
      <c r="X677">
        <v>5.05</v>
      </c>
      <c r="Y677">
        <v>2</v>
      </c>
      <c r="Z677">
        <v>2</v>
      </c>
      <c r="AA677">
        <v>0</v>
      </c>
      <c r="AB677">
        <v>0</v>
      </c>
      <c r="AC677">
        <v>4</v>
      </c>
      <c r="AD677">
        <v>4</v>
      </c>
      <c r="AE677">
        <v>11</v>
      </c>
      <c r="AF677">
        <v>2</v>
      </c>
      <c r="AG677">
        <v>2</v>
      </c>
      <c r="AH677">
        <v>1</v>
      </c>
      <c r="AI677">
        <v>1</v>
      </c>
      <c r="AJ677">
        <v>1</v>
      </c>
      <c r="AK677">
        <v>1</v>
      </c>
      <c r="AL677">
        <v>2</v>
      </c>
      <c r="AM677">
        <v>2</v>
      </c>
      <c r="AN677">
        <v>4</v>
      </c>
      <c r="AO677">
        <v>4</v>
      </c>
      <c r="AP677">
        <v>6</v>
      </c>
      <c r="AQ677">
        <v>13</v>
      </c>
      <c r="AR677">
        <v>1.342281879194631E-2</v>
      </c>
      <c r="AS677">
        <v>0</v>
      </c>
      <c r="AT677">
        <v>7.3825503355704702E-2</v>
      </c>
      <c r="AU677">
        <v>1.342281879194631E-2</v>
      </c>
      <c r="AV677">
        <v>6.7114093959731542E-3</v>
      </c>
      <c r="AW677">
        <v>1.342281879194631E-2</v>
      </c>
      <c r="AX677">
        <v>2.684563758389262E-2</v>
      </c>
      <c r="AY677">
        <v>8.7248322147651006E-2</v>
      </c>
      <c r="AZ677">
        <v>1.342281879194631E-2</v>
      </c>
      <c r="BA677">
        <v>0.5</v>
      </c>
      <c r="BB677">
        <v>0.67499999999999993</v>
      </c>
      <c r="BC677">
        <v>0.4</v>
      </c>
      <c r="BD677">
        <v>0.63338926174496635</v>
      </c>
      <c r="BE677">
        <v>4</v>
      </c>
      <c r="BF677">
        <v>0.55209731543624163</v>
      </c>
      <c r="BG677">
        <v>0.55000000000000004</v>
      </c>
      <c r="BH677" t="s">
        <v>71</v>
      </c>
      <c r="BI677">
        <v>0.55000000000000004</v>
      </c>
      <c r="BJ677" t="s">
        <v>71</v>
      </c>
      <c r="BK677" s="2">
        <f t="shared" si="21"/>
        <v>0</v>
      </c>
      <c r="BL677" t="b">
        <f t="shared" si="22"/>
        <v>1</v>
      </c>
    </row>
    <row r="678" spans="1:64" x14ac:dyDescent="0.35">
      <c r="A678" t="s">
        <v>1863</v>
      </c>
      <c r="B678" t="s">
        <v>1858</v>
      </c>
      <c r="C678">
        <v>2021</v>
      </c>
      <c r="D678" t="s">
        <v>1859</v>
      </c>
      <c r="E678" t="s">
        <v>1860</v>
      </c>
      <c r="F678" t="s">
        <v>66</v>
      </c>
      <c r="G678" t="s">
        <v>101</v>
      </c>
      <c r="H678" t="s">
        <v>170</v>
      </c>
      <c r="I678" t="s">
        <v>1861</v>
      </c>
      <c r="J678" t="s">
        <v>70</v>
      </c>
      <c r="L678">
        <v>3</v>
      </c>
      <c r="M678" t="b">
        <v>0</v>
      </c>
      <c r="N678">
        <v>3</v>
      </c>
      <c r="O678">
        <v>2</v>
      </c>
      <c r="P678">
        <v>5</v>
      </c>
      <c r="Q678">
        <v>3</v>
      </c>
      <c r="R678">
        <v>2</v>
      </c>
      <c r="S678">
        <v>4</v>
      </c>
      <c r="T678">
        <v>27</v>
      </c>
      <c r="U678">
        <v>472</v>
      </c>
      <c r="V678">
        <v>111</v>
      </c>
      <c r="W678">
        <v>23</v>
      </c>
      <c r="X678">
        <v>4.8260869565217392</v>
      </c>
      <c r="Y678">
        <v>2</v>
      </c>
      <c r="Z678">
        <v>151</v>
      </c>
      <c r="AA678">
        <v>0</v>
      </c>
      <c r="AB678">
        <v>0</v>
      </c>
      <c r="AC678">
        <v>3</v>
      </c>
      <c r="AD678">
        <v>3</v>
      </c>
      <c r="AE678">
        <v>226</v>
      </c>
      <c r="AF678">
        <v>2</v>
      </c>
      <c r="AG678">
        <v>2</v>
      </c>
      <c r="AH678">
        <v>2</v>
      </c>
      <c r="AI678">
        <v>12</v>
      </c>
      <c r="AJ678">
        <v>0</v>
      </c>
      <c r="AK678">
        <v>0</v>
      </c>
      <c r="AL678">
        <v>3</v>
      </c>
      <c r="AM678">
        <v>15</v>
      </c>
      <c r="AN678">
        <v>4</v>
      </c>
      <c r="AO678">
        <v>153</v>
      </c>
      <c r="AP678">
        <v>5</v>
      </c>
      <c r="AQ678">
        <v>377</v>
      </c>
      <c r="AR678">
        <v>0.31991525423728812</v>
      </c>
      <c r="AS678">
        <v>0</v>
      </c>
      <c r="AT678">
        <v>0.4788135593220339</v>
      </c>
      <c r="AU678">
        <v>4.2372881355932203E-3</v>
      </c>
      <c r="AV678">
        <v>2.542372881355932E-2</v>
      </c>
      <c r="AW678">
        <v>3.1779661016949151E-2</v>
      </c>
      <c r="AX678">
        <v>0.32415254237288138</v>
      </c>
      <c r="AY678">
        <v>0.79872881355932202</v>
      </c>
      <c r="AZ678">
        <v>0.2923728813559322</v>
      </c>
      <c r="BA678">
        <v>0.5</v>
      </c>
      <c r="BB678">
        <v>0.63768115942028991</v>
      </c>
      <c r="BC678">
        <v>0.33333333333333331</v>
      </c>
      <c r="BD678">
        <v>0.8077330508474575</v>
      </c>
      <c r="BE678">
        <v>4</v>
      </c>
      <c r="BF678">
        <v>0.56968688590027017</v>
      </c>
      <c r="BG678">
        <v>0.56999999999999995</v>
      </c>
      <c r="BH678" t="s">
        <v>71</v>
      </c>
      <c r="BI678">
        <v>0.56999999999999995</v>
      </c>
      <c r="BJ678" t="s">
        <v>71</v>
      </c>
      <c r="BK678" s="2">
        <f t="shared" si="21"/>
        <v>0</v>
      </c>
      <c r="BL678" t="b">
        <f t="shared" si="22"/>
        <v>1</v>
      </c>
    </row>
    <row r="679" spans="1:64" x14ac:dyDescent="0.35">
      <c r="A679" t="s">
        <v>1864</v>
      </c>
      <c r="B679" t="s">
        <v>1865</v>
      </c>
      <c r="C679">
        <v>2015</v>
      </c>
      <c r="D679" t="s">
        <v>1866</v>
      </c>
      <c r="E679" t="s">
        <v>1867</v>
      </c>
      <c r="F679" t="s">
        <v>66</v>
      </c>
      <c r="G679" t="s">
        <v>67</v>
      </c>
      <c r="H679" t="s">
        <v>68</v>
      </c>
      <c r="I679" t="s">
        <v>68</v>
      </c>
      <c r="J679" t="s">
        <v>70</v>
      </c>
      <c r="L679">
        <v>2</v>
      </c>
      <c r="M679" t="b">
        <v>0</v>
      </c>
      <c r="N679">
        <v>1</v>
      </c>
      <c r="O679">
        <v>1</v>
      </c>
      <c r="P679">
        <v>9</v>
      </c>
      <c r="Q679">
        <v>3</v>
      </c>
      <c r="R679">
        <v>6</v>
      </c>
      <c r="S679">
        <v>5</v>
      </c>
      <c r="T679">
        <v>33</v>
      </c>
      <c r="U679">
        <v>183</v>
      </c>
      <c r="V679">
        <v>150</v>
      </c>
      <c r="W679">
        <v>26</v>
      </c>
      <c r="X679">
        <v>5.7692307692307692</v>
      </c>
      <c r="Y679">
        <v>3</v>
      </c>
      <c r="Z679">
        <v>6</v>
      </c>
      <c r="AA679">
        <v>1</v>
      </c>
      <c r="AB679">
        <v>2</v>
      </c>
      <c r="AC679">
        <v>3</v>
      </c>
      <c r="AD679">
        <v>3</v>
      </c>
      <c r="AE679">
        <v>4</v>
      </c>
      <c r="AF679">
        <v>1</v>
      </c>
      <c r="AG679">
        <v>2</v>
      </c>
      <c r="AH679">
        <v>1</v>
      </c>
      <c r="AI679">
        <v>1</v>
      </c>
      <c r="AJ679">
        <v>2</v>
      </c>
      <c r="AK679">
        <v>7</v>
      </c>
      <c r="AL679">
        <v>3</v>
      </c>
      <c r="AM679">
        <v>8</v>
      </c>
      <c r="AN679">
        <v>5</v>
      </c>
      <c r="AO679">
        <v>10</v>
      </c>
      <c r="AP679">
        <v>7</v>
      </c>
      <c r="AQ679">
        <v>12</v>
      </c>
      <c r="AR679">
        <v>3.2786885245901641E-2</v>
      </c>
      <c r="AS679">
        <v>1.092896174863388E-2</v>
      </c>
      <c r="AT679">
        <v>2.185792349726776E-2</v>
      </c>
      <c r="AU679">
        <v>1.092896174863388E-2</v>
      </c>
      <c r="AV679">
        <v>5.4644808743169399E-3</v>
      </c>
      <c r="AW679">
        <v>4.3715846994535519E-2</v>
      </c>
      <c r="AX679">
        <v>5.4644808743169397E-2</v>
      </c>
      <c r="AY679">
        <v>6.5573770491803282E-2</v>
      </c>
      <c r="AZ679">
        <v>1.092896174863388E-2</v>
      </c>
      <c r="BA679">
        <v>0.66666666666666663</v>
      </c>
      <c r="BB679">
        <v>0.79487179487179482</v>
      </c>
      <c r="BC679">
        <v>0.46666666666666667</v>
      </c>
      <c r="BD679">
        <v>0.63183060109289613</v>
      </c>
      <c r="BE679">
        <v>4</v>
      </c>
      <c r="BF679">
        <v>0.64000893232450606</v>
      </c>
      <c r="BG679">
        <v>0.64</v>
      </c>
      <c r="BH679" t="s">
        <v>86</v>
      </c>
      <c r="BI679">
        <v>0.64</v>
      </c>
      <c r="BJ679" t="s">
        <v>86</v>
      </c>
      <c r="BK679" s="2">
        <f t="shared" si="21"/>
        <v>0</v>
      </c>
      <c r="BL679" t="b">
        <f t="shared" si="22"/>
        <v>1</v>
      </c>
    </row>
    <row r="680" spans="1:64" x14ac:dyDescent="0.35">
      <c r="A680" t="s">
        <v>1868</v>
      </c>
      <c r="B680" t="s">
        <v>1865</v>
      </c>
      <c r="C680">
        <v>2018</v>
      </c>
      <c r="D680" t="s">
        <v>1866</v>
      </c>
      <c r="E680" t="s">
        <v>1867</v>
      </c>
      <c r="F680" t="s">
        <v>66</v>
      </c>
      <c r="G680" t="s">
        <v>67</v>
      </c>
      <c r="H680" t="s">
        <v>68</v>
      </c>
      <c r="I680" t="s">
        <v>68</v>
      </c>
      <c r="J680" t="s">
        <v>70</v>
      </c>
      <c r="L680">
        <v>2</v>
      </c>
      <c r="M680" t="b">
        <v>0</v>
      </c>
      <c r="N680">
        <v>5</v>
      </c>
      <c r="O680">
        <v>1</v>
      </c>
      <c r="P680">
        <v>3</v>
      </c>
      <c r="Q680">
        <v>3</v>
      </c>
      <c r="R680">
        <v>0</v>
      </c>
      <c r="S680">
        <v>2</v>
      </c>
      <c r="T680">
        <v>18</v>
      </c>
      <c r="U680">
        <v>47</v>
      </c>
      <c r="V680">
        <v>79</v>
      </c>
      <c r="W680">
        <v>14</v>
      </c>
      <c r="X680">
        <v>5.6428571428571432</v>
      </c>
      <c r="Y680">
        <v>1</v>
      </c>
      <c r="Z680">
        <v>1</v>
      </c>
      <c r="AA680">
        <v>0</v>
      </c>
      <c r="AB680">
        <v>0</v>
      </c>
      <c r="AC680">
        <v>3</v>
      </c>
      <c r="AD680">
        <v>2</v>
      </c>
      <c r="AE680">
        <v>6</v>
      </c>
      <c r="AF680">
        <v>1</v>
      </c>
      <c r="AG680">
        <v>1</v>
      </c>
      <c r="AH680">
        <v>1</v>
      </c>
      <c r="AI680">
        <v>2</v>
      </c>
      <c r="AJ680">
        <v>1</v>
      </c>
      <c r="AK680">
        <v>1</v>
      </c>
      <c r="AL680">
        <v>2</v>
      </c>
      <c r="AM680">
        <v>3</v>
      </c>
      <c r="AN680">
        <v>2</v>
      </c>
      <c r="AO680">
        <v>2</v>
      </c>
      <c r="AP680">
        <v>3</v>
      </c>
      <c r="AQ680">
        <v>7</v>
      </c>
      <c r="AR680">
        <v>2.1276595744680851E-2</v>
      </c>
      <c r="AS680">
        <v>0</v>
      </c>
      <c r="AT680">
        <v>0.1276595744680851</v>
      </c>
      <c r="AU680">
        <v>2.1276595744680851E-2</v>
      </c>
      <c r="AV680">
        <v>4.2553191489361701E-2</v>
      </c>
      <c r="AW680">
        <v>6.3829787234042548E-2</v>
      </c>
      <c r="AX680">
        <v>4.2553191489361701E-2</v>
      </c>
      <c r="AY680">
        <v>0.14893617021276601</v>
      </c>
      <c r="AZ680">
        <v>-2.1276595744680851E-2</v>
      </c>
      <c r="BA680">
        <v>0.16666666666666671</v>
      </c>
      <c r="BB680">
        <v>0.77380952380952384</v>
      </c>
      <c r="BC680">
        <v>0.2</v>
      </c>
      <c r="BD680">
        <v>0.61170212765957444</v>
      </c>
      <c r="BE680">
        <v>4</v>
      </c>
      <c r="BF680">
        <v>0.43804457953394121</v>
      </c>
      <c r="BG680">
        <v>0.42</v>
      </c>
      <c r="BH680" t="s">
        <v>71</v>
      </c>
      <c r="BI680">
        <v>0.44</v>
      </c>
      <c r="BJ680" t="s">
        <v>71</v>
      </c>
      <c r="BK680" s="2">
        <f t="shared" si="21"/>
        <v>-2.0000000000000018E-2</v>
      </c>
      <c r="BL680" t="b">
        <f t="shared" si="22"/>
        <v>1</v>
      </c>
    </row>
    <row r="681" spans="1:64" x14ac:dyDescent="0.35">
      <c r="A681" t="s">
        <v>1869</v>
      </c>
      <c r="B681" t="s">
        <v>1865</v>
      </c>
      <c r="C681">
        <v>2021</v>
      </c>
      <c r="D681" t="s">
        <v>1866</v>
      </c>
      <c r="E681" t="s">
        <v>1867</v>
      </c>
      <c r="F681" t="s">
        <v>66</v>
      </c>
      <c r="G681" t="s">
        <v>67</v>
      </c>
      <c r="H681" t="s">
        <v>68</v>
      </c>
      <c r="I681" t="s">
        <v>68</v>
      </c>
      <c r="J681" t="s">
        <v>70</v>
      </c>
      <c r="L681">
        <v>2</v>
      </c>
      <c r="M681" t="b">
        <v>0</v>
      </c>
      <c r="N681">
        <v>2</v>
      </c>
      <c r="O681">
        <v>1</v>
      </c>
      <c r="P681">
        <v>4</v>
      </c>
      <c r="Q681">
        <v>1</v>
      </c>
      <c r="R681">
        <v>3</v>
      </c>
      <c r="S681">
        <v>4</v>
      </c>
      <c r="T681">
        <v>20</v>
      </c>
      <c r="U681">
        <v>84</v>
      </c>
      <c r="V681">
        <v>117</v>
      </c>
      <c r="W681">
        <v>20</v>
      </c>
      <c r="X681">
        <v>5.85</v>
      </c>
      <c r="Y681">
        <v>3</v>
      </c>
      <c r="Z681">
        <v>7</v>
      </c>
      <c r="AA681">
        <v>0</v>
      </c>
      <c r="AB681">
        <v>0</v>
      </c>
      <c r="AC681">
        <v>1</v>
      </c>
      <c r="AD681">
        <v>1</v>
      </c>
      <c r="AE681">
        <v>18</v>
      </c>
      <c r="AF681">
        <v>1</v>
      </c>
      <c r="AG681">
        <v>1</v>
      </c>
      <c r="AH681">
        <v>0</v>
      </c>
      <c r="AI681">
        <v>0</v>
      </c>
      <c r="AJ681">
        <v>1</v>
      </c>
      <c r="AK681">
        <v>1</v>
      </c>
      <c r="AL681">
        <v>1</v>
      </c>
      <c r="AM681">
        <v>1</v>
      </c>
      <c r="AN681">
        <v>4</v>
      </c>
      <c r="AO681">
        <v>8</v>
      </c>
      <c r="AP681">
        <v>4</v>
      </c>
      <c r="AQ681">
        <v>25</v>
      </c>
      <c r="AR681">
        <v>8.3333333333333329E-2</v>
      </c>
      <c r="AS681">
        <v>0</v>
      </c>
      <c r="AT681">
        <v>0.2142857142857143</v>
      </c>
      <c r="AU681">
        <v>1.1904761904761901E-2</v>
      </c>
      <c r="AV681">
        <v>0</v>
      </c>
      <c r="AW681">
        <v>1.1904761904761901E-2</v>
      </c>
      <c r="AX681">
        <v>9.5238095238095233E-2</v>
      </c>
      <c r="AY681">
        <v>0.29761904761904762</v>
      </c>
      <c r="AZ681">
        <v>8.3333333333333329E-2</v>
      </c>
      <c r="BA681">
        <v>0.5</v>
      </c>
      <c r="BB681">
        <v>0.80833333333333324</v>
      </c>
      <c r="BC681">
        <v>0.26666666666666672</v>
      </c>
      <c r="BD681">
        <v>0.67708333333333326</v>
      </c>
      <c r="BE681">
        <v>4</v>
      </c>
      <c r="BF681">
        <v>0.5630208333333333</v>
      </c>
      <c r="BG681">
        <v>0.56000000000000005</v>
      </c>
      <c r="BH681" t="s">
        <v>71</v>
      </c>
      <c r="BI681">
        <v>0.56000000000000005</v>
      </c>
      <c r="BJ681" t="s">
        <v>71</v>
      </c>
      <c r="BK681" s="2">
        <f t="shared" si="21"/>
        <v>0</v>
      </c>
      <c r="BL681" t="b">
        <f t="shared" si="22"/>
        <v>1</v>
      </c>
    </row>
    <row r="682" spans="1:64" x14ac:dyDescent="0.35">
      <c r="A682" t="s">
        <v>1870</v>
      </c>
      <c r="B682" t="s">
        <v>1871</v>
      </c>
      <c r="C682">
        <v>2015</v>
      </c>
      <c r="D682" t="s">
        <v>1872</v>
      </c>
      <c r="E682" t="s">
        <v>1873</v>
      </c>
      <c r="F682" t="s">
        <v>66</v>
      </c>
      <c r="G682" t="s">
        <v>101</v>
      </c>
      <c r="H682" t="s">
        <v>170</v>
      </c>
      <c r="I682" t="s">
        <v>1874</v>
      </c>
      <c r="J682" t="s">
        <v>70</v>
      </c>
      <c r="L682">
        <v>2</v>
      </c>
      <c r="M682" t="b">
        <v>0</v>
      </c>
      <c r="N682">
        <v>1</v>
      </c>
      <c r="O682">
        <v>2</v>
      </c>
      <c r="P682">
        <v>11</v>
      </c>
      <c r="Q682">
        <v>3</v>
      </c>
      <c r="R682">
        <v>8</v>
      </c>
      <c r="S682">
        <v>6</v>
      </c>
      <c r="T682">
        <v>34</v>
      </c>
      <c r="U682">
        <v>113</v>
      </c>
      <c r="V682">
        <v>168</v>
      </c>
      <c r="W682">
        <v>28</v>
      </c>
      <c r="X682">
        <v>6</v>
      </c>
      <c r="Y682">
        <v>6</v>
      </c>
      <c r="Z682">
        <v>29</v>
      </c>
      <c r="AA682">
        <v>0</v>
      </c>
      <c r="AB682">
        <v>0</v>
      </c>
      <c r="AC682">
        <v>1</v>
      </c>
      <c r="AD682">
        <v>1</v>
      </c>
      <c r="AE682">
        <v>1</v>
      </c>
      <c r="AF682">
        <v>2</v>
      </c>
      <c r="AG682">
        <v>2</v>
      </c>
      <c r="AH682">
        <v>2</v>
      </c>
      <c r="AI682">
        <v>37</v>
      </c>
      <c r="AJ682">
        <v>3</v>
      </c>
      <c r="AK682">
        <v>6</v>
      </c>
      <c r="AL682">
        <v>5</v>
      </c>
      <c r="AM682">
        <v>43</v>
      </c>
      <c r="AN682">
        <v>8</v>
      </c>
      <c r="AO682">
        <v>31</v>
      </c>
      <c r="AP682">
        <v>7</v>
      </c>
      <c r="AQ682">
        <v>30</v>
      </c>
      <c r="AR682">
        <v>0.25663716814159288</v>
      </c>
      <c r="AS682">
        <v>0</v>
      </c>
      <c r="AT682">
        <v>8.8495575221238937E-3</v>
      </c>
      <c r="AU682">
        <v>1.7699115044247791E-2</v>
      </c>
      <c r="AV682">
        <v>0.32743362831858408</v>
      </c>
      <c r="AW682">
        <v>0.38053097345132741</v>
      </c>
      <c r="AX682">
        <v>0.27433628318584069</v>
      </c>
      <c r="AY682">
        <v>0.26548672566371678</v>
      </c>
      <c r="AZ682">
        <v>-0.1061946902654867</v>
      </c>
      <c r="BA682">
        <v>0.83333333333333337</v>
      </c>
      <c r="BB682">
        <v>0.83333333333333337</v>
      </c>
      <c r="BC682">
        <v>0.46666666666666667</v>
      </c>
      <c r="BD682">
        <v>0.5586283185840708</v>
      </c>
      <c r="BE682">
        <v>4</v>
      </c>
      <c r="BF682">
        <v>0.67299041297935103</v>
      </c>
      <c r="BG682">
        <v>0.6</v>
      </c>
      <c r="BH682" t="s">
        <v>86</v>
      </c>
      <c r="BI682">
        <v>0.67</v>
      </c>
      <c r="BJ682" t="s">
        <v>86</v>
      </c>
      <c r="BK682" s="2">
        <f t="shared" si="21"/>
        <v>-7.0000000000000062E-2</v>
      </c>
      <c r="BL682" t="b">
        <f t="shared" si="22"/>
        <v>1</v>
      </c>
    </row>
    <row r="683" spans="1:64" x14ac:dyDescent="0.35">
      <c r="A683" t="s">
        <v>1875</v>
      </c>
      <c r="B683" t="s">
        <v>1871</v>
      </c>
      <c r="C683">
        <v>2018</v>
      </c>
      <c r="D683" t="s">
        <v>1872</v>
      </c>
      <c r="E683" t="s">
        <v>1873</v>
      </c>
      <c r="F683" t="s">
        <v>66</v>
      </c>
      <c r="G683" t="s">
        <v>101</v>
      </c>
      <c r="H683" t="s">
        <v>170</v>
      </c>
      <c r="I683" t="s">
        <v>1874</v>
      </c>
      <c r="J683" t="s">
        <v>70</v>
      </c>
      <c r="L683">
        <v>2</v>
      </c>
      <c r="M683" t="b">
        <v>0</v>
      </c>
      <c r="N683">
        <v>4</v>
      </c>
      <c r="O683">
        <v>1</v>
      </c>
      <c r="P683">
        <v>2</v>
      </c>
      <c r="Q683">
        <v>2</v>
      </c>
      <c r="R683">
        <v>0</v>
      </c>
      <c r="S683">
        <v>3</v>
      </c>
      <c r="T683">
        <v>6</v>
      </c>
      <c r="U683">
        <v>6</v>
      </c>
      <c r="V683">
        <v>21</v>
      </c>
      <c r="W683">
        <v>5</v>
      </c>
      <c r="X683">
        <v>4.2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2</v>
      </c>
      <c r="AI683">
        <v>2</v>
      </c>
      <c r="AJ683">
        <v>1</v>
      </c>
      <c r="AK683">
        <v>1</v>
      </c>
      <c r="AL683">
        <v>3</v>
      </c>
      <c r="AM683">
        <v>3</v>
      </c>
      <c r="AN683">
        <v>2</v>
      </c>
      <c r="AO683">
        <v>2</v>
      </c>
      <c r="AP683">
        <v>1</v>
      </c>
      <c r="AQ683">
        <v>1</v>
      </c>
      <c r="AR683">
        <v>0.16666666666666671</v>
      </c>
      <c r="AS683">
        <v>0</v>
      </c>
      <c r="AT683">
        <v>0</v>
      </c>
      <c r="AU683">
        <v>0.16666666666666671</v>
      </c>
      <c r="AV683">
        <v>0.33333333333333331</v>
      </c>
      <c r="AW683">
        <v>0.5</v>
      </c>
      <c r="AX683">
        <v>0.33333333333333331</v>
      </c>
      <c r="AY683">
        <v>0.16666666666666671</v>
      </c>
      <c r="AZ683">
        <v>-0.16666666666666671</v>
      </c>
      <c r="BA683">
        <v>0.33333333333333331</v>
      </c>
      <c r="BB683">
        <v>0.53333333333333333</v>
      </c>
      <c r="BC683">
        <v>6.6666666666666666E-2</v>
      </c>
      <c r="BD683">
        <v>0.52083333333333326</v>
      </c>
      <c r="BE683">
        <v>4</v>
      </c>
      <c r="BF683">
        <v>0.36354166666666671</v>
      </c>
      <c r="BG683">
        <v>0.39</v>
      </c>
      <c r="BH683" t="s">
        <v>104</v>
      </c>
      <c r="BI683">
        <v>0.36</v>
      </c>
      <c r="BJ683" t="s">
        <v>104</v>
      </c>
      <c r="BK683" s="2">
        <f t="shared" si="21"/>
        <v>3.0000000000000027E-2</v>
      </c>
      <c r="BL683" t="b">
        <f t="shared" si="22"/>
        <v>1</v>
      </c>
    </row>
    <row r="684" spans="1:64" x14ac:dyDescent="0.35">
      <c r="A684" t="s">
        <v>1876</v>
      </c>
      <c r="B684" t="s">
        <v>1871</v>
      </c>
      <c r="C684">
        <v>2021</v>
      </c>
      <c r="D684" t="s">
        <v>1872</v>
      </c>
      <c r="E684" t="s">
        <v>1873</v>
      </c>
      <c r="F684" t="s">
        <v>66</v>
      </c>
      <c r="G684" t="s">
        <v>101</v>
      </c>
      <c r="H684" t="s">
        <v>170</v>
      </c>
      <c r="I684" t="s">
        <v>1874</v>
      </c>
      <c r="J684" t="s">
        <v>70</v>
      </c>
      <c r="L684">
        <v>2</v>
      </c>
      <c r="M684" t="b">
        <v>0</v>
      </c>
      <c r="N684">
        <v>3</v>
      </c>
      <c r="O684">
        <v>2</v>
      </c>
      <c r="P684">
        <v>2</v>
      </c>
      <c r="Q684">
        <v>3</v>
      </c>
      <c r="R684">
        <v>-1</v>
      </c>
      <c r="S684">
        <v>4</v>
      </c>
      <c r="T684">
        <v>24</v>
      </c>
      <c r="U684">
        <v>166</v>
      </c>
      <c r="V684">
        <v>87</v>
      </c>
      <c r="W684">
        <v>20</v>
      </c>
      <c r="X684">
        <v>4.3499999999999996</v>
      </c>
      <c r="Y684">
        <v>2</v>
      </c>
      <c r="Z684">
        <v>14</v>
      </c>
      <c r="AA684">
        <v>0</v>
      </c>
      <c r="AB684">
        <v>0</v>
      </c>
      <c r="AC684">
        <v>2</v>
      </c>
      <c r="AD684">
        <v>2</v>
      </c>
      <c r="AE684">
        <v>3</v>
      </c>
      <c r="AF684">
        <v>2</v>
      </c>
      <c r="AG684">
        <v>2</v>
      </c>
      <c r="AH684">
        <v>1</v>
      </c>
      <c r="AI684">
        <v>18</v>
      </c>
      <c r="AJ684">
        <v>2</v>
      </c>
      <c r="AK684">
        <v>8</v>
      </c>
      <c r="AL684">
        <v>4</v>
      </c>
      <c r="AM684">
        <v>27</v>
      </c>
      <c r="AN684">
        <v>4</v>
      </c>
      <c r="AO684">
        <v>16</v>
      </c>
      <c r="AP684">
        <v>4</v>
      </c>
      <c r="AQ684">
        <v>17</v>
      </c>
      <c r="AR684">
        <v>8.4337349397590355E-2</v>
      </c>
      <c r="AS684">
        <v>0</v>
      </c>
      <c r="AT684">
        <v>1.8072289156626509E-2</v>
      </c>
      <c r="AU684">
        <v>1.204819277108434E-2</v>
      </c>
      <c r="AV684">
        <v>0.108433734939759</v>
      </c>
      <c r="AW684">
        <v>0.16265060240963861</v>
      </c>
      <c r="AX684">
        <v>9.6385542168674704E-2</v>
      </c>
      <c r="AY684">
        <v>0.10240963855421691</v>
      </c>
      <c r="AZ684">
        <v>-6.6265060240963847E-2</v>
      </c>
      <c r="BA684">
        <v>0.5</v>
      </c>
      <c r="BB684">
        <v>0.55833333333333324</v>
      </c>
      <c r="BC684">
        <v>0.26666666666666672</v>
      </c>
      <c r="BD684">
        <v>0.58358433734939763</v>
      </c>
      <c r="BE684">
        <v>4</v>
      </c>
      <c r="BF684">
        <v>0.4771460843373494</v>
      </c>
      <c r="BG684">
        <v>0.5</v>
      </c>
      <c r="BH684" t="s">
        <v>71</v>
      </c>
      <c r="BI684">
        <v>0.48</v>
      </c>
      <c r="BJ684" t="s">
        <v>71</v>
      </c>
      <c r="BK684" s="2">
        <f t="shared" si="21"/>
        <v>2.0000000000000018E-2</v>
      </c>
      <c r="BL684" t="b">
        <f t="shared" si="22"/>
        <v>1</v>
      </c>
    </row>
    <row r="685" spans="1:64" x14ac:dyDescent="0.35">
      <c r="A685" t="s">
        <v>1877</v>
      </c>
      <c r="B685" t="s">
        <v>1878</v>
      </c>
      <c r="C685">
        <v>2015</v>
      </c>
      <c r="D685" t="s">
        <v>1879</v>
      </c>
      <c r="E685" t="s">
        <v>1880</v>
      </c>
      <c r="F685" t="s">
        <v>66</v>
      </c>
      <c r="G685" t="s">
        <v>67</v>
      </c>
      <c r="H685" t="s">
        <v>84</v>
      </c>
      <c r="I685" t="s">
        <v>795</v>
      </c>
      <c r="J685" t="s">
        <v>70</v>
      </c>
      <c r="L685">
        <v>2</v>
      </c>
      <c r="M685" t="b">
        <v>0</v>
      </c>
      <c r="N685">
        <v>1</v>
      </c>
      <c r="O685">
        <v>2</v>
      </c>
      <c r="P685">
        <v>12</v>
      </c>
      <c r="Q685">
        <v>2</v>
      </c>
      <c r="R685">
        <v>10</v>
      </c>
      <c r="S685">
        <v>7</v>
      </c>
      <c r="T685">
        <v>32</v>
      </c>
      <c r="U685">
        <v>198</v>
      </c>
      <c r="V685">
        <v>152</v>
      </c>
      <c r="W685">
        <v>22</v>
      </c>
      <c r="X685">
        <v>6.9090909090909092</v>
      </c>
      <c r="Y685">
        <v>6</v>
      </c>
      <c r="Z685">
        <v>53</v>
      </c>
      <c r="AA685">
        <v>1</v>
      </c>
      <c r="AB685">
        <v>12</v>
      </c>
      <c r="AC685">
        <v>2</v>
      </c>
      <c r="AD685">
        <v>2</v>
      </c>
      <c r="AE685">
        <v>27</v>
      </c>
      <c r="AF685">
        <v>1</v>
      </c>
      <c r="AG685">
        <v>8</v>
      </c>
      <c r="AH685">
        <v>1</v>
      </c>
      <c r="AI685">
        <v>5</v>
      </c>
      <c r="AJ685">
        <v>1</v>
      </c>
      <c r="AK685">
        <v>2</v>
      </c>
      <c r="AL685">
        <v>2</v>
      </c>
      <c r="AM685">
        <v>7</v>
      </c>
      <c r="AN685">
        <v>8</v>
      </c>
      <c r="AO685">
        <v>73</v>
      </c>
      <c r="AP685">
        <v>9</v>
      </c>
      <c r="AQ685">
        <v>92</v>
      </c>
      <c r="AR685">
        <v>0.26767676767676768</v>
      </c>
      <c r="AS685">
        <v>6.0606060606060608E-2</v>
      </c>
      <c r="AT685">
        <v>0.13636363636363641</v>
      </c>
      <c r="AU685">
        <v>4.0404040404040407E-2</v>
      </c>
      <c r="AV685">
        <v>2.5252525252525249E-2</v>
      </c>
      <c r="AW685">
        <v>3.5353535353535352E-2</v>
      </c>
      <c r="AX685">
        <v>0.36868686868686867</v>
      </c>
      <c r="AY685">
        <v>0.46464646464646459</v>
      </c>
      <c r="AZ685">
        <v>0.33333333333333331</v>
      </c>
      <c r="BA685">
        <v>1</v>
      </c>
      <c r="BB685">
        <v>0.98484848484848486</v>
      </c>
      <c r="BC685">
        <v>0.6</v>
      </c>
      <c r="BD685">
        <v>0.83333333333333326</v>
      </c>
      <c r="BE685">
        <v>4</v>
      </c>
      <c r="BF685">
        <v>0.8545454545454545</v>
      </c>
      <c r="BG685">
        <v>0.88</v>
      </c>
      <c r="BH685" t="s">
        <v>164</v>
      </c>
      <c r="BI685">
        <v>0.85</v>
      </c>
      <c r="BJ685" t="s">
        <v>164</v>
      </c>
      <c r="BK685" s="2">
        <f t="shared" si="21"/>
        <v>3.0000000000000027E-2</v>
      </c>
      <c r="BL685" t="b">
        <f t="shared" si="22"/>
        <v>1</v>
      </c>
    </row>
    <row r="686" spans="1:64" x14ac:dyDescent="0.35">
      <c r="A686" t="s">
        <v>1881</v>
      </c>
      <c r="B686" t="s">
        <v>1878</v>
      </c>
      <c r="C686">
        <v>2016</v>
      </c>
      <c r="D686" t="s">
        <v>1879</v>
      </c>
      <c r="E686" t="s">
        <v>1880</v>
      </c>
      <c r="F686" t="s">
        <v>66</v>
      </c>
      <c r="G686" t="s">
        <v>67</v>
      </c>
      <c r="H686" t="s">
        <v>84</v>
      </c>
      <c r="I686" t="s">
        <v>795</v>
      </c>
      <c r="J686" t="s">
        <v>70</v>
      </c>
      <c r="L686">
        <v>2</v>
      </c>
      <c r="M686" t="b">
        <v>0</v>
      </c>
      <c r="N686">
        <v>1</v>
      </c>
      <c r="O686">
        <v>2</v>
      </c>
      <c r="P686">
        <v>11</v>
      </c>
      <c r="Q686">
        <v>4</v>
      </c>
      <c r="R686">
        <v>7</v>
      </c>
      <c r="S686">
        <v>6</v>
      </c>
      <c r="T686">
        <v>36</v>
      </c>
      <c r="U686">
        <v>172</v>
      </c>
      <c r="V686">
        <v>153</v>
      </c>
      <c r="W686">
        <v>26</v>
      </c>
      <c r="X686">
        <v>5.884615384615385</v>
      </c>
      <c r="Y686">
        <v>7</v>
      </c>
      <c r="Z686">
        <v>21</v>
      </c>
      <c r="AA686">
        <v>1</v>
      </c>
      <c r="AB686">
        <v>4</v>
      </c>
      <c r="AC686">
        <v>3</v>
      </c>
      <c r="AD686">
        <v>3</v>
      </c>
      <c r="AE686">
        <v>27</v>
      </c>
      <c r="AF686">
        <v>0</v>
      </c>
      <c r="AG686">
        <v>0</v>
      </c>
      <c r="AH686">
        <v>1</v>
      </c>
      <c r="AI686">
        <v>52</v>
      </c>
      <c r="AJ686">
        <v>1</v>
      </c>
      <c r="AK686">
        <v>4</v>
      </c>
      <c r="AL686">
        <v>2</v>
      </c>
      <c r="AM686">
        <v>56</v>
      </c>
      <c r="AN686">
        <v>8</v>
      </c>
      <c r="AO686">
        <v>25</v>
      </c>
      <c r="AP686">
        <v>11</v>
      </c>
      <c r="AQ686">
        <v>52</v>
      </c>
      <c r="AR686">
        <v>0.12209302325581391</v>
      </c>
      <c r="AS686">
        <v>2.3255813953488368E-2</v>
      </c>
      <c r="AT686">
        <v>0.15697674418604651</v>
      </c>
      <c r="AU686">
        <v>0</v>
      </c>
      <c r="AV686">
        <v>0.30232558139534882</v>
      </c>
      <c r="AW686">
        <v>0.32558139534883718</v>
      </c>
      <c r="AX686">
        <v>0.14534883720930231</v>
      </c>
      <c r="AY686">
        <v>0.30232558139534882</v>
      </c>
      <c r="AZ686">
        <v>-0.1802325581395349</v>
      </c>
      <c r="BA686">
        <v>0.83333333333333337</v>
      </c>
      <c r="BB686">
        <v>0.81410256410256421</v>
      </c>
      <c r="BC686">
        <v>0.73333333333333328</v>
      </c>
      <c r="BD686">
        <v>0.51235465116279066</v>
      </c>
      <c r="BE686">
        <v>4</v>
      </c>
      <c r="BF686">
        <v>0.72328097048300544</v>
      </c>
      <c r="BG686">
        <v>0.77</v>
      </c>
      <c r="BH686" t="s">
        <v>86</v>
      </c>
      <c r="BI686">
        <v>0.72</v>
      </c>
      <c r="BJ686" t="s">
        <v>86</v>
      </c>
      <c r="BK686" s="2">
        <f t="shared" si="21"/>
        <v>5.0000000000000044E-2</v>
      </c>
      <c r="BL686" t="b">
        <f t="shared" si="22"/>
        <v>1</v>
      </c>
    </row>
    <row r="687" spans="1:64" x14ac:dyDescent="0.35">
      <c r="A687" t="s">
        <v>1882</v>
      </c>
      <c r="B687" t="s">
        <v>1878</v>
      </c>
      <c r="C687">
        <v>2017</v>
      </c>
      <c r="D687" t="s">
        <v>1879</v>
      </c>
      <c r="E687" t="s">
        <v>1880</v>
      </c>
      <c r="F687" t="s">
        <v>66</v>
      </c>
      <c r="G687" t="s">
        <v>67</v>
      </c>
      <c r="H687" t="s">
        <v>84</v>
      </c>
      <c r="I687" t="s">
        <v>795</v>
      </c>
      <c r="J687" t="s">
        <v>70</v>
      </c>
      <c r="L687">
        <v>2</v>
      </c>
      <c r="M687" t="b">
        <v>0</v>
      </c>
      <c r="N687">
        <v>2</v>
      </c>
      <c r="O687">
        <v>1</v>
      </c>
      <c r="P687">
        <v>3</v>
      </c>
      <c r="Q687">
        <v>2</v>
      </c>
      <c r="R687">
        <v>1</v>
      </c>
      <c r="S687">
        <v>4</v>
      </c>
      <c r="T687">
        <v>12</v>
      </c>
      <c r="U687">
        <v>71</v>
      </c>
      <c r="V687">
        <v>43</v>
      </c>
      <c r="W687">
        <v>9</v>
      </c>
      <c r="X687">
        <v>4.7777777777777777</v>
      </c>
      <c r="Y687">
        <v>2</v>
      </c>
      <c r="Z687">
        <v>2</v>
      </c>
      <c r="AA687">
        <v>0</v>
      </c>
      <c r="AB687">
        <v>0</v>
      </c>
      <c r="AC687">
        <v>2</v>
      </c>
      <c r="AD687">
        <v>2</v>
      </c>
      <c r="AE687">
        <v>12</v>
      </c>
      <c r="AF687">
        <v>0</v>
      </c>
      <c r="AG687">
        <v>0</v>
      </c>
      <c r="AH687">
        <v>1</v>
      </c>
      <c r="AI687">
        <v>1</v>
      </c>
      <c r="AJ687">
        <v>0</v>
      </c>
      <c r="AK687">
        <v>0</v>
      </c>
      <c r="AL687">
        <v>1</v>
      </c>
      <c r="AM687">
        <v>1</v>
      </c>
      <c r="AN687">
        <v>2</v>
      </c>
      <c r="AO687">
        <v>2</v>
      </c>
      <c r="AP687">
        <v>4</v>
      </c>
      <c r="AQ687">
        <v>14</v>
      </c>
      <c r="AR687">
        <v>2.8169014084507039E-2</v>
      </c>
      <c r="AS687">
        <v>0</v>
      </c>
      <c r="AT687">
        <v>0.16901408450704231</v>
      </c>
      <c r="AU687">
        <v>0</v>
      </c>
      <c r="AV687">
        <v>1.408450704225352E-2</v>
      </c>
      <c r="AW687">
        <v>1.408450704225352E-2</v>
      </c>
      <c r="AX687">
        <v>2.8169014084507039E-2</v>
      </c>
      <c r="AY687">
        <v>0.19718309859154931</v>
      </c>
      <c r="AZ687">
        <v>1.408450704225352E-2</v>
      </c>
      <c r="BA687">
        <v>0.5</v>
      </c>
      <c r="BB687">
        <v>0.62962962962962965</v>
      </c>
      <c r="BC687">
        <v>0.26666666666666672</v>
      </c>
      <c r="BD687">
        <v>0.63380281690140838</v>
      </c>
      <c r="BE687">
        <v>4</v>
      </c>
      <c r="BF687">
        <v>0.50752477829942622</v>
      </c>
      <c r="BG687">
        <v>0.51</v>
      </c>
      <c r="BH687" t="s">
        <v>71</v>
      </c>
      <c r="BI687">
        <v>0.51</v>
      </c>
      <c r="BJ687" t="s">
        <v>71</v>
      </c>
      <c r="BK687" s="2">
        <f t="shared" si="21"/>
        <v>0</v>
      </c>
      <c r="BL687" t="b">
        <f t="shared" si="22"/>
        <v>1</v>
      </c>
    </row>
    <row r="688" spans="1:64" x14ac:dyDescent="0.35">
      <c r="A688" t="s">
        <v>1883</v>
      </c>
      <c r="B688" t="s">
        <v>1878</v>
      </c>
      <c r="C688">
        <v>2020</v>
      </c>
      <c r="D688" t="s">
        <v>1879</v>
      </c>
      <c r="E688" t="s">
        <v>1880</v>
      </c>
      <c r="F688" t="s">
        <v>66</v>
      </c>
      <c r="G688" t="s">
        <v>67</v>
      </c>
      <c r="H688" t="s">
        <v>84</v>
      </c>
      <c r="I688" t="s">
        <v>795</v>
      </c>
      <c r="J688" t="s">
        <v>70</v>
      </c>
      <c r="L688">
        <v>2</v>
      </c>
      <c r="M688" t="b">
        <v>0</v>
      </c>
      <c r="N688">
        <v>1</v>
      </c>
      <c r="O688">
        <v>1</v>
      </c>
      <c r="P688">
        <v>7</v>
      </c>
      <c r="Q688">
        <v>3</v>
      </c>
      <c r="R688">
        <v>4</v>
      </c>
      <c r="S688">
        <v>5</v>
      </c>
      <c r="T688">
        <v>23</v>
      </c>
      <c r="U688">
        <v>245</v>
      </c>
      <c r="V688">
        <v>105</v>
      </c>
      <c r="W688">
        <v>20</v>
      </c>
      <c r="X688">
        <v>5.25</v>
      </c>
      <c r="Y688">
        <v>5</v>
      </c>
      <c r="Z688">
        <v>73</v>
      </c>
      <c r="AA688">
        <v>0</v>
      </c>
      <c r="AB688">
        <v>0</v>
      </c>
      <c r="AC688">
        <v>4</v>
      </c>
      <c r="AD688">
        <v>4</v>
      </c>
      <c r="AE688">
        <v>33</v>
      </c>
      <c r="AF688">
        <v>0</v>
      </c>
      <c r="AG688">
        <v>0</v>
      </c>
      <c r="AH688">
        <v>2</v>
      </c>
      <c r="AI688">
        <v>2</v>
      </c>
      <c r="AJ688">
        <v>0</v>
      </c>
      <c r="AK688">
        <v>0</v>
      </c>
      <c r="AL688">
        <v>2</v>
      </c>
      <c r="AM688">
        <v>2</v>
      </c>
      <c r="AN688">
        <v>5</v>
      </c>
      <c r="AO688">
        <v>73</v>
      </c>
      <c r="AP688">
        <v>9</v>
      </c>
      <c r="AQ688">
        <v>106</v>
      </c>
      <c r="AR688">
        <v>0.29795918367346941</v>
      </c>
      <c r="AS688">
        <v>0</v>
      </c>
      <c r="AT688">
        <v>0.13469387755102041</v>
      </c>
      <c r="AU688">
        <v>0</v>
      </c>
      <c r="AV688">
        <v>8.1632653061224497E-3</v>
      </c>
      <c r="AW688">
        <v>8.1632653061224497E-3</v>
      </c>
      <c r="AX688">
        <v>0.29795918367346941</v>
      </c>
      <c r="AY688">
        <v>0.43265306122448982</v>
      </c>
      <c r="AZ688">
        <v>0.28979591836734703</v>
      </c>
      <c r="BA688">
        <v>0.66666666666666663</v>
      </c>
      <c r="BB688">
        <v>0.70833333333333337</v>
      </c>
      <c r="BC688">
        <v>0.6</v>
      </c>
      <c r="BD688">
        <v>0.80612244897959184</v>
      </c>
      <c r="BE688">
        <v>4</v>
      </c>
      <c r="BF688">
        <v>0.69528061224489801</v>
      </c>
      <c r="BG688">
        <v>0.7</v>
      </c>
      <c r="BH688" t="s">
        <v>86</v>
      </c>
      <c r="BI688">
        <v>0.7</v>
      </c>
      <c r="BJ688" t="s">
        <v>86</v>
      </c>
      <c r="BK688" s="2">
        <f t="shared" si="21"/>
        <v>0</v>
      </c>
      <c r="BL688" t="b">
        <f t="shared" si="22"/>
        <v>1</v>
      </c>
    </row>
    <row r="689" spans="1:64" x14ac:dyDescent="0.35">
      <c r="A689" t="s">
        <v>1884</v>
      </c>
      <c r="B689" t="s">
        <v>1885</v>
      </c>
      <c r="C689">
        <v>2016</v>
      </c>
      <c r="D689" t="s">
        <v>1886</v>
      </c>
      <c r="E689" t="s">
        <v>1887</v>
      </c>
      <c r="F689" t="s">
        <v>66</v>
      </c>
      <c r="G689" t="s">
        <v>67</v>
      </c>
      <c r="H689" t="s">
        <v>84</v>
      </c>
      <c r="I689" t="s">
        <v>941</v>
      </c>
      <c r="J689" t="s">
        <v>70</v>
      </c>
      <c r="L689">
        <v>1</v>
      </c>
      <c r="M689" t="b">
        <v>0</v>
      </c>
      <c r="N689">
        <v>1</v>
      </c>
      <c r="O689">
        <v>2</v>
      </c>
      <c r="P689">
        <v>9</v>
      </c>
      <c r="Q689">
        <v>4</v>
      </c>
      <c r="R689">
        <v>5</v>
      </c>
      <c r="S689">
        <v>6</v>
      </c>
      <c r="T689">
        <v>30</v>
      </c>
      <c r="U689">
        <v>321</v>
      </c>
      <c r="V689">
        <v>148</v>
      </c>
      <c r="W689">
        <v>26</v>
      </c>
      <c r="X689">
        <v>5.6923076923076934</v>
      </c>
      <c r="Y689">
        <v>7</v>
      </c>
      <c r="Z689">
        <v>53</v>
      </c>
      <c r="AA689">
        <v>0</v>
      </c>
      <c r="AB689">
        <v>0</v>
      </c>
      <c r="AC689">
        <v>2</v>
      </c>
      <c r="AD689">
        <v>2</v>
      </c>
      <c r="AE689">
        <v>47</v>
      </c>
      <c r="AF689">
        <v>0</v>
      </c>
      <c r="AG689">
        <v>0</v>
      </c>
      <c r="AH689">
        <v>2</v>
      </c>
      <c r="AI689">
        <v>15</v>
      </c>
      <c r="AJ689">
        <v>2</v>
      </c>
      <c r="AK689">
        <v>12</v>
      </c>
      <c r="AL689">
        <v>4</v>
      </c>
      <c r="AM689">
        <v>27</v>
      </c>
      <c r="AN689">
        <v>7</v>
      </c>
      <c r="AO689">
        <v>53</v>
      </c>
      <c r="AP689">
        <v>9</v>
      </c>
      <c r="AQ689">
        <v>100</v>
      </c>
      <c r="AR689">
        <v>0.16510903426791279</v>
      </c>
      <c r="AS689">
        <v>0</v>
      </c>
      <c r="AT689">
        <v>0.146417445482866</v>
      </c>
      <c r="AU689">
        <v>0</v>
      </c>
      <c r="AV689">
        <v>4.6728971962616821E-2</v>
      </c>
      <c r="AW689">
        <v>8.4112149532710276E-2</v>
      </c>
      <c r="AX689">
        <v>0.16510903426791279</v>
      </c>
      <c r="AY689">
        <v>0.3115264797507788</v>
      </c>
      <c r="AZ689">
        <v>8.0996884735202487E-2</v>
      </c>
      <c r="BA689">
        <v>0.83333333333333337</v>
      </c>
      <c r="BB689">
        <v>0.78205128205128227</v>
      </c>
      <c r="BC689">
        <v>0.6</v>
      </c>
      <c r="BD689">
        <v>0.67562305295950154</v>
      </c>
      <c r="BE689">
        <v>4</v>
      </c>
      <c r="BF689">
        <v>0.72275191708602926</v>
      </c>
      <c r="BG689">
        <v>0.69</v>
      </c>
      <c r="BH689" t="s">
        <v>86</v>
      </c>
      <c r="BI689">
        <v>0.72</v>
      </c>
      <c r="BJ689" t="s">
        <v>86</v>
      </c>
      <c r="BK689" s="2">
        <f t="shared" si="21"/>
        <v>-3.0000000000000027E-2</v>
      </c>
      <c r="BL689" t="b">
        <f t="shared" si="22"/>
        <v>1</v>
      </c>
    </row>
    <row r="690" spans="1:64" x14ac:dyDescent="0.35">
      <c r="A690" t="s">
        <v>1888</v>
      </c>
      <c r="B690" t="s">
        <v>1885</v>
      </c>
      <c r="C690">
        <v>2019</v>
      </c>
      <c r="D690" t="s">
        <v>1886</v>
      </c>
      <c r="E690" t="s">
        <v>1887</v>
      </c>
      <c r="F690" t="s">
        <v>66</v>
      </c>
      <c r="G690" t="s">
        <v>67</v>
      </c>
      <c r="H690" t="s">
        <v>84</v>
      </c>
      <c r="I690" t="s">
        <v>941</v>
      </c>
      <c r="J690" t="s">
        <v>70</v>
      </c>
      <c r="L690">
        <v>1</v>
      </c>
      <c r="M690" t="b">
        <v>0</v>
      </c>
      <c r="N690">
        <v>1</v>
      </c>
      <c r="O690">
        <v>1</v>
      </c>
      <c r="P690">
        <v>6</v>
      </c>
      <c r="Q690">
        <v>3</v>
      </c>
      <c r="R690">
        <v>3</v>
      </c>
      <c r="S690">
        <v>4</v>
      </c>
      <c r="T690">
        <v>28</v>
      </c>
      <c r="U690">
        <v>202</v>
      </c>
      <c r="V690">
        <v>115</v>
      </c>
      <c r="W690">
        <v>21</v>
      </c>
      <c r="X690">
        <v>5.4761904761904763</v>
      </c>
      <c r="Y690">
        <v>5</v>
      </c>
      <c r="Z690">
        <v>49</v>
      </c>
      <c r="AA690">
        <v>1</v>
      </c>
      <c r="AB690">
        <v>2</v>
      </c>
      <c r="AC690">
        <v>3</v>
      </c>
      <c r="AD690">
        <v>3</v>
      </c>
      <c r="AE690">
        <v>15</v>
      </c>
      <c r="AF690">
        <v>2</v>
      </c>
      <c r="AG690">
        <v>3</v>
      </c>
      <c r="AH690">
        <v>2</v>
      </c>
      <c r="AI690">
        <v>83</v>
      </c>
      <c r="AJ690">
        <v>1</v>
      </c>
      <c r="AK690">
        <v>5</v>
      </c>
      <c r="AL690">
        <v>3</v>
      </c>
      <c r="AM690">
        <v>88</v>
      </c>
      <c r="AN690">
        <v>8</v>
      </c>
      <c r="AO690">
        <v>54</v>
      </c>
      <c r="AP690">
        <v>9</v>
      </c>
      <c r="AQ690">
        <v>66</v>
      </c>
      <c r="AR690">
        <v>0.2425742574257426</v>
      </c>
      <c r="AS690">
        <v>9.9009900990099011E-3</v>
      </c>
      <c r="AT690">
        <v>7.4257425742574254E-2</v>
      </c>
      <c r="AU690">
        <v>1.4851485148514851E-2</v>
      </c>
      <c r="AV690">
        <v>0.41089108910891092</v>
      </c>
      <c r="AW690">
        <v>0.43564356435643559</v>
      </c>
      <c r="AX690">
        <v>0.26732673267326729</v>
      </c>
      <c r="AY690">
        <v>0.32673267326732669</v>
      </c>
      <c r="AZ690">
        <v>-0.1683168316831683</v>
      </c>
      <c r="BA690">
        <v>0.5</v>
      </c>
      <c r="BB690">
        <v>0.74603174603174605</v>
      </c>
      <c r="BC690">
        <v>0.6</v>
      </c>
      <c r="BD690">
        <v>0.51980198019801982</v>
      </c>
      <c r="BE690">
        <v>4</v>
      </c>
      <c r="BF690">
        <v>0.59145843155744149</v>
      </c>
      <c r="BG690">
        <v>0.66</v>
      </c>
      <c r="BH690" t="s">
        <v>86</v>
      </c>
      <c r="BI690">
        <v>0.59</v>
      </c>
      <c r="BJ690" t="s">
        <v>71</v>
      </c>
      <c r="BK690" s="2">
        <f t="shared" si="21"/>
        <v>7.0000000000000062E-2</v>
      </c>
      <c r="BL690" t="b">
        <f t="shared" si="22"/>
        <v>0</v>
      </c>
    </row>
    <row r="691" spans="1:64" x14ac:dyDescent="0.35">
      <c r="A691" t="s">
        <v>1889</v>
      </c>
      <c r="B691" t="s">
        <v>1885</v>
      </c>
      <c r="C691">
        <v>2022</v>
      </c>
      <c r="D691" t="s">
        <v>1886</v>
      </c>
      <c r="E691" t="s">
        <v>1887</v>
      </c>
      <c r="F691" t="s">
        <v>66</v>
      </c>
      <c r="G691" t="s">
        <v>67</v>
      </c>
      <c r="H691" t="s">
        <v>84</v>
      </c>
      <c r="I691" t="s">
        <v>941</v>
      </c>
      <c r="J691" t="s">
        <v>70</v>
      </c>
      <c r="L691">
        <v>1</v>
      </c>
      <c r="M691" t="b">
        <v>0</v>
      </c>
      <c r="N691">
        <v>1</v>
      </c>
      <c r="O691">
        <v>2</v>
      </c>
      <c r="P691">
        <v>12</v>
      </c>
      <c r="Q691">
        <v>3</v>
      </c>
      <c r="R691">
        <v>9</v>
      </c>
      <c r="S691">
        <v>6</v>
      </c>
      <c r="T691">
        <v>42</v>
      </c>
      <c r="U691">
        <v>504</v>
      </c>
      <c r="V691">
        <v>182</v>
      </c>
      <c r="W691">
        <v>31</v>
      </c>
      <c r="X691">
        <v>5.870967741935484</v>
      </c>
      <c r="Y691">
        <v>5</v>
      </c>
      <c r="Z691">
        <v>76</v>
      </c>
      <c r="AA691">
        <v>0</v>
      </c>
      <c r="AB691">
        <v>0</v>
      </c>
      <c r="AC691">
        <v>4</v>
      </c>
      <c r="AD691">
        <v>4</v>
      </c>
      <c r="AE691">
        <v>28</v>
      </c>
      <c r="AF691">
        <v>3</v>
      </c>
      <c r="AG691">
        <v>8</v>
      </c>
      <c r="AH691">
        <v>3</v>
      </c>
      <c r="AI691">
        <v>118</v>
      </c>
      <c r="AJ691">
        <v>3</v>
      </c>
      <c r="AK691">
        <v>5</v>
      </c>
      <c r="AL691">
        <v>6</v>
      </c>
      <c r="AM691">
        <v>123</v>
      </c>
      <c r="AN691">
        <v>8</v>
      </c>
      <c r="AO691">
        <v>84</v>
      </c>
      <c r="AP691">
        <v>9</v>
      </c>
      <c r="AQ691">
        <v>104</v>
      </c>
      <c r="AR691">
        <v>0.15079365079365081</v>
      </c>
      <c r="AS691">
        <v>0</v>
      </c>
      <c r="AT691">
        <v>5.5555555555555552E-2</v>
      </c>
      <c r="AU691">
        <v>1.5873015873015869E-2</v>
      </c>
      <c r="AV691">
        <v>0.2341269841269841</v>
      </c>
      <c r="AW691">
        <v>0.24404761904761901</v>
      </c>
      <c r="AX691">
        <v>0.16666666666666671</v>
      </c>
      <c r="AY691">
        <v>0.20634920634920631</v>
      </c>
      <c r="AZ691">
        <v>-7.7380952380952384E-2</v>
      </c>
      <c r="BA691">
        <v>0.83333333333333337</v>
      </c>
      <c r="BB691">
        <v>0.81182795698924737</v>
      </c>
      <c r="BC691">
        <v>0.6</v>
      </c>
      <c r="BD691">
        <v>0.57663690476190477</v>
      </c>
      <c r="BE691">
        <v>4</v>
      </c>
      <c r="BF691">
        <v>0.70544954877112143</v>
      </c>
      <c r="BG691">
        <v>0.74</v>
      </c>
      <c r="BH691" t="s">
        <v>86</v>
      </c>
      <c r="BI691">
        <v>0.71</v>
      </c>
      <c r="BJ691" t="s">
        <v>86</v>
      </c>
      <c r="BK691" s="2">
        <f t="shared" si="21"/>
        <v>3.0000000000000027E-2</v>
      </c>
      <c r="BL691" t="b">
        <f t="shared" si="22"/>
        <v>1</v>
      </c>
    </row>
    <row r="692" spans="1:64" x14ac:dyDescent="0.35">
      <c r="A692" t="s">
        <v>1890</v>
      </c>
      <c r="B692" t="s">
        <v>1891</v>
      </c>
      <c r="C692">
        <v>2014</v>
      </c>
      <c r="D692" t="s">
        <v>1892</v>
      </c>
      <c r="E692" t="s">
        <v>1893</v>
      </c>
      <c r="F692" t="s">
        <v>66</v>
      </c>
      <c r="G692" t="s">
        <v>101</v>
      </c>
      <c r="H692" t="s">
        <v>170</v>
      </c>
      <c r="I692" t="s">
        <v>170</v>
      </c>
      <c r="J692" t="s">
        <v>70</v>
      </c>
      <c r="L692">
        <v>2</v>
      </c>
      <c r="M692" t="b">
        <v>0</v>
      </c>
      <c r="N692">
        <v>1</v>
      </c>
      <c r="O692">
        <v>1</v>
      </c>
      <c r="P692">
        <v>8</v>
      </c>
      <c r="Q692">
        <v>6</v>
      </c>
      <c r="R692">
        <v>2</v>
      </c>
      <c r="S692">
        <v>4</v>
      </c>
      <c r="T692">
        <v>26</v>
      </c>
      <c r="U692">
        <v>198</v>
      </c>
      <c r="V692">
        <v>108</v>
      </c>
      <c r="W692">
        <v>18</v>
      </c>
      <c r="X692">
        <v>6</v>
      </c>
      <c r="Y692">
        <v>5</v>
      </c>
      <c r="Z692">
        <v>25</v>
      </c>
      <c r="AA692">
        <v>0</v>
      </c>
      <c r="AB692">
        <v>0</v>
      </c>
      <c r="AC692">
        <v>2</v>
      </c>
      <c r="AD692">
        <v>2</v>
      </c>
      <c r="AE692">
        <v>33</v>
      </c>
      <c r="AF692">
        <v>0</v>
      </c>
      <c r="AG692">
        <v>0</v>
      </c>
      <c r="AH692">
        <v>1</v>
      </c>
      <c r="AI692">
        <v>103</v>
      </c>
      <c r="AJ692">
        <v>4</v>
      </c>
      <c r="AK692">
        <v>4</v>
      </c>
      <c r="AL692">
        <v>5</v>
      </c>
      <c r="AM692">
        <v>107</v>
      </c>
      <c r="AN692">
        <v>5</v>
      </c>
      <c r="AO692">
        <v>25</v>
      </c>
      <c r="AP692">
        <v>7</v>
      </c>
      <c r="AQ692">
        <v>58</v>
      </c>
      <c r="AR692">
        <v>0.1262626262626263</v>
      </c>
      <c r="AS692">
        <v>0</v>
      </c>
      <c r="AT692">
        <v>0.16666666666666671</v>
      </c>
      <c r="AU692">
        <v>0</v>
      </c>
      <c r="AV692">
        <v>0.52020202020202022</v>
      </c>
      <c r="AW692">
        <v>0.54040404040404044</v>
      </c>
      <c r="AX692">
        <v>0.1262626262626263</v>
      </c>
      <c r="AY692">
        <v>0.29292929292929287</v>
      </c>
      <c r="AZ692">
        <v>-0.41414141414141409</v>
      </c>
      <c r="BA692">
        <v>0.5</v>
      </c>
      <c r="BB692">
        <v>0.83333333333333337</v>
      </c>
      <c r="BC692">
        <v>0.46666666666666667</v>
      </c>
      <c r="BD692">
        <v>0.36616161616161608</v>
      </c>
      <c r="BE692">
        <v>4</v>
      </c>
      <c r="BF692">
        <v>0.54154040404040404</v>
      </c>
      <c r="BG692">
        <v>0.62</v>
      </c>
      <c r="BH692" t="s">
        <v>86</v>
      </c>
      <c r="BI692">
        <v>0.54</v>
      </c>
      <c r="BJ692" t="s">
        <v>71</v>
      </c>
      <c r="BK692" s="2">
        <f t="shared" si="21"/>
        <v>7.999999999999996E-2</v>
      </c>
      <c r="BL692" t="b">
        <f t="shared" si="22"/>
        <v>0</v>
      </c>
    </row>
    <row r="693" spans="1:64" x14ac:dyDescent="0.35">
      <c r="A693" t="s">
        <v>1894</v>
      </c>
      <c r="B693" t="s">
        <v>1891</v>
      </c>
      <c r="C693">
        <v>2015</v>
      </c>
      <c r="D693" t="s">
        <v>1892</v>
      </c>
      <c r="E693" t="s">
        <v>1893</v>
      </c>
      <c r="F693" t="s">
        <v>66</v>
      </c>
      <c r="G693" t="s">
        <v>101</v>
      </c>
      <c r="H693" t="s">
        <v>170</v>
      </c>
      <c r="I693" t="s">
        <v>170</v>
      </c>
      <c r="J693" t="s">
        <v>70</v>
      </c>
      <c r="L693">
        <v>2</v>
      </c>
      <c r="M693" t="b">
        <v>0</v>
      </c>
      <c r="N693">
        <v>1</v>
      </c>
      <c r="O693">
        <v>1</v>
      </c>
      <c r="P693">
        <v>6</v>
      </c>
      <c r="Q693">
        <v>5</v>
      </c>
      <c r="R693">
        <v>1</v>
      </c>
      <c r="S693">
        <v>4</v>
      </c>
      <c r="T693">
        <v>28</v>
      </c>
      <c r="U693">
        <v>108</v>
      </c>
      <c r="V693">
        <v>121</v>
      </c>
      <c r="W693">
        <v>23</v>
      </c>
      <c r="X693">
        <v>5.2608695652173916</v>
      </c>
      <c r="Y693">
        <v>5</v>
      </c>
      <c r="Z693">
        <v>10</v>
      </c>
      <c r="AA693">
        <v>0</v>
      </c>
      <c r="AB693">
        <v>0</v>
      </c>
      <c r="AC693">
        <v>1</v>
      </c>
      <c r="AD693">
        <v>1</v>
      </c>
      <c r="AE693">
        <v>18</v>
      </c>
      <c r="AF693">
        <v>3</v>
      </c>
      <c r="AG693">
        <v>3</v>
      </c>
      <c r="AH693">
        <v>2</v>
      </c>
      <c r="AI693">
        <v>24</v>
      </c>
      <c r="AJ693">
        <v>2</v>
      </c>
      <c r="AK693">
        <v>4</v>
      </c>
      <c r="AL693">
        <v>4</v>
      </c>
      <c r="AM693">
        <v>28</v>
      </c>
      <c r="AN693">
        <v>8</v>
      </c>
      <c r="AO693">
        <v>13</v>
      </c>
      <c r="AP693">
        <v>6</v>
      </c>
      <c r="AQ693">
        <v>28</v>
      </c>
      <c r="AR693">
        <v>9.2592592592592587E-2</v>
      </c>
      <c r="AS693">
        <v>0</v>
      </c>
      <c r="AT693">
        <v>0.16666666666666671</v>
      </c>
      <c r="AU693">
        <v>2.777777777777778E-2</v>
      </c>
      <c r="AV693">
        <v>0.22222222222222221</v>
      </c>
      <c r="AW693">
        <v>0.25925925925925919</v>
      </c>
      <c r="AX693">
        <v>0.12037037037037041</v>
      </c>
      <c r="AY693">
        <v>0.25925925925925919</v>
      </c>
      <c r="AZ693">
        <v>-0.1388888888888889</v>
      </c>
      <c r="BA693">
        <v>0.5</v>
      </c>
      <c r="BB693">
        <v>0.71014492753623193</v>
      </c>
      <c r="BC693">
        <v>0.4</v>
      </c>
      <c r="BD693">
        <v>0.53819444444444442</v>
      </c>
      <c r="BE693">
        <v>4</v>
      </c>
      <c r="BF693">
        <v>0.53708484299516912</v>
      </c>
      <c r="BG693">
        <v>0.56999999999999995</v>
      </c>
      <c r="BH693" t="s">
        <v>71</v>
      </c>
      <c r="BI693">
        <v>0.54</v>
      </c>
      <c r="BJ693" t="s">
        <v>71</v>
      </c>
      <c r="BK693" s="2">
        <f t="shared" si="21"/>
        <v>2.9999999999999916E-2</v>
      </c>
      <c r="BL693" t="b">
        <f t="shared" si="22"/>
        <v>1</v>
      </c>
    </row>
    <row r="694" spans="1:64" x14ac:dyDescent="0.35">
      <c r="A694" t="s">
        <v>1895</v>
      </c>
      <c r="B694" t="s">
        <v>1891</v>
      </c>
      <c r="C694">
        <v>2016</v>
      </c>
      <c r="D694" t="s">
        <v>1892</v>
      </c>
      <c r="E694" t="s">
        <v>1893</v>
      </c>
      <c r="F694" t="s">
        <v>66</v>
      </c>
      <c r="G694" t="s">
        <v>101</v>
      </c>
      <c r="H694" t="s">
        <v>170</v>
      </c>
      <c r="I694" t="s">
        <v>170</v>
      </c>
      <c r="J694" t="s">
        <v>70</v>
      </c>
      <c r="L694">
        <v>2</v>
      </c>
      <c r="M694" t="b">
        <v>0</v>
      </c>
      <c r="N694">
        <v>1</v>
      </c>
      <c r="O694">
        <v>1</v>
      </c>
      <c r="P694">
        <v>6</v>
      </c>
      <c r="Q694">
        <v>3</v>
      </c>
      <c r="R694">
        <v>3</v>
      </c>
      <c r="S694">
        <v>4</v>
      </c>
      <c r="T694">
        <v>20</v>
      </c>
      <c r="U694">
        <v>80</v>
      </c>
      <c r="V694">
        <v>103</v>
      </c>
      <c r="W694">
        <v>19</v>
      </c>
      <c r="X694">
        <v>5.4210526315789478</v>
      </c>
      <c r="Y694">
        <v>2</v>
      </c>
      <c r="Z694">
        <v>4</v>
      </c>
      <c r="AA694">
        <v>0</v>
      </c>
      <c r="AB694">
        <v>0</v>
      </c>
      <c r="AC694">
        <v>2</v>
      </c>
      <c r="AD694">
        <v>2</v>
      </c>
      <c r="AE694">
        <v>18</v>
      </c>
      <c r="AF694">
        <v>3</v>
      </c>
      <c r="AG694">
        <v>5</v>
      </c>
      <c r="AH694">
        <v>2</v>
      </c>
      <c r="AI694">
        <v>18</v>
      </c>
      <c r="AJ694">
        <v>0</v>
      </c>
      <c r="AK694">
        <v>0</v>
      </c>
      <c r="AL694">
        <v>2</v>
      </c>
      <c r="AM694">
        <v>18</v>
      </c>
      <c r="AN694">
        <v>5</v>
      </c>
      <c r="AO694">
        <v>9</v>
      </c>
      <c r="AP694">
        <v>4</v>
      </c>
      <c r="AQ694">
        <v>22</v>
      </c>
      <c r="AR694">
        <v>0.05</v>
      </c>
      <c r="AS694">
        <v>0</v>
      </c>
      <c r="AT694">
        <v>0.22500000000000001</v>
      </c>
      <c r="AU694">
        <v>6.25E-2</v>
      </c>
      <c r="AV694">
        <v>0.22500000000000001</v>
      </c>
      <c r="AW694">
        <v>0.22500000000000001</v>
      </c>
      <c r="AX694">
        <v>0.1125</v>
      </c>
      <c r="AY694">
        <v>0.27500000000000002</v>
      </c>
      <c r="AZ694">
        <v>-0.1125</v>
      </c>
      <c r="BA694">
        <v>0.5</v>
      </c>
      <c r="BB694">
        <v>0.73684210526315796</v>
      </c>
      <c r="BC694">
        <v>0.26666666666666672</v>
      </c>
      <c r="BD694">
        <v>0.55468749999999989</v>
      </c>
      <c r="BE694">
        <v>4</v>
      </c>
      <c r="BF694">
        <v>0.51454906798245614</v>
      </c>
      <c r="BG694">
        <v>0.51</v>
      </c>
      <c r="BH694" t="s">
        <v>71</v>
      </c>
      <c r="BI694">
        <v>0.51</v>
      </c>
      <c r="BJ694" t="s">
        <v>71</v>
      </c>
      <c r="BK694" s="2">
        <f t="shared" si="21"/>
        <v>0</v>
      </c>
      <c r="BL694" t="b">
        <f t="shared" si="22"/>
        <v>1</v>
      </c>
    </row>
    <row r="695" spans="1:64" x14ac:dyDescent="0.35">
      <c r="A695" t="s">
        <v>1896</v>
      </c>
      <c r="B695" t="s">
        <v>1891</v>
      </c>
      <c r="C695">
        <v>2017</v>
      </c>
      <c r="D695" t="s">
        <v>1892</v>
      </c>
      <c r="E695" t="s">
        <v>1893</v>
      </c>
      <c r="F695" t="s">
        <v>66</v>
      </c>
      <c r="G695" t="s">
        <v>101</v>
      </c>
      <c r="H695" t="s">
        <v>170</v>
      </c>
      <c r="I695" t="s">
        <v>170</v>
      </c>
      <c r="J695" t="s">
        <v>70</v>
      </c>
      <c r="L695">
        <v>2</v>
      </c>
      <c r="M695" t="b">
        <v>0</v>
      </c>
      <c r="N695">
        <v>4</v>
      </c>
      <c r="O695">
        <v>1</v>
      </c>
      <c r="P695">
        <v>2</v>
      </c>
      <c r="Q695">
        <v>1</v>
      </c>
      <c r="R695">
        <v>1</v>
      </c>
      <c r="S695">
        <v>3</v>
      </c>
      <c r="T695">
        <v>9</v>
      </c>
      <c r="U695">
        <v>48</v>
      </c>
      <c r="V695">
        <v>40</v>
      </c>
      <c r="W695">
        <v>8</v>
      </c>
      <c r="X695">
        <v>5</v>
      </c>
      <c r="Y695">
        <v>3</v>
      </c>
      <c r="Z695">
        <v>17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3</v>
      </c>
      <c r="AG695">
        <v>6</v>
      </c>
      <c r="AH695">
        <v>1</v>
      </c>
      <c r="AI695">
        <v>23</v>
      </c>
      <c r="AJ695">
        <v>0</v>
      </c>
      <c r="AK695">
        <v>0</v>
      </c>
      <c r="AL695">
        <v>1</v>
      </c>
      <c r="AM695">
        <v>23</v>
      </c>
      <c r="AN695">
        <v>6</v>
      </c>
      <c r="AO695">
        <v>23</v>
      </c>
      <c r="AP695">
        <v>3</v>
      </c>
      <c r="AQ695">
        <v>17</v>
      </c>
      <c r="AR695">
        <v>0.35416666666666669</v>
      </c>
      <c r="AS695">
        <v>0</v>
      </c>
      <c r="AT695">
        <v>0</v>
      </c>
      <c r="AU695">
        <v>0.125</v>
      </c>
      <c r="AV695">
        <v>0.47916666666666669</v>
      </c>
      <c r="AW695">
        <v>0.47916666666666669</v>
      </c>
      <c r="AX695">
        <v>0.47916666666666669</v>
      </c>
      <c r="AY695">
        <v>0.35416666666666669</v>
      </c>
      <c r="AZ695">
        <v>0</v>
      </c>
      <c r="BA695">
        <v>0.33333333333333331</v>
      </c>
      <c r="BB695">
        <v>0.66666666666666663</v>
      </c>
      <c r="BC695">
        <v>0.2</v>
      </c>
      <c r="BD695">
        <v>0.625</v>
      </c>
      <c r="BE695">
        <v>4</v>
      </c>
      <c r="BF695">
        <v>0.45624999999999999</v>
      </c>
      <c r="BG695">
        <v>0.56999999999999995</v>
      </c>
      <c r="BH695" t="s">
        <v>71</v>
      </c>
      <c r="BI695">
        <v>0.46</v>
      </c>
      <c r="BJ695" t="s">
        <v>71</v>
      </c>
      <c r="BK695" s="2">
        <f t="shared" si="21"/>
        <v>0.10999999999999993</v>
      </c>
      <c r="BL695" t="b">
        <f t="shared" si="22"/>
        <v>1</v>
      </c>
    </row>
    <row r="696" spans="1:64" x14ac:dyDescent="0.35">
      <c r="A696" t="s">
        <v>1897</v>
      </c>
      <c r="B696" t="s">
        <v>1891</v>
      </c>
      <c r="C696">
        <v>2020</v>
      </c>
      <c r="D696" t="s">
        <v>1892</v>
      </c>
      <c r="E696" t="s">
        <v>1893</v>
      </c>
      <c r="F696" t="s">
        <v>66</v>
      </c>
      <c r="G696" t="s">
        <v>101</v>
      </c>
      <c r="H696" t="s">
        <v>170</v>
      </c>
      <c r="I696" t="s">
        <v>170</v>
      </c>
      <c r="J696" t="s">
        <v>70</v>
      </c>
      <c r="L696">
        <v>2</v>
      </c>
      <c r="M696" t="b">
        <v>0</v>
      </c>
      <c r="N696">
        <v>1</v>
      </c>
      <c r="O696">
        <v>1</v>
      </c>
      <c r="P696">
        <v>6</v>
      </c>
      <c r="Q696">
        <v>4</v>
      </c>
      <c r="R696">
        <v>2</v>
      </c>
      <c r="S696">
        <v>4</v>
      </c>
      <c r="T696">
        <v>31</v>
      </c>
      <c r="U696">
        <v>706</v>
      </c>
      <c r="V696">
        <v>107</v>
      </c>
      <c r="W696">
        <v>21</v>
      </c>
      <c r="X696">
        <v>5.0952380952380949</v>
      </c>
      <c r="Y696">
        <v>4</v>
      </c>
      <c r="Z696">
        <v>175</v>
      </c>
      <c r="AA696">
        <v>0</v>
      </c>
      <c r="AB696">
        <v>0</v>
      </c>
      <c r="AC696">
        <v>4</v>
      </c>
      <c r="AD696">
        <v>3</v>
      </c>
      <c r="AE696">
        <v>127</v>
      </c>
      <c r="AF696">
        <v>1</v>
      </c>
      <c r="AG696">
        <v>3</v>
      </c>
      <c r="AH696">
        <v>1</v>
      </c>
      <c r="AI696">
        <v>81</v>
      </c>
      <c r="AJ696">
        <v>0</v>
      </c>
      <c r="AK696">
        <v>0</v>
      </c>
      <c r="AL696">
        <v>1</v>
      </c>
      <c r="AM696">
        <v>81</v>
      </c>
      <c r="AN696">
        <v>5</v>
      </c>
      <c r="AO696">
        <v>178</v>
      </c>
      <c r="AP696">
        <v>7</v>
      </c>
      <c r="AQ696">
        <v>302</v>
      </c>
      <c r="AR696">
        <v>0.24787535410764869</v>
      </c>
      <c r="AS696">
        <v>0</v>
      </c>
      <c r="AT696">
        <v>0.17988668555240789</v>
      </c>
      <c r="AU696">
        <v>4.24929178470255E-3</v>
      </c>
      <c r="AV696">
        <v>0.1147308781869688</v>
      </c>
      <c r="AW696">
        <v>0.1147308781869688</v>
      </c>
      <c r="AX696">
        <v>0.25212464589235128</v>
      </c>
      <c r="AY696">
        <v>0.42776203966005671</v>
      </c>
      <c r="AZ696">
        <v>0.13739376770538239</v>
      </c>
      <c r="BA696">
        <v>0.5</v>
      </c>
      <c r="BB696">
        <v>0.68253968253968245</v>
      </c>
      <c r="BC696">
        <v>0.46666666666666667</v>
      </c>
      <c r="BD696">
        <v>0.71087110481586402</v>
      </c>
      <c r="BE696">
        <v>4</v>
      </c>
      <c r="BF696">
        <v>0.59001936350555328</v>
      </c>
      <c r="BG696">
        <v>0.61</v>
      </c>
      <c r="BH696" t="s">
        <v>86</v>
      </c>
      <c r="BI696">
        <v>0.59</v>
      </c>
      <c r="BJ696" t="s">
        <v>71</v>
      </c>
      <c r="BK696" s="2">
        <f t="shared" si="21"/>
        <v>2.0000000000000018E-2</v>
      </c>
      <c r="BL696" t="b">
        <f t="shared" si="22"/>
        <v>0</v>
      </c>
    </row>
    <row r="697" spans="1:64" x14ac:dyDescent="0.35">
      <c r="A697" t="s">
        <v>1898</v>
      </c>
      <c r="B697" t="s">
        <v>1899</v>
      </c>
      <c r="C697">
        <v>2016</v>
      </c>
      <c r="D697" t="s">
        <v>1900</v>
      </c>
      <c r="E697" t="s">
        <v>1901</v>
      </c>
      <c r="F697" t="s">
        <v>66</v>
      </c>
      <c r="G697" t="s">
        <v>67</v>
      </c>
      <c r="H697" t="s">
        <v>68</v>
      </c>
      <c r="I697" t="s">
        <v>1902</v>
      </c>
      <c r="J697" t="s">
        <v>70</v>
      </c>
      <c r="L697">
        <v>1</v>
      </c>
      <c r="M697" t="b">
        <v>0</v>
      </c>
      <c r="N697">
        <v>1</v>
      </c>
      <c r="O697">
        <v>1</v>
      </c>
      <c r="P697">
        <v>8</v>
      </c>
      <c r="Q697">
        <v>5</v>
      </c>
      <c r="R697">
        <v>3</v>
      </c>
      <c r="S697">
        <v>4</v>
      </c>
      <c r="T697">
        <v>31</v>
      </c>
      <c r="U697">
        <v>633</v>
      </c>
      <c r="V697">
        <v>105</v>
      </c>
      <c r="W697">
        <v>20</v>
      </c>
      <c r="X697">
        <v>5.25</v>
      </c>
      <c r="Y697">
        <v>4</v>
      </c>
      <c r="Z697">
        <v>130</v>
      </c>
      <c r="AA697">
        <v>0</v>
      </c>
      <c r="AB697">
        <v>0</v>
      </c>
      <c r="AC697">
        <v>2</v>
      </c>
      <c r="AD697">
        <v>2</v>
      </c>
      <c r="AE697">
        <v>82</v>
      </c>
      <c r="AF697">
        <v>0</v>
      </c>
      <c r="AG697">
        <v>0</v>
      </c>
      <c r="AH697">
        <v>1</v>
      </c>
      <c r="AI697">
        <v>8</v>
      </c>
      <c r="AJ697">
        <v>3</v>
      </c>
      <c r="AK697">
        <v>21</v>
      </c>
      <c r="AL697">
        <v>4</v>
      </c>
      <c r="AM697">
        <v>29</v>
      </c>
      <c r="AN697">
        <v>4</v>
      </c>
      <c r="AO697">
        <v>130</v>
      </c>
      <c r="AP697">
        <v>6</v>
      </c>
      <c r="AQ697">
        <v>212</v>
      </c>
      <c r="AR697">
        <v>0.20537124802527651</v>
      </c>
      <c r="AS697">
        <v>0</v>
      </c>
      <c r="AT697">
        <v>0.1295418641390205</v>
      </c>
      <c r="AU697">
        <v>0</v>
      </c>
      <c r="AV697">
        <v>1.2638230647709321E-2</v>
      </c>
      <c r="AW697">
        <v>4.5813586097946293E-2</v>
      </c>
      <c r="AX697">
        <v>0.20537124802527651</v>
      </c>
      <c r="AY697">
        <v>0.33491311216429698</v>
      </c>
      <c r="AZ697">
        <v>0.1595576619273302</v>
      </c>
      <c r="BA697">
        <v>0.5</v>
      </c>
      <c r="BB697">
        <v>0.70833333333333337</v>
      </c>
      <c r="BC697">
        <v>0.4</v>
      </c>
      <c r="BD697">
        <v>0.72472353870458139</v>
      </c>
      <c r="BE697">
        <v>4</v>
      </c>
      <c r="BF697">
        <v>0.5832642180094787</v>
      </c>
      <c r="BG697">
        <v>0.57999999999999996</v>
      </c>
      <c r="BH697" t="s">
        <v>71</v>
      </c>
      <c r="BI697">
        <v>0.57999999999999996</v>
      </c>
      <c r="BJ697" t="s">
        <v>71</v>
      </c>
      <c r="BK697" s="2">
        <f t="shared" si="21"/>
        <v>0</v>
      </c>
      <c r="BL697" t="b">
        <f t="shared" si="22"/>
        <v>1</v>
      </c>
    </row>
    <row r="698" spans="1:64" x14ac:dyDescent="0.35">
      <c r="A698" t="s">
        <v>1903</v>
      </c>
      <c r="B698" t="s">
        <v>1899</v>
      </c>
      <c r="C698">
        <v>2019</v>
      </c>
      <c r="D698" t="s">
        <v>1900</v>
      </c>
      <c r="E698" t="s">
        <v>1901</v>
      </c>
      <c r="F698" t="s">
        <v>66</v>
      </c>
      <c r="G698" t="s">
        <v>67</v>
      </c>
      <c r="H698" t="s">
        <v>68</v>
      </c>
      <c r="I698" t="s">
        <v>1902</v>
      </c>
      <c r="J698" t="s">
        <v>70</v>
      </c>
      <c r="L698">
        <v>1</v>
      </c>
      <c r="M698" t="b">
        <v>0</v>
      </c>
      <c r="N698">
        <v>1</v>
      </c>
      <c r="O698">
        <v>1</v>
      </c>
      <c r="P698">
        <v>4</v>
      </c>
      <c r="Q698">
        <v>5</v>
      </c>
      <c r="R698">
        <v>-1</v>
      </c>
      <c r="S698">
        <v>4</v>
      </c>
      <c r="T698">
        <v>32</v>
      </c>
      <c r="U698">
        <v>1959</v>
      </c>
      <c r="V698">
        <v>100</v>
      </c>
      <c r="W698">
        <v>21</v>
      </c>
      <c r="X698">
        <v>4.7619047619047619</v>
      </c>
      <c r="Y698">
        <v>4</v>
      </c>
      <c r="Z698">
        <v>41</v>
      </c>
      <c r="AA698">
        <v>0</v>
      </c>
      <c r="AB698">
        <v>0</v>
      </c>
      <c r="AC698">
        <v>6</v>
      </c>
      <c r="AD698">
        <v>6</v>
      </c>
      <c r="AE698">
        <v>100</v>
      </c>
      <c r="AF698">
        <v>2</v>
      </c>
      <c r="AG698">
        <v>2</v>
      </c>
      <c r="AH698">
        <v>1</v>
      </c>
      <c r="AI698">
        <v>34</v>
      </c>
      <c r="AJ698">
        <v>3</v>
      </c>
      <c r="AK698">
        <v>20</v>
      </c>
      <c r="AL698">
        <v>5</v>
      </c>
      <c r="AM698">
        <v>438</v>
      </c>
      <c r="AN698">
        <v>6</v>
      </c>
      <c r="AO698">
        <v>43</v>
      </c>
      <c r="AP698">
        <v>10</v>
      </c>
      <c r="AQ698">
        <v>141</v>
      </c>
      <c r="AR698">
        <v>2.0929045431342521E-2</v>
      </c>
      <c r="AS698">
        <v>0</v>
      </c>
      <c r="AT698">
        <v>5.1046452271567129E-2</v>
      </c>
      <c r="AU698">
        <v>1.020929045431343E-3</v>
      </c>
      <c r="AV698">
        <v>1.7355793772332821E-2</v>
      </c>
      <c r="AW698">
        <v>0.22358346094946399</v>
      </c>
      <c r="AX698">
        <v>2.1949974476773861E-2</v>
      </c>
      <c r="AY698">
        <v>7.1975497702909647E-2</v>
      </c>
      <c r="AZ698">
        <v>-0.20163348647269019</v>
      </c>
      <c r="BA698">
        <v>0.5</v>
      </c>
      <c r="BB698">
        <v>0.62698412698412698</v>
      </c>
      <c r="BC698">
        <v>0.66666666666666663</v>
      </c>
      <c r="BD698">
        <v>0.49897907095456862</v>
      </c>
      <c r="BE698">
        <v>4</v>
      </c>
      <c r="BF698">
        <v>0.57315746615134056</v>
      </c>
      <c r="BG698">
        <v>0.61</v>
      </c>
      <c r="BH698" t="s">
        <v>86</v>
      </c>
      <c r="BI698">
        <v>0.56999999999999995</v>
      </c>
      <c r="BJ698" t="s">
        <v>71</v>
      </c>
      <c r="BK698" s="2">
        <f t="shared" si="21"/>
        <v>4.0000000000000036E-2</v>
      </c>
      <c r="BL698" t="b">
        <f t="shared" si="22"/>
        <v>0</v>
      </c>
    </row>
    <row r="699" spans="1:64" x14ac:dyDescent="0.35">
      <c r="A699" t="s">
        <v>1904</v>
      </c>
      <c r="B699" t="s">
        <v>1899</v>
      </c>
      <c r="C699">
        <v>2022</v>
      </c>
      <c r="D699" t="s">
        <v>1900</v>
      </c>
      <c r="E699" t="s">
        <v>1901</v>
      </c>
      <c r="F699" t="s">
        <v>66</v>
      </c>
      <c r="G699" t="s">
        <v>67</v>
      </c>
      <c r="H699" t="s">
        <v>68</v>
      </c>
      <c r="I699" t="s">
        <v>1902</v>
      </c>
      <c r="J699" t="s">
        <v>70</v>
      </c>
      <c r="L699">
        <v>1</v>
      </c>
      <c r="M699" t="b">
        <v>0</v>
      </c>
      <c r="N699">
        <v>3</v>
      </c>
      <c r="O699">
        <v>1</v>
      </c>
      <c r="P699">
        <v>5</v>
      </c>
      <c r="Q699">
        <v>2</v>
      </c>
      <c r="R699">
        <v>3</v>
      </c>
      <c r="S699">
        <v>4</v>
      </c>
      <c r="T699">
        <v>18</v>
      </c>
      <c r="U699">
        <v>125</v>
      </c>
      <c r="V699">
        <v>95</v>
      </c>
      <c r="W699">
        <v>18</v>
      </c>
      <c r="X699">
        <v>5.2777777777777777</v>
      </c>
      <c r="Y699">
        <v>1</v>
      </c>
      <c r="Z699">
        <v>8</v>
      </c>
      <c r="AA699">
        <v>0</v>
      </c>
      <c r="AB699">
        <v>0</v>
      </c>
      <c r="AC699">
        <v>1</v>
      </c>
      <c r="AD699">
        <v>1</v>
      </c>
      <c r="AE699">
        <v>5</v>
      </c>
      <c r="AF699">
        <v>2</v>
      </c>
      <c r="AG699">
        <v>7</v>
      </c>
      <c r="AH699">
        <v>1</v>
      </c>
      <c r="AI699">
        <v>9</v>
      </c>
      <c r="AJ699">
        <v>1</v>
      </c>
      <c r="AK699">
        <v>4</v>
      </c>
      <c r="AL699">
        <v>2</v>
      </c>
      <c r="AM699">
        <v>13</v>
      </c>
      <c r="AN699">
        <v>3</v>
      </c>
      <c r="AO699">
        <v>15</v>
      </c>
      <c r="AP699">
        <v>2</v>
      </c>
      <c r="AQ699">
        <v>13</v>
      </c>
      <c r="AR699">
        <v>6.4000000000000001E-2</v>
      </c>
      <c r="AS699">
        <v>0</v>
      </c>
      <c r="AT699">
        <v>0.04</v>
      </c>
      <c r="AU699">
        <v>5.6000000000000001E-2</v>
      </c>
      <c r="AV699">
        <v>7.1999999999999995E-2</v>
      </c>
      <c r="AW699">
        <v>0.104</v>
      </c>
      <c r="AX699">
        <v>0.12</v>
      </c>
      <c r="AY699">
        <v>0.104</v>
      </c>
      <c r="AZ699">
        <v>1.6E-2</v>
      </c>
      <c r="BA699">
        <v>0.5</v>
      </c>
      <c r="BB699">
        <v>0.71296296296296291</v>
      </c>
      <c r="BC699">
        <v>0.1333333333333333</v>
      </c>
      <c r="BD699">
        <v>0.63500000000000001</v>
      </c>
      <c r="BE699">
        <v>4</v>
      </c>
      <c r="BF699">
        <v>0.49532407407407408</v>
      </c>
      <c r="BG699">
        <v>0.51</v>
      </c>
      <c r="BH699" t="s">
        <v>71</v>
      </c>
      <c r="BI699">
        <v>0.5</v>
      </c>
      <c r="BJ699" t="s">
        <v>71</v>
      </c>
      <c r="BK699" s="2">
        <f t="shared" si="21"/>
        <v>1.0000000000000009E-2</v>
      </c>
      <c r="BL699" t="b">
        <f t="shared" si="22"/>
        <v>1</v>
      </c>
    </row>
    <row r="700" spans="1:64" x14ac:dyDescent="0.35">
      <c r="A700" t="s">
        <v>1905</v>
      </c>
      <c r="B700" t="s">
        <v>1906</v>
      </c>
      <c r="C700">
        <v>2014</v>
      </c>
      <c r="D700" t="s">
        <v>1907</v>
      </c>
      <c r="E700" t="s">
        <v>1908</v>
      </c>
      <c r="F700" t="s">
        <v>66</v>
      </c>
      <c r="G700" t="s">
        <v>101</v>
      </c>
      <c r="H700" t="s">
        <v>102</v>
      </c>
      <c r="I700" t="s">
        <v>1909</v>
      </c>
      <c r="J700" t="s">
        <v>70</v>
      </c>
      <c r="L700">
        <v>3</v>
      </c>
      <c r="M700" t="b">
        <v>0</v>
      </c>
      <c r="N700">
        <v>1</v>
      </c>
      <c r="O700">
        <v>2</v>
      </c>
      <c r="P700">
        <v>5</v>
      </c>
      <c r="Q700">
        <v>5</v>
      </c>
      <c r="R700">
        <v>0</v>
      </c>
      <c r="S700">
        <v>5</v>
      </c>
      <c r="T700">
        <v>22</v>
      </c>
      <c r="U700">
        <v>510</v>
      </c>
      <c r="V700">
        <v>96</v>
      </c>
      <c r="W700">
        <v>19</v>
      </c>
      <c r="X700">
        <v>5.0526315789473681</v>
      </c>
      <c r="Y700">
        <v>2</v>
      </c>
      <c r="Z700">
        <v>58</v>
      </c>
      <c r="AA700">
        <v>0</v>
      </c>
      <c r="AB700">
        <v>0</v>
      </c>
      <c r="AC700">
        <v>2</v>
      </c>
      <c r="AD700">
        <v>2</v>
      </c>
      <c r="AE700">
        <v>59</v>
      </c>
      <c r="AF700">
        <v>1</v>
      </c>
      <c r="AG700">
        <v>2</v>
      </c>
      <c r="AH700">
        <v>3</v>
      </c>
      <c r="AI700">
        <v>67</v>
      </c>
      <c r="AJ700">
        <v>2</v>
      </c>
      <c r="AK700">
        <v>21</v>
      </c>
      <c r="AL700">
        <v>6</v>
      </c>
      <c r="AM700">
        <v>96</v>
      </c>
      <c r="AN700">
        <v>3</v>
      </c>
      <c r="AO700">
        <v>60</v>
      </c>
      <c r="AP700">
        <v>4</v>
      </c>
      <c r="AQ700">
        <v>117</v>
      </c>
      <c r="AR700">
        <v>0.1137254901960784</v>
      </c>
      <c r="AS700">
        <v>0</v>
      </c>
      <c r="AT700">
        <v>0.1156862745098039</v>
      </c>
      <c r="AU700">
        <v>3.9215686274509803E-3</v>
      </c>
      <c r="AV700">
        <v>0.13137254901960779</v>
      </c>
      <c r="AW700">
        <v>0.18823529411764711</v>
      </c>
      <c r="AX700">
        <v>0.1176470588235294</v>
      </c>
      <c r="AY700">
        <v>0.22941176470588229</v>
      </c>
      <c r="AZ700">
        <v>-7.0588235294117646E-2</v>
      </c>
      <c r="BA700">
        <v>0.66666666666666663</v>
      </c>
      <c r="BB700">
        <v>0.67543859649122806</v>
      </c>
      <c r="BC700">
        <v>0.26666666666666672</v>
      </c>
      <c r="BD700">
        <v>0.58088235294117641</v>
      </c>
      <c r="BE700">
        <v>4</v>
      </c>
      <c r="BF700">
        <v>0.54741357069143448</v>
      </c>
      <c r="BG700">
        <v>0.56999999999999995</v>
      </c>
      <c r="BH700" t="s">
        <v>71</v>
      </c>
      <c r="BI700">
        <v>0.55000000000000004</v>
      </c>
      <c r="BJ700" t="s">
        <v>71</v>
      </c>
      <c r="BK700" s="2">
        <f t="shared" si="21"/>
        <v>1.9999999999999907E-2</v>
      </c>
      <c r="BL700" t="b">
        <f t="shared" si="22"/>
        <v>1</v>
      </c>
    </row>
    <row r="701" spans="1:64" x14ac:dyDescent="0.35">
      <c r="A701" t="s">
        <v>1910</v>
      </c>
      <c r="B701" t="s">
        <v>1906</v>
      </c>
      <c r="C701">
        <v>2015</v>
      </c>
      <c r="D701" t="s">
        <v>1907</v>
      </c>
      <c r="E701" t="s">
        <v>1908</v>
      </c>
      <c r="F701" t="s">
        <v>66</v>
      </c>
      <c r="G701" t="s">
        <v>101</v>
      </c>
      <c r="H701" t="s">
        <v>102</v>
      </c>
      <c r="I701" t="s">
        <v>1909</v>
      </c>
      <c r="J701" t="s">
        <v>70</v>
      </c>
      <c r="L701">
        <v>3</v>
      </c>
      <c r="M701" t="b">
        <v>0</v>
      </c>
      <c r="N701">
        <v>3</v>
      </c>
      <c r="O701">
        <v>3</v>
      </c>
      <c r="P701">
        <v>5</v>
      </c>
      <c r="Q701">
        <v>5</v>
      </c>
      <c r="R701">
        <v>0</v>
      </c>
      <c r="S701">
        <v>4</v>
      </c>
      <c r="T701">
        <v>27</v>
      </c>
      <c r="U701">
        <v>573</v>
      </c>
      <c r="V701">
        <v>111</v>
      </c>
      <c r="W701">
        <v>22</v>
      </c>
      <c r="X701">
        <v>5.0454545454545459</v>
      </c>
      <c r="Y701">
        <v>4</v>
      </c>
      <c r="Z701">
        <v>130</v>
      </c>
      <c r="AA701">
        <v>0</v>
      </c>
      <c r="AB701">
        <v>0</v>
      </c>
      <c r="AC701">
        <v>2</v>
      </c>
      <c r="AD701">
        <v>2</v>
      </c>
      <c r="AE701">
        <v>48</v>
      </c>
      <c r="AF701">
        <v>1</v>
      </c>
      <c r="AG701">
        <v>6</v>
      </c>
      <c r="AH701">
        <v>2</v>
      </c>
      <c r="AI701">
        <v>125</v>
      </c>
      <c r="AJ701">
        <v>1</v>
      </c>
      <c r="AK701">
        <v>12</v>
      </c>
      <c r="AL701">
        <v>3</v>
      </c>
      <c r="AM701">
        <v>137</v>
      </c>
      <c r="AN701">
        <v>5</v>
      </c>
      <c r="AO701">
        <v>136</v>
      </c>
      <c r="AP701">
        <v>6</v>
      </c>
      <c r="AQ701">
        <v>178</v>
      </c>
      <c r="AR701">
        <v>0.2268760907504363</v>
      </c>
      <c r="AS701">
        <v>0</v>
      </c>
      <c r="AT701">
        <v>8.3769633507853408E-2</v>
      </c>
      <c r="AU701">
        <v>1.0471204188481679E-2</v>
      </c>
      <c r="AV701">
        <v>0.2181500872600349</v>
      </c>
      <c r="AW701">
        <v>0.23909249563699819</v>
      </c>
      <c r="AX701">
        <v>0.23734729493891801</v>
      </c>
      <c r="AY701">
        <v>0.31064572425828968</v>
      </c>
      <c r="AZ701">
        <v>-1.745200698080263E-3</v>
      </c>
      <c r="BA701">
        <v>0.5</v>
      </c>
      <c r="BB701">
        <v>0.67424242424242431</v>
      </c>
      <c r="BC701">
        <v>0.4</v>
      </c>
      <c r="BD701">
        <v>0.62390924956369975</v>
      </c>
      <c r="BE701">
        <v>4</v>
      </c>
      <c r="BF701">
        <v>0.54953791845153099</v>
      </c>
      <c r="BG701">
        <v>0.57999999999999996</v>
      </c>
      <c r="BH701" t="s">
        <v>71</v>
      </c>
      <c r="BI701">
        <v>0.55000000000000004</v>
      </c>
      <c r="BJ701" t="s">
        <v>71</v>
      </c>
      <c r="BK701" s="2">
        <f t="shared" si="21"/>
        <v>2.9999999999999916E-2</v>
      </c>
      <c r="BL701" t="b">
        <f t="shared" si="22"/>
        <v>1</v>
      </c>
    </row>
    <row r="702" spans="1:64" x14ac:dyDescent="0.35">
      <c r="A702" t="s">
        <v>1911</v>
      </c>
      <c r="B702" t="s">
        <v>1906</v>
      </c>
      <c r="C702">
        <v>2016</v>
      </c>
      <c r="D702" t="s">
        <v>1907</v>
      </c>
      <c r="E702" t="s">
        <v>1908</v>
      </c>
      <c r="F702" t="s">
        <v>66</v>
      </c>
      <c r="G702" t="s">
        <v>101</v>
      </c>
      <c r="H702" t="s">
        <v>102</v>
      </c>
      <c r="I702" t="s">
        <v>1909</v>
      </c>
      <c r="J702" t="s">
        <v>70</v>
      </c>
      <c r="L702">
        <v>3</v>
      </c>
      <c r="M702" t="b">
        <v>0</v>
      </c>
      <c r="N702">
        <v>1</v>
      </c>
      <c r="O702">
        <v>4</v>
      </c>
      <c r="P702">
        <v>14</v>
      </c>
      <c r="Q702">
        <v>3</v>
      </c>
      <c r="R702">
        <v>11</v>
      </c>
      <c r="S702">
        <v>7</v>
      </c>
      <c r="T702">
        <v>27</v>
      </c>
      <c r="U702">
        <v>470</v>
      </c>
      <c r="V702">
        <v>147</v>
      </c>
      <c r="W702">
        <v>23</v>
      </c>
      <c r="X702">
        <v>6.3913043478260869</v>
      </c>
      <c r="Y702">
        <v>4</v>
      </c>
      <c r="Z702">
        <v>66</v>
      </c>
      <c r="AA702">
        <v>3</v>
      </c>
      <c r="AB702">
        <v>56</v>
      </c>
      <c r="AC702">
        <v>3</v>
      </c>
      <c r="AD702">
        <v>3</v>
      </c>
      <c r="AE702">
        <v>98</v>
      </c>
      <c r="AF702">
        <v>1</v>
      </c>
      <c r="AG702">
        <v>3</v>
      </c>
      <c r="AH702">
        <v>0</v>
      </c>
      <c r="AI702">
        <v>0</v>
      </c>
      <c r="AJ702">
        <v>2</v>
      </c>
      <c r="AK702">
        <v>4</v>
      </c>
      <c r="AL702">
        <v>2</v>
      </c>
      <c r="AM702">
        <v>4</v>
      </c>
      <c r="AN702">
        <v>8</v>
      </c>
      <c r="AO702">
        <v>125</v>
      </c>
      <c r="AP702">
        <v>10</v>
      </c>
      <c r="AQ702">
        <v>220</v>
      </c>
      <c r="AR702">
        <v>0.1404255319148936</v>
      </c>
      <c r="AS702">
        <v>0.1191489361702128</v>
      </c>
      <c r="AT702">
        <v>0.20851063829787231</v>
      </c>
      <c r="AU702">
        <v>6.382978723404255E-3</v>
      </c>
      <c r="AV702">
        <v>0</v>
      </c>
      <c r="AW702">
        <v>8.5106382978723406E-3</v>
      </c>
      <c r="AX702">
        <v>0.26595744680851058</v>
      </c>
      <c r="AY702">
        <v>0.46808510638297868</v>
      </c>
      <c r="AZ702">
        <v>0.25744680851063828</v>
      </c>
      <c r="BA702">
        <v>1</v>
      </c>
      <c r="BB702">
        <v>0.89855072463768115</v>
      </c>
      <c r="BC702">
        <v>0.66666666666666663</v>
      </c>
      <c r="BD702">
        <v>0.78590425531914887</v>
      </c>
      <c r="BE702">
        <v>4</v>
      </c>
      <c r="BF702">
        <v>0.83778041165587414</v>
      </c>
      <c r="BG702">
        <v>0.83</v>
      </c>
      <c r="BH702" t="s">
        <v>164</v>
      </c>
      <c r="BI702">
        <v>0.84</v>
      </c>
      <c r="BJ702" t="s">
        <v>164</v>
      </c>
      <c r="BK702" s="2">
        <f t="shared" si="21"/>
        <v>-1.0000000000000009E-2</v>
      </c>
      <c r="BL702" t="b">
        <f t="shared" si="22"/>
        <v>1</v>
      </c>
    </row>
    <row r="703" spans="1:64" x14ac:dyDescent="0.35">
      <c r="A703" t="s">
        <v>1912</v>
      </c>
      <c r="B703" t="s">
        <v>1906</v>
      </c>
      <c r="C703">
        <v>2017</v>
      </c>
      <c r="D703" t="s">
        <v>1907</v>
      </c>
      <c r="E703" t="s">
        <v>1908</v>
      </c>
      <c r="F703" t="s">
        <v>66</v>
      </c>
      <c r="G703" t="s">
        <v>101</v>
      </c>
      <c r="H703" t="s">
        <v>102</v>
      </c>
      <c r="I703" t="s">
        <v>1909</v>
      </c>
      <c r="J703" t="s">
        <v>70</v>
      </c>
      <c r="L703">
        <v>3</v>
      </c>
      <c r="M703" t="b">
        <v>0</v>
      </c>
      <c r="N703">
        <v>2</v>
      </c>
      <c r="O703">
        <v>1</v>
      </c>
      <c r="P703">
        <v>6</v>
      </c>
      <c r="Q703">
        <v>4</v>
      </c>
      <c r="R703">
        <v>2</v>
      </c>
      <c r="S703">
        <v>4</v>
      </c>
      <c r="T703">
        <v>24</v>
      </c>
      <c r="U703">
        <v>307</v>
      </c>
      <c r="V703">
        <v>97</v>
      </c>
      <c r="W703">
        <v>21</v>
      </c>
      <c r="X703">
        <v>4.6190476190476186</v>
      </c>
      <c r="Y703">
        <v>1</v>
      </c>
      <c r="Z703">
        <v>14</v>
      </c>
      <c r="AA703">
        <v>0</v>
      </c>
      <c r="AB703">
        <v>0</v>
      </c>
      <c r="AC703">
        <v>2</v>
      </c>
      <c r="AD703">
        <v>2</v>
      </c>
      <c r="AE703">
        <v>27</v>
      </c>
      <c r="AF703">
        <v>0</v>
      </c>
      <c r="AG703">
        <v>0</v>
      </c>
      <c r="AH703">
        <v>1</v>
      </c>
      <c r="AI703">
        <v>5</v>
      </c>
      <c r="AJ703">
        <v>3</v>
      </c>
      <c r="AK703">
        <v>14</v>
      </c>
      <c r="AL703">
        <v>4</v>
      </c>
      <c r="AM703">
        <v>19</v>
      </c>
      <c r="AN703">
        <v>1</v>
      </c>
      <c r="AO703">
        <v>14</v>
      </c>
      <c r="AP703">
        <v>3</v>
      </c>
      <c r="AQ703">
        <v>41</v>
      </c>
      <c r="AR703">
        <v>4.5602605863192182E-2</v>
      </c>
      <c r="AS703">
        <v>0</v>
      </c>
      <c r="AT703">
        <v>8.7947882736156349E-2</v>
      </c>
      <c r="AU703">
        <v>0</v>
      </c>
      <c r="AV703">
        <v>1.6286644951140069E-2</v>
      </c>
      <c r="AW703">
        <v>6.1889250814332247E-2</v>
      </c>
      <c r="AX703">
        <v>4.5602605863192182E-2</v>
      </c>
      <c r="AY703">
        <v>0.13355048859934851</v>
      </c>
      <c r="AZ703">
        <v>-1.6286644951140069E-2</v>
      </c>
      <c r="BA703">
        <v>0.5</v>
      </c>
      <c r="BB703">
        <v>0.60317460317460314</v>
      </c>
      <c r="BC703">
        <v>0.2</v>
      </c>
      <c r="BD703">
        <v>0.6148208469055374</v>
      </c>
      <c r="BE703">
        <v>4</v>
      </c>
      <c r="BF703">
        <v>0.47949886252003521</v>
      </c>
      <c r="BG703">
        <v>0.48</v>
      </c>
      <c r="BH703" t="s">
        <v>71</v>
      </c>
      <c r="BI703">
        <v>0.48</v>
      </c>
      <c r="BJ703" t="s">
        <v>71</v>
      </c>
      <c r="BK703" s="2">
        <f t="shared" si="21"/>
        <v>0</v>
      </c>
      <c r="BL703" t="b">
        <f t="shared" si="22"/>
        <v>1</v>
      </c>
    </row>
    <row r="704" spans="1:64" x14ac:dyDescent="0.35">
      <c r="A704" t="s">
        <v>1913</v>
      </c>
      <c r="B704" t="s">
        <v>1906</v>
      </c>
      <c r="C704">
        <v>2020</v>
      </c>
      <c r="D704" t="s">
        <v>1907</v>
      </c>
      <c r="E704" t="s">
        <v>1908</v>
      </c>
      <c r="F704" t="s">
        <v>66</v>
      </c>
      <c r="G704" t="s">
        <v>101</v>
      </c>
      <c r="H704" t="s">
        <v>102</v>
      </c>
      <c r="I704" t="s">
        <v>1909</v>
      </c>
      <c r="J704" t="s">
        <v>70</v>
      </c>
      <c r="L704">
        <v>3</v>
      </c>
      <c r="M704" t="b">
        <v>0</v>
      </c>
      <c r="N704">
        <v>1</v>
      </c>
      <c r="O704">
        <v>1</v>
      </c>
      <c r="P704">
        <v>5</v>
      </c>
      <c r="Q704">
        <v>4</v>
      </c>
      <c r="R704">
        <v>1</v>
      </c>
      <c r="S704">
        <v>4</v>
      </c>
      <c r="T704">
        <v>19</v>
      </c>
      <c r="U704">
        <v>484</v>
      </c>
      <c r="V704">
        <v>75</v>
      </c>
      <c r="W704">
        <v>15</v>
      </c>
      <c r="X704">
        <v>5</v>
      </c>
      <c r="Y704">
        <v>2</v>
      </c>
      <c r="Z704">
        <v>11</v>
      </c>
      <c r="AA704">
        <v>0</v>
      </c>
      <c r="AB704">
        <v>0</v>
      </c>
      <c r="AC704">
        <v>1</v>
      </c>
      <c r="AD704">
        <v>1</v>
      </c>
      <c r="AE704">
        <v>28</v>
      </c>
      <c r="AF704">
        <v>0</v>
      </c>
      <c r="AG704">
        <v>0</v>
      </c>
      <c r="AH704">
        <v>2</v>
      </c>
      <c r="AI704">
        <v>37</v>
      </c>
      <c r="AJ704">
        <v>1</v>
      </c>
      <c r="AK704">
        <v>3</v>
      </c>
      <c r="AL704">
        <v>3</v>
      </c>
      <c r="AM704">
        <v>40</v>
      </c>
      <c r="AN704">
        <v>2</v>
      </c>
      <c r="AO704">
        <v>11</v>
      </c>
      <c r="AP704">
        <v>3</v>
      </c>
      <c r="AQ704">
        <v>39</v>
      </c>
      <c r="AR704">
        <v>2.2727272727272731E-2</v>
      </c>
      <c r="AS704">
        <v>0</v>
      </c>
      <c r="AT704">
        <v>5.7851239669421489E-2</v>
      </c>
      <c r="AU704">
        <v>0</v>
      </c>
      <c r="AV704">
        <v>7.6446280991735532E-2</v>
      </c>
      <c r="AW704">
        <v>8.2644628099173556E-2</v>
      </c>
      <c r="AX704">
        <v>2.2727272727272731E-2</v>
      </c>
      <c r="AY704">
        <v>8.057851239669421E-2</v>
      </c>
      <c r="AZ704">
        <v>-5.9917355371900828E-2</v>
      </c>
      <c r="BA704">
        <v>0.5</v>
      </c>
      <c r="BB704">
        <v>0.66666666666666663</v>
      </c>
      <c r="BC704">
        <v>0.2</v>
      </c>
      <c r="BD704">
        <v>0.58755165289256195</v>
      </c>
      <c r="BE704">
        <v>4</v>
      </c>
      <c r="BF704">
        <v>0.48855457988980722</v>
      </c>
      <c r="BG704">
        <v>0.5</v>
      </c>
      <c r="BH704" t="s">
        <v>71</v>
      </c>
      <c r="BI704">
        <v>0.49</v>
      </c>
      <c r="BJ704" t="s">
        <v>71</v>
      </c>
      <c r="BK704" s="2">
        <f t="shared" si="21"/>
        <v>1.0000000000000009E-2</v>
      </c>
      <c r="BL704" t="b">
        <f t="shared" si="22"/>
        <v>1</v>
      </c>
    </row>
    <row r="705" spans="1:64" x14ac:dyDescent="0.35">
      <c r="A705" t="s">
        <v>1914</v>
      </c>
      <c r="B705" t="s">
        <v>1915</v>
      </c>
      <c r="C705">
        <v>2014</v>
      </c>
      <c r="D705" t="s">
        <v>1916</v>
      </c>
      <c r="E705" t="s">
        <v>1917</v>
      </c>
      <c r="F705" t="s">
        <v>66</v>
      </c>
      <c r="G705" t="s">
        <v>101</v>
      </c>
      <c r="H705" t="s">
        <v>102</v>
      </c>
      <c r="I705" t="s">
        <v>1458</v>
      </c>
      <c r="J705" t="s">
        <v>70</v>
      </c>
      <c r="L705">
        <v>2</v>
      </c>
      <c r="M705" t="b">
        <v>0</v>
      </c>
      <c r="N705">
        <v>1</v>
      </c>
      <c r="O705">
        <v>3</v>
      </c>
      <c r="P705">
        <v>10</v>
      </c>
      <c r="Q705">
        <v>4</v>
      </c>
      <c r="R705">
        <v>6</v>
      </c>
      <c r="S705">
        <v>6</v>
      </c>
      <c r="T705">
        <v>32</v>
      </c>
      <c r="U705">
        <v>568</v>
      </c>
      <c r="V705">
        <v>156</v>
      </c>
      <c r="W705">
        <v>27</v>
      </c>
      <c r="X705">
        <v>5.7777777777777777</v>
      </c>
      <c r="Y705">
        <v>5</v>
      </c>
      <c r="Z705">
        <v>112</v>
      </c>
      <c r="AA705">
        <v>2</v>
      </c>
      <c r="AB705">
        <v>19</v>
      </c>
      <c r="AC705">
        <v>3</v>
      </c>
      <c r="AD705">
        <v>3</v>
      </c>
      <c r="AE705">
        <v>63</v>
      </c>
      <c r="AF705">
        <v>2</v>
      </c>
      <c r="AG705">
        <v>21</v>
      </c>
      <c r="AH705">
        <v>1</v>
      </c>
      <c r="AI705">
        <v>6</v>
      </c>
      <c r="AJ705">
        <v>3</v>
      </c>
      <c r="AK705">
        <v>14</v>
      </c>
      <c r="AL705">
        <v>4</v>
      </c>
      <c r="AM705">
        <v>20</v>
      </c>
      <c r="AN705">
        <v>9</v>
      </c>
      <c r="AO705">
        <v>152</v>
      </c>
      <c r="AP705">
        <v>10</v>
      </c>
      <c r="AQ705">
        <v>194</v>
      </c>
      <c r="AR705">
        <v>0.19718309859154931</v>
      </c>
      <c r="AS705">
        <v>3.345070422535211E-2</v>
      </c>
      <c r="AT705">
        <v>0.1109154929577465</v>
      </c>
      <c r="AU705">
        <v>3.6971830985915492E-2</v>
      </c>
      <c r="AV705">
        <v>1.0563380281690141E-2</v>
      </c>
      <c r="AW705">
        <v>3.5211267605633798E-2</v>
      </c>
      <c r="AX705">
        <v>0.26760563380281688</v>
      </c>
      <c r="AY705">
        <v>0.34154929577464788</v>
      </c>
      <c r="AZ705">
        <v>0.23239436619718309</v>
      </c>
      <c r="BA705">
        <v>0.83333333333333337</v>
      </c>
      <c r="BB705">
        <v>0.79629629629629628</v>
      </c>
      <c r="BC705">
        <v>0.66666666666666663</v>
      </c>
      <c r="BD705">
        <v>0.77024647887323938</v>
      </c>
      <c r="BE705">
        <v>4</v>
      </c>
      <c r="BF705">
        <v>0.76663569379238394</v>
      </c>
      <c r="BG705">
        <v>0.76</v>
      </c>
      <c r="BH705" t="s">
        <v>86</v>
      </c>
      <c r="BI705">
        <v>0.77</v>
      </c>
      <c r="BJ705" t="s">
        <v>86</v>
      </c>
      <c r="BK705" s="2">
        <f t="shared" si="21"/>
        <v>-1.0000000000000009E-2</v>
      </c>
      <c r="BL705" t="b">
        <f t="shared" si="22"/>
        <v>1</v>
      </c>
    </row>
    <row r="706" spans="1:64" x14ac:dyDescent="0.35">
      <c r="A706" t="s">
        <v>1918</v>
      </c>
      <c r="B706" t="s">
        <v>1915</v>
      </c>
      <c r="C706">
        <v>2018</v>
      </c>
      <c r="D706" t="s">
        <v>1916</v>
      </c>
      <c r="E706" t="s">
        <v>1917</v>
      </c>
      <c r="F706" t="s">
        <v>66</v>
      </c>
      <c r="G706" t="s">
        <v>101</v>
      </c>
      <c r="H706" t="s">
        <v>102</v>
      </c>
      <c r="I706" t="s">
        <v>1458</v>
      </c>
      <c r="J706" t="s">
        <v>70</v>
      </c>
      <c r="L706">
        <v>2</v>
      </c>
      <c r="M706" t="b">
        <v>0</v>
      </c>
      <c r="N706">
        <v>1</v>
      </c>
      <c r="O706">
        <v>2</v>
      </c>
      <c r="P706">
        <v>5</v>
      </c>
      <c r="Q706">
        <v>3</v>
      </c>
      <c r="R706">
        <v>2</v>
      </c>
      <c r="S706">
        <v>5</v>
      </c>
      <c r="T706">
        <v>20</v>
      </c>
      <c r="U706">
        <v>327</v>
      </c>
      <c r="V706">
        <v>80</v>
      </c>
      <c r="W706">
        <v>15</v>
      </c>
      <c r="X706">
        <v>5.333333333333333</v>
      </c>
      <c r="Y706">
        <v>2</v>
      </c>
      <c r="Z706">
        <v>62</v>
      </c>
      <c r="AA706">
        <v>0</v>
      </c>
      <c r="AB706">
        <v>0</v>
      </c>
      <c r="AC706">
        <v>3</v>
      </c>
      <c r="AD706">
        <v>3</v>
      </c>
      <c r="AE706">
        <v>35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12</v>
      </c>
      <c r="AL706">
        <v>1</v>
      </c>
      <c r="AM706">
        <v>12</v>
      </c>
      <c r="AN706">
        <v>2</v>
      </c>
      <c r="AO706">
        <v>62</v>
      </c>
      <c r="AP706">
        <v>5</v>
      </c>
      <c r="AQ706">
        <v>97</v>
      </c>
      <c r="AR706">
        <v>0.18960244648318039</v>
      </c>
      <c r="AS706">
        <v>0</v>
      </c>
      <c r="AT706">
        <v>0.1070336391437309</v>
      </c>
      <c r="AU706">
        <v>0</v>
      </c>
      <c r="AV706">
        <v>0</v>
      </c>
      <c r="AW706">
        <v>3.669724770642202E-2</v>
      </c>
      <c r="AX706">
        <v>0.18960244648318039</v>
      </c>
      <c r="AY706">
        <v>0.29663608562691129</v>
      </c>
      <c r="AZ706">
        <v>0.1529051987767584</v>
      </c>
      <c r="BA706">
        <v>0.66666666666666663</v>
      </c>
      <c r="BB706">
        <v>0.72222222222222221</v>
      </c>
      <c r="BC706">
        <v>0.33333333333333331</v>
      </c>
      <c r="BD706">
        <v>0.72056574923547401</v>
      </c>
      <c r="BE706">
        <v>4</v>
      </c>
      <c r="BF706">
        <v>0.61069699286442403</v>
      </c>
      <c r="BG706">
        <v>0.61</v>
      </c>
      <c r="BH706" t="s">
        <v>86</v>
      </c>
      <c r="BI706">
        <v>0.61</v>
      </c>
      <c r="BJ706" t="s">
        <v>86</v>
      </c>
      <c r="BK706" s="2">
        <f t="shared" si="21"/>
        <v>0</v>
      </c>
      <c r="BL706" t="b">
        <f t="shared" si="22"/>
        <v>1</v>
      </c>
    </row>
    <row r="707" spans="1:64" x14ac:dyDescent="0.35">
      <c r="A707" t="s">
        <v>1919</v>
      </c>
      <c r="B707" t="s">
        <v>1915</v>
      </c>
      <c r="C707">
        <v>2021</v>
      </c>
      <c r="D707" t="s">
        <v>1916</v>
      </c>
      <c r="E707" t="s">
        <v>1917</v>
      </c>
      <c r="F707" t="s">
        <v>66</v>
      </c>
      <c r="G707" t="s">
        <v>101</v>
      </c>
      <c r="H707" t="s">
        <v>102</v>
      </c>
      <c r="I707" t="s">
        <v>1458</v>
      </c>
      <c r="J707" t="s">
        <v>70</v>
      </c>
      <c r="L707">
        <v>2</v>
      </c>
      <c r="M707" t="b">
        <v>0</v>
      </c>
      <c r="N707">
        <v>1</v>
      </c>
      <c r="O707">
        <v>1</v>
      </c>
      <c r="P707">
        <v>5</v>
      </c>
      <c r="Q707">
        <v>2</v>
      </c>
      <c r="R707">
        <v>3</v>
      </c>
      <c r="S707">
        <v>4</v>
      </c>
      <c r="T707">
        <v>19</v>
      </c>
      <c r="U707">
        <v>116</v>
      </c>
      <c r="V707">
        <v>91</v>
      </c>
      <c r="W707">
        <v>17</v>
      </c>
      <c r="X707">
        <v>5.3529411764705879</v>
      </c>
      <c r="Y707">
        <v>3</v>
      </c>
      <c r="Z707">
        <v>16</v>
      </c>
      <c r="AA707">
        <v>0</v>
      </c>
      <c r="AB707">
        <v>0</v>
      </c>
      <c r="AC707">
        <v>1</v>
      </c>
      <c r="AD707">
        <v>1</v>
      </c>
      <c r="AE707">
        <v>24</v>
      </c>
      <c r="AF707">
        <v>1</v>
      </c>
      <c r="AG707">
        <v>1</v>
      </c>
      <c r="AH707">
        <v>0</v>
      </c>
      <c r="AI707">
        <v>0</v>
      </c>
      <c r="AJ707">
        <v>1</v>
      </c>
      <c r="AK707">
        <v>2</v>
      </c>
      <c r="AL707">
        <v>2</v>
      </c>
      <c r="AM707">
        <v>5</v>
      </c>
      <c r="AN707">
        <v>4</v>
      </c>
      <c r="AO707">
        <v>17</v>
      </c>
      <c r="AP707">
        <v>4</v>
      </c>
      <c r="AQ707">
        <v>40</v>
      </c>
      <c r="AR707">
        <v>0.13793103448275859</v>
      </c>
      <c r="AS707">
        <v>0</v>
      </c>
      <c r="AT707">
        <v>0.2068965517241379</v>
      </c>
      <c r="AU707">
        <v>8.6206896551724137E-3</v>
      </c>
      <c r="AV707">
        <v>0</v>
      </c>
      <c r="AW707">
        <v>4.3103448275862072E-2</v>
      </c>
      <c r="AX707">
        <v>0.14655172413793099</v>
      </c>
      <c r="AY707">
        <v>0.34482758620689657</v>
      </c>
      <c r="AZ707">
        <v>0.10344827586206901</v>
      </c>
      <c r="BA707">
        <v>0.5</v>
      </c>
      <c r="BB707">
        <v>0.72549019607843135</v>
      </c>
      <c r="BC707">
        <v>0.26666666666666672</v>
      </c>
      <c r="BD707">
        <v>0.68965517241379304</v>
      </c>
      <c r="BE707">
        <v>4</v>
      </c>
      <c r="BF707">
        <v>0.5454530087897228</v>
      </c>
      <c r="BG707">
        <v>0.55000000000000004</v>
      </c>
      <c r="BH707" t="s">
        <v>71</v>
      </c>
      <c r="BI707">
        <v>0.55000000000000004</v>
      </c>
      <c r="BJ707" t="s">
        <v>71</v>
      </c>
      <c r="BK707" s="2">
        <f t="shared" ref="BK707:BK770" si="23">BG707-BI707</f>
        <v>0</v>
      </c>
      <c r="BL707" t="b">
        <f t="shared" ref="BL707:BL770" si="24">EXACT(BH707,BJ707)</f>
        <v>1</v>
      </c>
    </row>
    <row r="708" spans="1:64" x14ac:dyDescent="0.35">
      <c r="A708" t="s">
        <v>1920</v>
      </c>
      <c r="B708" t="s">
        <v>1921</v>
      </c>
      <c r="C708">
        <v>2017</v>
      </c>
      <c r="D708" t="s">
        <v>1922</v>
      </c>
      <c r="E708" t="s">
        <v>1923</v>
      </c>
      <c r="F708" t="s">
        <v>66</v>
      </c>
      <c r="G708" t="s">
        <v>101</v>
      </c>
      <c r="H708" t="s">
        <v>102</v>
      </c>
      <c r="I708" t="s">
        <v>1924</v>
      </c>
      <c r="J708" t="s">
        <v>70</v>
      </c>
      <c r="L708">
        <v>1</v>
      </c>
      <c r="M708" t="b">
        <v>0</v>
      </c>
      <c r="N708">
        <v>1</v>
      </c>
      <c r="O708">
        <v>4</v>
      </c>
      <c r="P708">
        <v>13</v>
      </c>
      <c r="Q708">
        <v>5</v>
      </c>
      <c r="R708">
        <v>8</v>
      </c>
      <c r="S708">
        <v>6</v>
      </c>
      <c r="T708">
        <v>43</v>
      </c>
      <c r="U708">
        <v>589</v>
      </c>
      <c r="V708">
        <v>157</v>
      </c>
      <c r="W708">
        <v>26</v>
      </c>
      <c r="X708">
        <v>6.0384615384615383</v>
      </c>
      <c r="Y708">
        <v>7</v>
      </c>
      <c r="Z708">
        <v>54</v>
      </c>
      <c r="AA708">
        <v>2</v>
      </c>
      <c r="AB708">
        <v>19</v>
      </c>
      <c r="AC708">
        <v>1</v>
      </c>
      <c r="AD708">
        <v>1</v>
      </c>
      <c r="AE708">
        <v>8</v>
      </c>
      <c r="AF708">
        <v>0</v>
      </c>
      <c r="AG708">
        <v>0</v>
      </c>
      <c r="AH708">
        <v>1</v>
      </c>
      <c r="AI708">
        <v>9</v>
      </c>
      <c r="AJ708">
        <v>3</v>
      </c>
      <c r="AK708">
        <v>20</v>
      </c>
      <c r="AL708">
        <v>4</v>
      </c>
      <c r="AM708">
        <v>29</v>
      </c>
      <c r="AN708">
        <v>9</v>
      </c>
      <c r="AO708">
        <v>73</v>
      </c>
      <c r="AP708">
        <v>10</v>
      </c>
      <c r="AQ708">
        <v>81</v>
      </c>
      <c r="AR708">
        <v>9.1680814940577254E-2</v>
      </c>
      <c r="AS708">
        <v>3.2258064516129031E-2</v>
      </c>
      <c r="AT708">
        <v>1.3582342954159591E-2</v>
      </c>
      <c r="AU708">
        <v>0</v>
      </c>
      <c r="AV708">
        <v>1.528013582342954E-2</v>
      </c>
      <c r="AW708">
        <v>4.9235993208828523E-2</v>
      </c>
      <c r="AX708">
        <v>0.1239388794567063</v>
      </c>
      <c r="AY708">
        <v>0.1375212224108659</v>
      </c>
      <c r="AZ708">
        <v>7.470288624787777E-2</v>
      </c>
      <c r="BA708">
        <v>0.83333333333333337</v>
      </c>
      <c r="BB708">
        <v>0.83974358974358976</v>
      </c>
      <c r="BC708">
        <v>0.66666666666666663</v>
      </c>
      <c r="BD708">
        <v>0.67168930390492354</v>
      </c>
      <c r="BE708">
        <v>4</v>
      </c>
      <c r="BF708">
        <v>0.75285822341212838</v>
      </c>
      <c r="BG708">
        <v>0.77</v>
      </c>
      <c r="BH708" t="s">
        <v>86</v>
      </c>
      <c r="BI708">
        <v>0.75</v>
      </c>
      <c r="BJ708" t="s">
        <v>86</v>
      </c>
      <c r="BK708" s="2">
        <f t="shared" si="23"/>
        <v>2.0000000000000018E-2</v>
      </c>
      <c r="BL708" t="b">
        <f t="shared" si="24"/>
        <v>1</v>
      </c>
    </row>
    <row r="709" spans="1:64" x14ac:dyDescent="0.35">
      <c r="A709" t="s">
        <v>1925</v>
      </c>
      <c r="B709" t="s">
        <v>1921</v>
      </c>
      <c r="C709">
        <v>2020</v>
      </c>
      <c r="D709" t="s">
        <v>1922</v>
      </c>
      <c r="E709" t="s">
        <v>1923</v>
      </c>
      <c r="F709" t="s">
        <v>66</v>
      </c>
      <c r="G709" t="s">
        <v>101</v>
      </c>
      <c r="H709" t="s">
        <v>102</v>
      </c>
      <c r="I709" t="s">
        <v>1924</v>
      </c>
      <c r="J709" t="s">
        <v>70</v>
      </c>
      <c r="L709">
        <v>1</v>
      </c>
      <c r="M709" t="b">
        <v>0</v>
      </c>
      <c r="N709">
        <v>1</v>
      </c>
      <c r="O709">
        <v>2</v>
      </c>
      <c r="P709">
        <v>9</v>
      </c>
      <c r="Q709">
        <v>1</v>
      </c>
      <c r="R709">
        <v>8</v>
      </c>
      <c r="S709">
        <v>6</v>
      </c>
      <c r="T709">
        <v>26</v>
      </c>
      <c r="U709">
        <v>417</v>
      </c>
      <c r="V709">
        <v>109</v>
      </c>
      <c r="W709">
        <v>19</v>
      </c>
      <c r="X709">
        <v>5.7368421052631584</v>
      </c>
      <c r="Y709">
        <v>3</v>
      </c>
      <c r="Z709">
        <v>76</v>
      </c>
      <c r="AA709">
        <v>1</v>
      </c>
      <c r="AB709">
        <v>2</v>
      </c>
      <c r="AC709">
        <v>7</v>
      </c>
      <c r="AD709">
        <v>7</v>
      </c>
      <c r="AE709">
        <v>137</v>
      </c>
      <c r="AF709">
        <v>1</v>
      </c>
      <c r="AG709">
        <v>18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5</v>
      </c>
      <c r="AO709">
        <v>96</v>
      </c>
      <c r="AP709">
        <v>11</v>
      </c>
      <c r="AQ709">
        <v>215</v>
      </c>
      <c r="AR709">
        <v>0.18225419664268591</v>
      </c>
      <c r="AS709">
        <v>4.7961630695443642E-3</v>
      </c>
      <c r="AT709">
        <v>0.32853717026378898</v>
      </c>
      <c r="AU709">
        <v>4.3165467625899283E-2</v>
      </c>
      <c r="AV709">
        <v>0</v>
      </c>
      <c r="AW709">
        <v>0</v>
      </c>
      <c r="AX709">
        <v>0.23021582733812951</v>
      </c>
      <c r="AY709">
        <v>0.5155875299760192</v>
      </c>
      <c r="AZ709">
        <v>0.23021582733812951</v>
      </c>
      <c r="BA709">
        <v>0.83333333333333337</v>
      </c>
      <c r="BB709">
        <v>0.78947368421052644</v>
      </c>
      <c r="BC709">
        <v>0.73333333333333328</v>
      </c>
      <c r="BD709">
        <v>0.76888489208633082</v>
      </c>
      <c r="BE709">
        <v>4</v>
      </c>
      <c r="BF709">
        <v>0.78125631074088098</v>
      </c>
      <c r="BG709">
        <v>0.77</v>
      </c>
      <c r="BH709" t="s">
        <v>86</v>
      </c>
      <c r="BI709">
        <v>0.78</v>
      </c>
      <c r="BJ709" t="s">
        <v>86</v>
      </c>
      <c r="BK709" s="2">
        <f t="shared" si="23"/>
        <v>-1.0000000000000009E-2</v>
      </c>
      <c r="BL709" t="b">
        <f t="shared" si="24"/>
        <v>1</v>
      </c>
    </row>
    <row r="710" spans="1:64" x14ac:dyDescent="0.35">
      <c r="A710" t="s">
        <v>1926</v>
      </c>
      <c r="B710" t="s">
        <v>1927</v>
      </c>
      <c r="C710">
        <v>2014</v>
      </c>
      <c r="D710" t="s">
        <v>1928</v>
      </c>
      <c r="E710" t="s">
        <v>1929</v>
      </c>
      <c r="F710" t="s">
        <v>66</v>
      </c>
      <c r="G710" t="s">
        <v>101</v>
      </c>
      <c r="H710" t="s">
        <v>170</v>
      </c>
      <c r="I710" t="s">
        <v>170</v>
      </c>
      <c r="J710" t="s">
        <v>70</v>
      </c>
      <c r="L710">
        <v>4</v>
      </c>
      <c r="M710" t="b">
        <v>0</v>
      </c>
      <c r="N710">
        <v>2</v>
      </c>
      <c r="O710">
        <v>1</v>
      </c>
      <c r="P710">
        <v>4</v>
      </c>
      <c r="Q710">
        <v>4</v>
      </c>
      <c r="R710">
        <v>0</v>
      </c>
      <c r="S710">
        <v>4</v>
      </c>
      <c r="T710">
        <v>26</v>
      </c>
      <c r="U710">
        <v>403</v>
      </c>
      <c r="V710">
        <v>96</v>
      </c>
      <c r="W710">
        <v>20</v>
      </c>
      <c r="X710">
        <v>4.8</v>
      </c>
      <c r="Y710">
        <v>2</v>
      </c>
      <c r="Z710">
        <v>34</v>
      </c>
      <c r="AA710">
        <v>0</v>
      </c>
      <c r="AB710">
        <v>0</v>
      </c>
      <c r="AC710">
        <v>2</v>
      </c>
      <c r="AD710">
        <v>2</v>
      </c>
      <c r="AE710">
        <v>40</v>
      </c>
      <c r="AF710">
        <v>1</v>
      </c>
      <c r="AG710">
        <v>6</v>
      </c>
      <c r="AH710">
        <v>2</v>
      </c>
      <c r="AI710">
        <v>23</v>
      </c>
      <c r="AJ710">
        <v>1</v>
      </c>
      <c r="AK710">
        <v>7</v>
      </c>
      <c r="AL710">
        <v>3</v>
      </c>
      <c r="AM710">
        <v>30</v>
      </c>
      <c r="AN710">
        <v>3</v>
      </c>
      <c r="AO710">
        <v>40</v>
      </c>
      <c r="AP710">
        <v>4</v>
      </c>
      <c r="AQ710">
        <v>74</v>
      </c>
      <c r="AR710">
        <v>8.4367245657568243E-2</v>
      </c>
      <c r="AS710">
        <v>0</v>
      </c>
      <c r="AT710">
        <v>9.9255583126550875E-2</v>
      </c>
      <c r="AU710">
        <v>1.488833746898263E-2</v>
      </c>
      <c r="AV710">
        <v>5.7071960297766747E-2</v>
      </c>
      <c r="AW710">
        <v>7.4441687344913146E-2</v>
      </c>
      <c r="AX710">
        <v>9.9255583126550875E-2</v>
      </c>
      <c r="AY710">
        <v>0.18362282878411909</v>
      </c>
      <c r="AZ710">
        <v>2.4813895781637729E-2</v>
      </c>
      <c r="BA710">
        <v>0.5</v>
      </c>
      <c r="BB710">
        <v>0.6333333333333333</v>
      </c>
      <c r="BC710">
        <v>0.26666666666666672</v>
      </c>
      <c r="BD710">
        <v>0.64050868486352353</v>
      </c>
      <c r="BE710">
        <v>4</v>
      </c>
      <c r="BF710">
        <v>0.51012717121588091</v>
      </c>
      <c r="BG710">
        <v>0.51</v>
      </c>
      <c r="BH710" t="s">
        <v>71</v>
      </c>
      <c r="BI710">
        <v>0.51</v>
      </c>
      <c r="BJ710" t="s">
        <v>71</v>
      </c>
      <c r="BK710" s="2">
        <f t="shared" si="23"/>
        <v>0</v>
      </c>
      <c r="BL710" t="b">
        <f t="shared" si="24"/>
        <v>1</v>
      </c>
    </row>
    <row r="711" spans="1:64" x14ac:dyDescent="0.35">
      <c r="A711" t="s">
        <v>1930</v>
      </c>
      <c r="B711" t="s">
        <v>1927</v>
      </c>
      <c r="C711">
        <v>2015</v>
      </c>
      <c r="D711" t="s">
        <v>1928</v>
      </c>
      <c r="E711" t="s">
        <v>1929</v>
      </c>
      <c r="F711" t="s">
        <v>66</v>
      </c>
      <c r="G711" t="s">
        <v>101</v>
      </c>
      <c r="H711" t="s">
        <v>170</v>
      </c>
      <c r="I711" t="s">
        <v>170</v>
      </c>
      <c r="J711" t="s">
        <v>70</v>
      </c>
      <c r="L711">
        <v>4</v>
      </c>
      <c r="M711" t="b">
        <v>0</v>
      </c>
      <c r="N711">
        <v>2</v>
      </c>
      <c r="O711">
        <v>1</v>
      </c>
      <c r="P711">
        <v>4</v>
      </c>
      <c r="Q711">
        <v>5</v>
      </c>
      <c r="R711">
        <v>-1</v>
      </c>
      <c r="S711">
        <v>4</v>
      </c>
      <c r="T711">
        <v>30</v>
      </c>
      <c r="U711">
        <v>575</v>
      </c>
      <c r="V711">
        <v>98</v>
      </c>
      <c r="W711">
        <v>22</v>
      </c>
      <c r="X711">
        <v>4.4545454545454541</v>
      </c>
      <c r="Y711">
        <v>1</v>
      </c>
      <c r="Z711">
        <v>26</v>
      </c>
      <c r="AA711">
        <v>0</v>
      </c>
      <c r="AB711">
        <v>0</v>
      </c>
      <c r="AC711">
        <v>1</v>
      </c>
      <c r="AD711">
        <v>1</v>
      </c>
      <c r="AE711">
        <v>42</v>
      </c>
      <c r="AF711">
        <v>2</v>
      </c>
      <c r="AG711">
        <v>7</v>
      </c>
      <c r="AH711">
        <v>3</v>
      </c>
      <c r="AI711">
        <v>73</v>
      </c>
      <c r="AJ711">
        <v>2</v>
      </c>
      <c r="AK711">
        <v>24</v>
      </c>
      <c r="AL711">
        <v>5</v>
      </c>
      <c r="AM711">
        <v>97</v>
      </c>
      <c r="AN711">
        <v>3</v>
      </c>
      <c r="AO711">
        <v>33</v>
      </c>
      <c r="AP711">
        <v>2</v>
      </c>
      <c r="AQ711">
        <v>68</v>
      </c>
      <c r="AR711">
        <v>4.5217391304347827E-2</v>
      </c>
      <c r="AS711">
        <v>0</v>
      </c>
      <c r="AT711">
        <v>7.3043478260869571E-2</v>
      </c>
      <c r="AU711">
        <v>1.2173913043478261E-2</v>
      </c>
      <c r="AV711">
        <v>0.12695652173913041</v>
      </c>
      <c r="AW711">
        <v>0.16869565217391311</v>
      </c>
      <c r="AX711">
        <v>5.7391304347826078E-2</v>
      </c>
      <c r="AY711">
        <v>0.11826086956521741</v>
      </c>
      <c r="AZ711">
        <v>-0.111304347826087</v>
      </c>
      <c r="BA711">
        <v>0.5</v>
      </c>
      <c r="BB711">
        <v>0.57575757575757569</v>
      </c>
      <c r="BC711">
        <v>0.1333333333333333</v>
      </c>
      <c r="BD711">
        <v>0.55543478260869561</v>
      </c>
      <c r="BE711">
        <v>4</v>
      </c>
      <c r="BF711">
        <v>0.44113142292490121</v>
      </c>
      <c r="BG711">
        <v>0.45</v>
      </c>
      <c r="BH711" t="s">
        <v>71</v>
      </c>
      <c r="BI711">
        <v>0.44</v>
      </c>
      <c r="BJ711" t="s">
        <v>71</v>
      </c>
      <c r="BK711" s="2">
        <f t="shared" si="23"/>
        <v>1.0000000000000009E-2</v>
      </c>
      <c r="BL711" t="b">
        <f t="shared" si="24"/>
        <v>1</v>
      </c>
    </row>
    <row r="712" spans="1:64" x14ac:dyDescent="0.35">
      <c r="A712" t="s">
        <v>1931</v>
      </c>
      <c r="B712" t="s">
        <v>1927</v>
      </c>
      <c r="C712">
        <v>2016</v>
      </c>
      <c r="D712" t="s">
        <v>1928</v>
      </c>
      <c r="E712" t="s">
        <v>1929</v>
      </c>
      <c r="F712" t="s">
        <v>66</v>
      </c>
      <c r="G712" t="s">
        <v>101</v>
      </c>
      <c r="H712" t="s">
        <v>170</v>
      </c>
      <c r="I712" t="s">
        <v>170</v>
      </c>
      <c r="J712" t="s">
        <v>70</v>
      </c>
      <c r="L712">
        <v>4</v>
      </c>
      <c r="M712" t="b">
        <v>0</v>
      </c>
      <c r="N712">
        <v>3</v>
      </c>
      <c r="O712">
        <v>3</v>
      </c>
      <c r="P712">
        <v>5</v>
      </c>
      <c r="Q712">
        <v>3</v>
      </c>
      <c r="R712">
        <v>2</v>
      </c>
      <c r="S712">
        <v>4</v>
      </c>
      <c r="T712">
        <v>20</v>
      </c>
      <c r="U712">
        <v>216</v>
      </c>
      <c r="V712">
        <v>72</v>
      </c>
      <c r="W712">
        <v>14</v>
      </c>
      <c r="X712">
        <v>5.1428571428571432</v>
      </c>
      <c r="Y712">
        <v>3</v>
      </c>
      <c r="Z712">
        <v>53</v>
      </c>
      <c r="AA712">
        <v>0</v>
      </c>
      <c r="AB712">
        <v>0</v>
      </c>
      <c r="AC712">
        <v>2</v>
      </c>
      <c r="AD712">
        <v>2</v>
      </c>
      <c r="AE712">
        <v>19</v>
      </c>
      <c r="AF712">
        <v>2</v>
      </c>
      <c r="AG712">
        <v>12</v>
      </c>
      <c r="AH712">
        <v>1</v>
      </c>
      <c r="AI712">
        <v>13</v>
      </c>
      <c r="AJ712">
        <v>2</v>
      </c>
      <c r="AK712">
        <v>11</v>
      </c>
      <c r="AL712">
        <v>3</v>
      </c>
      <c r="AM712">
        <v>24</v>
      </c>
      <c r="AN712">
        <v>5</v>
      </c>
      <c r="AO712">
        <v>65</v>
      </c>
      <c r="AP712">
        <v>5</v>
      </c>
      <c r="AQ712">
        <v>72</v>
      </c>
      <c r="AR712">
        <v>0.24537037037037041</v>
      </c>
      <c r="AS712">
        <v>0</v>
      </c>
      <c r="AT712">
        <v>8.7962962962962965E-2</v>
      </c>
      <c r="AU712">
        <v>5.5555555555555552E-2</v>
      </c>
      <c r="AV712">
        <v>6.0185185185185182E-2</v>
      </c>
      <c r="AW712">
        <v>0.1111111111111111</v>
      </c>
      <c r="AX712">
        <v>0.30092592592592587</v>
      </c>
      <c r="AY712">
        <v>0.33333333333333331</v>
      </c>
      <c r="AZ712">
        <v>0.1898148148148148</v>
      </c>
      <c r="BA712">
        <v>0.5</v>
      </c>
      <c r="BB712">
        <v>0.69047619047619058</v>
      </c>
      <c r="BC712">
        <v>0.33333333333333331</v>
      </c>
      <c r="BD712">
        <v>0.7436342592592593</v>
      </c>
      <c r="BE712">
        <v>4</v>
      </c>
      <c r="BF712">
        <v>0.56686094576719581</v>
      </c>
      <c r="BG712">
        <v>0.56999999999999995</v>
      </c>
      <c r="BH712" t="s">
        <v>71</v>
      </c>
      <c r="BI712">
        <v>0.56999999999999995</v>
      </c>
      <c r="BJ712" t="s">
        <v>71</v>
      </c>
      <c r="BK712" s="2">
        <f t="shared" si="23"/>
        <v>0</v>
      </c>
      <c r="BL712" t="b">
        <f t="shared" si="24"/>
        <v>1</v>
      </c>
    </row>
    <row r="713" spans="1:64" x14ac:dyDescent="0.35">
      <c r="A713" t="s">
        <v>1932</v>
      </c>
      <c r="B713" t="s">
        <v>1927</v>
      </c>
      <c r="C713">
        <v>2017</v>
      </c>
      <c r="D713" t="s">
        <v>1928</v>
      </c>
      <c r="E713" t="s">
        <v>1929</v>
      </c>
      <c r="F713" t="s">
        <v>66</v>
      </c>
      <c r="G713" t="s">
        <v>101</v>
      </c>
      <c r="H713" t="s">
        <v>170</v>
      </c>
      <c r="I713" t="s">
        <v>170</v>
      </c>
      <c r="J713" t="s">
        <v>70</v>
      </c>
      <c r="L713">
        <v>4</v>
      </c>
      <c r="M713" t="b">
        <v>0</v>
      </c>
      <c r="N713">
        <v>3</v>
      </c>
      <c r="O713">
        <v>1</v>
      </c>
      <c r="P713">
        <v>4</v>
      </c>
      <c r="Q713">
        <v>4</v>
      </c>
      <c r="R713">
        <v>0</v>
      </c>
      <c r="S713">
        <v>4</v>
      </c>
      <c r="T713">
        <v>22</v>
      </c>
      <c r="U713">
        <v>121</v>
      </c>
      <c r="V713">
        <v>77</v>
      </c>
      <c r="W713">
        <v>16</v>
      </c>
      <c r="X713">
        <v>4.8125</v>
      </c>
      <c r="Y713">
        <v>2</v>
      </c>
      <c r="Z713">
        <v>9</v>
      </c>
      <c r="AA713">
        <v>0</v>
      </c>
      <c r="AB713">
        <v>0</v>
      </c>
      <c r="AC713">
        <v>1</v>
      </c>
      <c r="AD713">
        <v>1</v>
      </c>
      <c r="AE713">
        <v>13</v>
      </c>
      <c r="AF713">
        <v>2</v>
      </c>
      <c r="AG713">
        <v>10</v>
      </c>
      <c r="AH713">
        <v>4</v>
      </c>
      <c r="AI713">
        <v>21</v>
      </c>
      <c r="AJ713">
        <v>1</v>
      </c>
      <c r="AK713">
        <v>1</v>
      </c>
      <c r="AL713">
        <v>5</v>
      </c>
      <c r="AM713">
        <v>22</v>
      </c>
      <c r="AN713">
        <v>4</v>
      </c>
      <c r="AO713">
        <v>19</v>
      </c>
      <c r="AP713">
        <v>3</v>
      </c>
      <c r="AQ713">
        <v>22</v>
      </c>
      <c r="AR713">
        <v>7.43801652892562E-2</v>
      </c>
      <c r="AS713">
        <v>0</v>
      </c>
      <c r="AT713">
        <v>0.1074380165289256</v>
      </c>
      <c r="AU713">
        <v>8.2644628099173556E-2</v>
      </c>
      <c r="AV713">
        <v>0.1735537190082645</v>
      </c>
      <c r="AW713">
        <v>0.1818181818181818</v>
      </c>
      <c r="AX713">
        <v>0.15702479338842981</v>
      </c>
      <c r="AY713">
        <v>0.1818181818181818</v>
      </c>
      <c r="AZ713">
        <v>-2.479338842975207E-2</v>
      </c>
      <c r="BA713">
        <v>0.5</v>
      </c>
      <c r="BB713">
        <v>0.63541666666666663</v>
      </c>
      <c r="BC713">
        <v>0.2</v>
      </c>
      <c r="BD713">
        <v>0.60950413223140487</v>
      </c>
      <c r="BE713">
        <v>4</v>
      </c>
      <c r="BF713">
        <v>0.48623019972451792</v>
      </c>
      <c r="BG713">
        <v>0.51</v>
      </c>
      <c r="BH713" t="s">
        <v>71</v>
      </c>
      <c r="BI713">
        <v>0.49</v>
      </c>
      <c r="BJ713" t="s">
        <v>71</v>
      </c>
      <c r="BK713" s="2">
        <f t="shared" si="23"/>
        <v>2.0000000000000018E-2</v>
      </c>
      <c r="BL713" t="b">
        <f t="shared" si="24"/>
        <v>1</v>
      </c>
    </row>
    <row r="714" spans="1:64" x14ac:dyDescent="0.35">
      <c r="A714" t="s">
        <v>1933</v>
      </c>
      <c r="B714" t="s">
        <v>1927</v>
      </c>
      <c r="C714">
        <v>2020</v>
      </c>
      <c r="D714" t="s">
        <v>1928</v>
      </c>
      <c r="E714" t="s">
        <v>1929</v>
      </c>
      <c r="F714" t="s">
        <v>66</v>
      </c>
      <c r="G714" t="s">
        <v>101</v>
      </c>
      <c r="H714" t="s">
        <v>170</v>
      </c>
      <c r="I714" t="s">
        <v>170</v>
      </c>
      <c r="J714" t="s">
        <v>70</v>
      </c>
      <c r="L714">
        <v>4</v>
      </c>
      <c r="M714" t="b">
        <v>0</v>
      </c>
      <c r="N714">
        <v>3</v>
      </c>
      <c r="O714">
        <v>1</v>
      </c>
      <c r="P714">
        <v>2</v>
      </c>
      <c r="Q714">
        <v>2</v>
      </c>
      <c r="R714">
        <v>0</v>
      </c>
      <c r="S714">
        <v>4</v>
      </c>
      <c r="T714">
        <v>15</v>
      </c>
      <c r="U714">
        <v>337</v>
      </c>
      <c r="V714">
        <v>40</v>
      </c>
      <c r="W714">
        <v>9</v>
      </c>
      <c r="X714">
        <v>4.4444444444444446</v>
      </c>
      <c r="Y714">
        <v>2</v>
      </c>
      <c r="Z714">
        <v>72</v>
      </c>
      <c r="AA714">
        <v>0</v>
      </c>
      <c r="AB714">
        <v>0</v>
      </c>
      <c r="AC714">
        <v>1</v>
      </c>
      <c r="AD714">
        <v>1</v>
      </c>
      <c r="AE714">
        <v>36</v>
      </c>
      <c r="AF714">
        <v>0</v>
      </c>
      <c r="AG714">
        <v>0</v>
      </c>
      <c r="AH714">
        <v>3</v>
      </c>
      <c r="AI714">
        <v>80</v>
      </c>
      <c r="AJ714">
        <v>2</v>
      </c>
      <c r="AK714">
        <v>12</v>
      </c>
      <c r="AL714">
        <v>5</v>
      </c>
      <c r="AM714">
        <v>92</v>
      </c>
      <c r="AN714">
        <v>2</v>
      </c>
      <c r="AO714">
        <v>72</v>
      </c>
      <c r="AP714">
        <v>3</v>
      </c>
      <c r="AQ714">
        <v>108</v>
      </c>
      <c r="AR714">
        <v>0.2136498516320475</v>
      </c>
      <c r="AS714">
        <v>0</v>
      </c>
      <c r="AT714">
        <v>0.10682492581602369</v>
      </c>
      <c r="AU714">
        <v>0</v>
      </c>
      <c r="AV714">
        <v>0.23738872403560829</v>
      </c>
      <c r="AW714">
        <v>0.27299703264094949</v>
      </c>
      <c r="AX714">
        <v>0.2136498516320475</v>
      </c>
      <c r="AY714">
        <v>0.32047477744807118</v>
      </c>
      <c r="AZ714">
        <v>-5.9347181008902072E-2</v>
      </c>
      <c r="BA714">
        <v>0.5</v>
      </c>
      <c r="BB714">
        <v>0.57407407407407407</v>
      </c>
      <c r="BC714">
        <v>0.2</v>
      </c>
      <c r="BD714">
        <v>0.58790801186943609</v>
      </c>
      <c r="BE714">
        <v>4</v>
      </c>
      <c r="BF714">
        <v>0.46549552148587747</v>
      </c>
      <c r="BG714">
        <v>0.48</v>
      </c>
      <c r="BH714" t="s">
        <v>71</v>
      </c>
      <c r="BI714">
        <v>0.47</v>
      </c>
      <c r="BJ714" t="s">
        <v>71</v>
      </c>
      <c r="BK714" s="2">
        <f t="shared" si="23"/>
        <v>1.0000000000000009E-2</v>
      </c>
      <c r="BL714" t="b">
        <f t="shared" si="24"/>
        <v>1</v>
      </c>
    </row>
    <row r="715" spans="1:64" x14ac:dyDescent="0.35">
      <c r="A715" t="s">
        <v>1934</v>
      </c>
      <c r="B715" t="s">
        <v>1935</v>
      </c>
      <c r="C715">
        <v>2015</v>
      </c>
      <c r="D715" t="s">
        <v>1936</v>
      </c>
      <c r="E715" t="s">
        <v>1937</v>
      </c>
      <c r="F715" t="s">
        <v>66</v>
      </c>
      <c r="G715" t="s">
        <v>101</v>
      </c>
      <c r="H715" t="s">
        <v>102</v>
      </c>
      <c r="I715" t="s">
        <v>102</v>
      </c>
      <c r="J715" t="s">
        <v>70</v>
      </c>
      <c r="L715">
        <v>5</v>
      </c>
      <c r="M715" t="b">
        <v>0</v>
      </c>
      <c r="N715">
        <v>1</v>
      </c>
      <c r="O715">
        <v>1</v>
      </c>
      <c r="P715">
        <v>11</v>
      </c>
      <c r="Q715">
        <v>4</v>
      </c>
      <c r="R715">
        <v>7</v>
      </c>
      <c r="S715">
        <v>5</v>
      </c>
      <c r="T715">
        <v>39</v>
      </c>
      <c r="U715">
        <v>364</v>
      </c>
      <c r="V715">
        <v>170</v>
      </c>
      <c r="W715">
        <v>30</v>
      </c>
      <c r="X715">
        <v>5.666666666666667</v>
      </c>
      <c r="Y715">
        <v>2</v>
      </c>
      <c r="Z715">
        <v>19</v>
      </c>
      <c r="AA715">
        <v>0</v>
      </c>
      <c r="AB715">
        <v>0</v>
      </c>
      <c r="AC715">
        <v>1</v>
      </c>
      <c r="AD715">
        <v>1</v>
      </c>
      <c r="AE715">
        <v>3</v>
      </c>
      <c r="AF715">
        <v>2</v>
      </c>
      <c r="AG715">
        <v>7</v>
      </c>
      <c r="AH715">
        <v>2</v>
      </c>
      <c r="AI715">
        <v>20</v>
      </c>
      <c r="AJ715">
        <v>2</v>
      </c>
      <c r="AK715">
        <v>7</v>
      </c>
      <c r="AL715">
        <v>4</v>
      </c>
      <c r="AM715">
        <v>27</v>
      </c>
      <c r="AN715">
        <v>4</v>
      </c>
      <c r="AO715">
        <v>26</v>
      </c>
      <c r="AP715">
        <v>3</v>
      </c>
      <c r="AQ715">
        <v>22</v>
      </c>
      <c r="AR715">
        <v>5.21978021978022E-2</v>
      </c>
      <c r="AS715">
        <v>0</v>
      </c>
      <c r="AT715">
        <v>8.241758241758242E-3</v>
      </c>
      <c r="AU715">
        <v>1.9230769230769228E-2</v>
      </c>
      <c r="AV715">
        <v>5.4945054945054937E-2</v>
      </c>
      <c r="AW715">
        <v>7.4175824175824176E-2</v>
      </c>
      <c r="AX715">
        <v>7.1428571428571425E-2</v>
      </c>
      <c r="AY715">
        <v>6.043956043956044E-2</v>
      </c>
      <c r="AZ715">
        <v>-2.7472527472527509E-3</v>
      </c>
      <c r="BA715">
        <v>0.66666666666666663</v>
      </c>
      <c r="BB715">
        <v>0.77777777777777779</v>
      </c>
      <c r="BC715">
        <v>0.2</v>
      </c>
      <c r="BD715">
        <v>0.62328296703296704</v>
      </c>
      <c r="BE715">
        <v>4</v>
      </c>
      <c r="BF715">
        <v>0.56693185286935288</v>
      </c>
      <c r="BG715">
        <v>0.56999999999999995</v>
      </c>
      <c r="BH715" t="s">
        <v>71</v>
      </c>
      <c r="BI715">
        <v>0.56999999999999995</v>
      </c>
      <c r="BJ715" t="s">
        <v>71</v>
      </c>
      <c r="BK715" s="2">
        <f t="shared" si="23"/>
        <v>0</v>
      </c>
      <c r="BL715" t="b">
        <f t="shared" si="24"/>
        <v>1</v>
      </c>
    </row>
    <row r="716" spans="1:64" x14ac:dyDescent="0.35">
      <c r="A716" t="s">
        <v>1938</v>
      </c>
      <c r="B716" t="s">
        <v>1935</v>
      </c>
      <c r="C716">
        <v>2019</v>
      </c>
      <c r="D716" t="s">
        <v>1936</v>
      </c>
      <c r="E716" t="s">
        <v>1937</v>
      </c>
      <c r="F716" t="s">
        <v>66</v>
      </c>
      <c r="G716" t="s">
        <v>101</v>
      </c>
      <c r="H716" t="s">
        <v>102</v>
      </c>
      <c r="I716" t="s">
        <v>102</v>
      </c>
      <c r="J716" t="s">
        <v>70</v>
      </c>
      <c r="L716">
        <v>5</v>
      </c>
      <c r="M716" t="b">
        <v>0</v>
      </c>
      <c r="N716">
        <v>1</v>
      </c>
      <c r="O716">
        <v>3</v>
      </c>
      <c r="P716">
        <v>9</v>
      </c>
      <c r="Q716">
        <v>3</v>
      </c>
      <c r="R716">
        <v>6</v>
      </c>
      <c r="S716">
        <v>6</v>
      </c>
      <c r="T716">
        <v>33</v>
      </c>
      <c r="U716">
        <v>714</v>
      </c>
      <c r="V716">
        <v>131</v>
      </c>
      <c r="W716">
        <v>22</v>
      </c>
      <c r="X716">
        <v>5.9545454545454541</v>
      </c>
      <c r="Y716">
        <v>4</v>
      </c>
      <c r="Z716">
        <v>62</v>
      </c>
      <c r="AA716">
        <v>1</v>
      </c>
      <c r="AB716">
        <v>57</v>
      </c>
      <c r="AC716">
        <v>5</v>
      </c>
      <c r="AD716">
        <v>5</v>
      </c>
      <c r="AE716">
        <v>102</v>
      </c>
      <c r="AF716">
        <v>1</v>
      </c>
      <c r="AG716">
        <v>23</v>
      </c>
      <c r="AH716">
        <v>0</v>
      </c>
      <c r="AI716">
        <v>0</v>
      </c>
      <c r="AJ716">
        <v>1</v>
      </c>
      <c r="AK716">
        <v>13</v>
      </c>
      <c r="AL716">
        <v>1</v>
      </c>
      <c r="AM716">
        <v>13</v>
      </c>
      <c r="AN716">
        <v>6</v>
      </c>
      <c r="AO716">
        <v>142</v>
      </c>
      <c r="AP716">
        <v>10</v>
      </c>
      <c r="AQ716">
        <v>221</v>
      </c>
      <c r="AR716">
        <v>8.683473389355742E-2</v>
      </c>
      <c r="AS716">
        <v>7.9831932773109238E-2</v>
      </c>
      <c r="AT716">
        <v>0.14285714285714279</v>
      </c>
      <c r="AU716">
        <v>3.2212885154061621E-2</v>
      </c>
      <c r="AV716">
        <v>0</v>
      </c>
      <c r="AW716">
        <v>1.8207282913165271E-2</v>
      </c>
      <c r="AX716">
        <v>0.19887955182072831</v>
      </c>
      <c r="AY716">
        <v>0.30952380952380948</v>
      </c>
      <c r="AZ716">
        <v>0.18067226890756299</v>
      </c>
      <c r="BA716">
        <v>0.83333333333333337</v>
      </c>
      <c r="BB716">
        <v>0.82575757575757569</v>
      </c>
      <c r="BC716">
        <v>0.66666666666666663</v>
      </c>
      <c r="BD716">
        <v>0.73792016806722682</v>
      </c>
      <c r="BE716">
        <v>4</v>
      </c>
      <c r="BF716">
        <v>0.7659194359562006</v>
      </c>
      <c r="BG716">
        <v>0.77</v>
      </c>
      <c r="BH716" t="s">
        <v>86</v>
      </c>
      <c r="BI716">
        <v>0.77</v>
      </c>
      <c r="BJ716" t="s">
        <v>86</v>
      </c>
      <c r="BK716" s="2">
        <f t="shared" si="23"/>
        <v>0</v>
      </c>
      <c r="BL716" t="b">
        <f t="shared" si="24"/>
        <v>1</v>
      </c>
    </row>
    <row r="717" spans="1:64" x14ac:dyDescent="0.35">
      <c r="A717" t="s">
        <v>1939</v>
      </c>
      <c r="B717" t="s">
        <v>1935</v>
      </c>
      <c r="C717">
        <v>2022</v>
      </c>
      <c r="D717" t="s">
        <v>1936</v>
      </c>
      <c r="E717" t="s">
        <v>1937</v>
      </c>
      <c r="F717" t="s">
        <v>66</v>
      </c>
      <c r="G717" t="s">
        <v>101</v>
      </c>
      <c r="H717" t="s">
        <v>102</v>
      </c>
      <c r="I717" t="s">
        <v>102</v>
      </c>
      <c r="J717" t="s">
        <v>70</v>
      </c>
      <c r="L717">
        <v>5</v>
      </c>
      <c r="M717" t="b">
        <v>0</v>
      </c>
      <c r="N717">
        <v>1</v>
      </c>
      <c r="O717">
        <v>1</v>
      </c>
      <c r="P717">
        <v>7</v>
      </c>
      <c r="Q717">
        <v>1</v>
      </c>
      <c r="R717">
        <v>6</v>
      </c>
      <c r="S717">
        <v>5</v>
      </c>
      <c r="T717">
        <v>36</v>
      </c>
      <c r="U717">
        <v>570</v>
      </c>
      <c r="V717">
        <v>158</v>
      </c>
      <c r="W717">
        <v>26</v>
      </c>
      <c r="X717">
        <v>6.0769230769230766</v>
      </c>
      <c r="Y717">
        <v>8</v>
      </c>
      <c r="Z717">
        <v>126</v>
      </c>
      <c r="AA717">
        <v>0</v>
      </c>
      <c r="AB717">
        <v>0</v>
      </c>
      <c r="AC717">
        <v>3</v>
      </c>
      <c r="AD717">
        <v>3</v>
      </c>
      <c r="AE717">
        <v>68</v>
      </c>
      <c r="AF717">
        <v>2</v>
      </c>
      <c r="AG717">
        <v>17</v>
      </c>
      <c r="AH717">
        <v>2</v>
      </c>
      <c r="AI717">
        <v>51</v>
      </c>
      <c r="AJ717">
        <v>1</v>
      </c>
      <c r="AK717">
        <v>4</v>
      </c>
      <c r="AL717">
        <v>3</v>
      </c>
      <c r="AM717">
        <v>55</v>
      </c>
      <c r="AN717">
        <v>10</v>
      </c>
      <c r="AO717">
        <v>143</v>
      </c>
      <c r="AP717">
        <v>11</v>
      </c>
      <c r="AQ717">
        <v>194</v>
      </c>
      <c r="AR717">
        <v>0.22105263157894739</v>
      </c>
      <c r="AS717">
        <v>0</v>
      </c>
      <c r="AT717">
        <v>0.1192982456140351</v>
      </c>
      <c r="AU717">
        <v>2.9824561403508771E-2</v>
      </c>
      <c r="AV717">
        <v>8.9473684210526316E-2</v>
      </c>
      <c r="AW717">
        <v>9.6491228070175433E-2</v>
      </c>
      <c r="AX717">
        <v>0.25087719298245609</v>
      </c>
      <c r="AY717">
        <v>0.34035087719298251</v>
      </c>
      <c r="AZ717">
        <v>0.15438596491228071</v>
      </c>
      <c r="BA717">
        <v>0.66666666666666663</v>
      </c>
      <c r="BB717">
        <v>0.84615384615384615</v>
      </c>
      <c r="BC717">
        <v>0.73333333333333328</v>
      </c>
      <c r="BD717">
        <v>0.72149122807017541</v>
      </c>
      <c r="BE717">
        <v>4</v>
      </c>
      <c r="BF717">
        <v>0.74191126855600542</v>
      </c>
      <c r="BG717">
        <v>0.75</v>
      </c>
      <c r="BH717" t="s">
        <v>86</v>
      </c>
      <c r="BI717">
        <v>0.74</v>
      </c>
      <c r="BJ717" t="s">
        <v>86</v>
      </c>
      <c r="BK717" s="2">
        <f t="shared" si="23"/>
        <v>1.0000000000000009E-2</v>
      </c>
      <c r="BL717" t="b">
        <f t="shared" si="24"/>
        <v>1</v>
      </c>
    </row>
    <row r="718" spans="1:64" x14ac:dyDescent="0.35">
      <c r="A718" t="s">
        <v>1940</v>
      </c>
      <c r="B718" t="s">
        <v>1941</v>
      </c>
      <c r="C718">
        <v>2016</v>
      </c>
      <c r="D718" t="s">
        <v>1942</v>
      </c>
      <c r="E718" t="s">
        <v>1943</v>
      </c>
      <c r="F718" t="s">
        <v>66</v>
      </c>
      <c r="G718" t="s">
        <v>101</v>
      </c>
      <c r="H718" t="s">
        <v>102</v>
      </c>
      <c r="I718" t="s">
        <v>1944</v>
      </c>
      <c r="J718" t="s">
        <v>70</v>
      </c>
      <c r="L718">
        <v>1</v>
      </c>
      <c r="M718" t="b">
        <v>0</v>
      </c>
      <c r="N718">
        <v>3</v>
      </c>
      <c r="O718">
        <v>1</v>
      </c>
      <c r="P718">
        <v>0</v>
      </c>
      <c r="Q718">
        <v>4</v>
      </c>
      <c r="R718">
        <v>-4</v>
      </c>
      <c r="S718">
        <v>3</v>
      </c>
      <c r="T718">
        <v>7</v>
      </c>
      <c r="U718">
        <v>464</v>
      </c>
      <c r="V718">
        <v>18</v>
      </c>
      <c r="W718">
        <v>6</v>
      </c>
      <c r="X718">
        <v>3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321</v>
      </c>
      <c r="AJ718">
        <v>2</v>
      </c>
      <c r="AK718">
        <v>20</v>
      </c>
      <c r="AL718">
        <v>3</v>
      </c>
      <c r="AM718">
        <v>341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0.69181034482758619</v>
      </c>
      <c r="AW718">
        <v>0.73491379310344829</v>
      </c>
      <c r="AX718">
        <v>0</v>
      </c>
      <c r="AY718">
        <v>0</v>
      </c>
      <c r="AZ718">
        <v>-0.73491379310344829</v>
      </c>
      <c r="BA718">
        <v>0.33333333333333331</v>
      </c>
      <c r="BB718">
        <v>0.33333333333333331</v>
      </c>
      <c r="BC718">
        <v>0</v>
      </c>
      <c r="BD718">
        <v>0.16567887931034481</v>
      </c>
      <c r="BE718">
        <v>4</v>
      </c>
      <c r="BF718">
        <v>0.2080863864942529</v>
      </c>
      <c r="BG718">
        <v>0.32</v>
      </c>
      <c r="BH718" t="s">
        <v>104</v>
      </c>
      <c r="BI718">
        <v>0.21</v>
      </c>
      <c r="BJ718" t="s">
        <v>187</v>
      </c>
      <c r="BK718" s="2">
        <f t="shared" si="23"/>
        <v>0.11000000000000001</v>
      </c>
      <c r="BL718" t="b">
        <f t="shared" si="24"/>
        <v>0</v>
      </c>
    </row>
    <row r="719" spans="1:64" x14ac:dyDescent="0.35">
      <c r="A719" t="s">
        <v>1945</v>
      </c>
      <c r="B719" t="s">
        <v>1941</v>
      </c>
      <c r="C719">
        <v>2019</v>
      </c>
      <c r="D719" t="s">
        <v>1942</v>
      </c>
      <c r="E719" t="s">
        <v>1943</v>
      </c>
      <c r="F719" t="s">
        <v>66</v>
      </c>
      <c r="G719" t="s">
        <v>101</v>
      </c>
      <c r="H719" t="s">
        <v>102</v>
      </c>
      <c r="I719" t="s">
        <v>1944</v>
      </c>
      <c r="J719" t="s">
        <v>70</v>
      </c>
      <c r="L719">
        <v>1</v>
      </c>
      <c r="M719" t="b">
        <v>0</v>
      </c>
      <c r="N719">
        <v>1</v>
      </c>
      <c r="O719">
        <v>1</v>
      </c>
      <c r="P719">
        <v>6</v>
      </c>
      <c r="Q719">
        <v>4</v>
      </c>
      <c r="R719">
        <v>2</v>
      </c>
      <c r="S719">
        <v>4</v>
      </c>
      <c r="T719">
        <v>33</v>
      </c>
      <c r="U719">
        <v>868</v>
      </c>
      <c r="V719">
        <v>108</v>
      </c>
      <c r="W719">
        <v>21</v>
      </c>
      <c r="X719">
        <v>5.1428571428571432</v>
      </c>
      <c r="Y719">
        <v>4</v>
      </c>
      <c r="Z719">
        <v>327</v>
      </c>
      <c r="AA719">
        <v>0</v>
      </c>
      <c r="AB719">
        <v>0</v>
      </c>
      <c r="AC719">
        <v>6</v>
      </c>
      <c r="AD719">
        <v>6</v>
      </c>
      <c r="AE719">
        <v>184</v>
      </c>
      <c r="AF719">
        <v>2</v>
      </c>
      <c r="AG719">
        <v>12</v>
      </c>
      <c r="AH719">
        <v>0</v>
      </c>
      <c r="AI719">
        <v>0</v>
      </c>
      <c r="AJ719">
        <v>2</v>
      </c>
      <c r="AK719">
        <v>20</v>
      </c>
      <c r="AL719">
        <v>2</v>
      </c>
      <c r="AM719">
        <v>20</v>
      </c>
      <c r="AN719">
        <v>6</v>
      </c>
      <c r="AO719">
        <v>339</v>
      </c>
      <c r="AP719">
        <v>10</v>
      </c>
      <c r="AQ719">
        <v>511</v>
      </c>
      <c r="AR719">
        <v>0.37672811059907829</v>
      </c>
      <c r="AS719">
        <v>0</v>
      </c>
      <c r="AT719">
        <v>0.2119815668202765</v>
      </c>
      <c r="AU719">
        <v>1.3824884792626731E-2</v>
      </c>
      <c r="AV719">
        <v>0</v>
      </c>
      <c r="AW719">
        <v>2.3041474654377881E-2</v>
      </c>
      <c r="AX719">
        <v>0.39055299539170513</v>
      </c>
      <c r="AY719">
        <v>0.58870967741935487</v>
      </c>
      <c r="AZ719">
        <v>0.36751152073732718</v>
      </c>
      <c r="BA719">
        <v>0.5</v>
      </c>
      <c r="BB719">
        <v>0.69047619047619058</v>
      </c>
      <c r="BC719">
        <v>0.66666666666666663</v>
      </c>
      <c r="BD719">
        <v>0.8546947004608294</v>
      </c>
      <c r="BE719">
        <v>4</v>
      </c>
      <c r="BF719">
        <v>0.67795938940092171</v>
      </c>
      <c r="BG719">
        <v>0.68</v>
      </c>
      <c r="BH719" t="s">
        <v>86</v>
      </c>
      <c r="BI719">
        <v>0.68</v>
      </c>
      <c r="BJ719" t="s">
        <v>86</v>
      </c>
      <c r="BK719" s="2">
        <f t="shared" si="23"/>
        <v>0</v>
      </c>
      <c r="BL719" t="b">
        <f t="shared" si="24"/>
        <v>1</v>
      </c>
    </row>
    <row r="720" spans="1:64" x14ac:dyDescent="0.35">
      <c r="A720" t="s">
        <v>1946</v>
      </c>
      <c r="B720" t="s">
        <v>1947</v>
      </c>
      <c r="C720">
        <v>2016</v>
      </c>
      <c r="D720" t="s">
        <v>1948</v>
      </c>
      <c r="E720" t="s">
        <v>1949</v>
      </c>
      <c r="F720" t="s">
        <v>66</v>
      </c>
      <c r="G720" t="s">
        <v>101</v>
      </c>
      <c r="H720" t="s">
        <v>102</v>
      </c>
      <c r="I720" t="s">
        <v>1950</v>
      </c>
      <c r="J720" t="s">
        <v>70</v>
      </c>
      <c r="L720">
        <v>2</v>
      </c>
      <c r="M720" t="b">
        <v>0</v>
      </c>
      <c r="N720">
        <v>1</v>
      </c>
      <c r="O720">
        <v>2</v>
      </c>
      <c r="P720">
        <v>8</v>
      </c>
      <c r="Q720">
        <v>3</v>
      </c>
      <c r="R720">
        <v>5</v>
      </c>
      <c r="S720">
        <v>6</v>
      </c>
      <c r="T720">
        <v>35</v>
      </c>
      <c r="U720">
        <v>309</v>
      </c>
      <c r="V720">
        <v>151</v>
      </c>
      <c r="W720">
        <v>26</v>
      </c>
      <c r="X720">
        <v>5.8076923076923066</v>
      </c>
      <c r="Y720">
        <v>3</v>
      </c>
      <c r="Z720">
        <v>36</v>
      </c>
      <c r="AA720">
        <v>0</v>
      </c>
      <c r="AB720">
        <v>0</v>
      </c>
      <c r="AC720">
        <v>2</v>
      </c>
      <c r="AD720">
        <v>2</v>
      </c>
      <c r="AE720">
        <v>26</v>
      </c>
      <c r="AF720">
        <v>1</v>
      </c>
      <c r="AG720">
        <v>5</v>
      </c>
      <c r="AH720">
        <v>1</v>
      </c>
      <c r="AI720">
        <v>9</v>
      </c>
      <c r="AJ720">
        <v>2</v>
      </c>
      <c r="AK720">
        <v>10</v>
      </c>
      <c r="AL720">
        <v>3</v>
      </c>
      <c r="AM720">
        <v>19</v>
      </c>
      <c r="AN720">
        <v>4</v>
      </c>
      <c r="AO720">
        <v>41</v>
      </c>
      <c r="AP720">
        <v>5</v>
      </c>
      <c r="AQ720">
        <v>62</v>
      </c>
      <c r="AR720">
        <v>0.116504854368932</v>
      </c>
      <c r="AS720">
        <v>0</v>
      </c>
      <c r="AT720">
        <v>8.4142394822006472E-2</v>
      </c>
      <c r="AU720">
        <v>1.6181229773462778E-2</v>
      </c>
      <c r="AV720">
        <v>2.9126213592233011E-2</v>
      </c>
      <c r="AW720">
        <v>6.1488673139158567E-2</v>
      </c>
      <c r="AX720">
        <v>0.1326860841423948</v>
      </c>
      <c r="AY720">
        <v>0.20064724919093849</v>
      </c>
      <c r="AZ720">
        <v>7.1197411003236261E-2</v>
      </c>
      <c r="BA720">
        <v>0.83333333333333337</v>
      </c>
      <c r="BB720">
        <v>0.8012820512820511</v>
      </c>
      <c r="BC720">
        <v>0.33333333333333331</v>
      </c>
      <c r="BD720">
        <v>0.6694983818770226</v>
      </c>
      <c r="BE720">
        <v>4</v>
      </c>
      <c r="BF720">
        <v>0.65936177495643511</v>
      </c>
      <c r="BG720">
        <v>0.66</v>
      </c>
      <c r="BH720" t="s">
        <v>86</v>
      </c>
      <c r="BI720">
        <v>0.66</v>
      </c>
      <c r="BJ720" t="s">
        <v>86</v>
      </c>
      <c r="BK720" s="2">
        <f t="shared" si="23"/>
        <v>0</v>
      </c>
      <c r="BL720" t="b">
        <f t="shared" si="24"/>
        <v>1</v>
      </c>
    </row>
    <row r="721" spans="1:64" x14ac:dyDescent="0.35">
      <c r="A721" t="s">
        <v>1951</v>
      </c>
      <c r="B721" t="s">
        <v>1947</v>
      </c>
      <c r="C721">
        <v>2020</v>
      </c>
      <c r="D721" t="s">
        <v>1948</v>
      </c>
      <c r="E721" t="s">
        <v>1949</v>
      </c>
      <c r="F721" t="s">
        <v>66</v>
      </c>
      <c r="G721" t="s">
        <v>101</v>
      </c>
      <c r="H721" t="s">
        <v>102</v>
      </c>
      <c r="I721" t="s">
        <v>1950</v>
      </c>
      <c r="J721" t="s">
        <v>70</v>
      </c>
      <c r="L721">
        <v>2</v>
      </c>
      <c r="M721" t="b">
        <v>0</v>
      </c>
      <c r="N721">
        <v>1</v>
      </c>
      <c r="O721">
        <v>2</v>
      </c>
      <c r="P721">
        <v>9</v>
      </c>
      <c r="Q721">
        <v>3</v>
      </c>
      <c r="R721">
        <v>6</v>
      </c>
      <c r="S721">
        <v>6</v>
      </c>
      <c r="T721">
        <v>28</v>
      </c>
      <c r="U721">
        <v>461</v>
      </c>
      <c r="V721">
        <v>117</v>
      </c>
      <c r="W721">
        <v>21</v>
      </c>
      <c r="X721">
        <v>5.5714285714285712</v>
      </c>
      <c r="Y721">
        <v>3</v>
      </c>
      <c r="Z721">
        <v>58</v>
      </c>
      <c r="AA721">
        <v>0</v>
      </c>
      <c r="AB721">
        <v>0</v>
      </c>
      <c r="AC721">
        <v>2</v>
      </c>
      <c r="AD721">
        <v>2</v>
      </c>
      <c r="AE721">
        <v>73</v>
      </c>
      <c r="AF721">
        <v>1</v>
      </c>
      <c r="AG721">
        <v>26</v>
      </c>
      <c r="AH721">
        <v>2</v>
      </c>
      <c r="AI721">
        <v>63</v>
      </c>
      <c r="AJ721">
        <v>3</v>
      </c>
      <c r="AK721">
        <v>6</v>
      </c>
      <c r="AL721">
        <v>5</v>
      </c>
      <c r="AM721">
        <v>69</v>
      </c>
      <c r="AN721">
        <v>4</v>
      </c>
      <c r="AO721">
        <v>84</v>
      </c>
      <c r="AP721">
        <v>5</v>
      </c>
      <c r="AQ721">
        <v>131</v>
      </c>
      <c r="AR721">
        <v>0.12581344902386121</v>
      </c>
      <c r="AS721">
        <v>0</v>
      </c>
      <c r="AT721">
        <v>0.15835140997830799</v>
      </c>
      <c r="AU721">
        <v>5.6399132321041212E-2</v>
      </c>
      <c r="AV721">
        <v>0.1366594360086768</v>
      </c>
      <c r="AW721">
        <v>0.14967462039045551</v>
      </c>
      <c r="AX721">
        <v>0.1822125813449024</v>
      </c>
      <c r="AY721">
        <v>0.2841648590021692</v>
      </c>
      <c r="AZ721">
        <v>3.253796095444686E-2</v>
      </c>
      <c r="BA721">
        <v>0.83333333333333337</v>
      </c>
      <c r="BB721">
        <v>0.76190476190476186</v>
      </c>
      <c r="BC721">
        <v>0.33333333333333331</v>
      </c>
      <c r="BD721">
        <v>0.64533622559652926</v>
      </c>
      <c r="BE721">
        <v>4</v>
      </c>
      <c r="BF721">
        <v>0.64347691354198944</v>
      </c>
      <c r="BG721">
        <v>0.66</v>
      </c>
      <c r="BH721" t="s">
        <v>86</v>
      </c>
      <c r="BI721">
        <v>0.64</v>
      </c>
      <c r="BJ721" t="s">
        <v>86</v>
      </c>
      <c r="BK721" s="2">
        <f t="shared" si="23"/>
        <v>2.0000000000000018E-2</v>
      </c>
      <c r="BL721" t="b">
        <f t="shared" si="24"/>
        <v>1</v>
      </c>
    </row>
    <row r="722" spans="1:64" x14ac:dyDescent="0.35">
      <c r="A722" t="s">
        <v>1952</v>
      </c>
      <c r="B722" t="s">
        <v>1953</v>
      </c>
      <c r="C722">
        <v>2014</v>
      </c>
      <c r="D722" t="s">
        <v>1954</v>
      </c>
      <c r="E722" t="s">
        <v>1955</v>
      </c>
      <c r="F722" t="s">
        <v>66</v>
      </c>
      <c r="G722" t="s">
        <v>101</v>
      </c>
      <c r="H722" t="s">
        <v>170</v>
      </c>
      <c r="I722" t="s">
        <v>1673</v>
      </c>
      <c r="J722" t="s">
        <v>70</v>
      </c>
      <c r="L722">
        <v>5</v>
      </c>
      <c r="M722" t="b">
        <v>0</v>
      </c>
      <c r="N722">
        <v>1</v>
      </c>
      <c r="O722">
        <v>2</v>
      </c>
      <c r="P722">
        <v>15</v>
      </c>
      <c r="Q722">
        <v>4</v>
      </c>
      <c r="R722">
        <v>11</v>
      </c>
      <c r="S722">
        <v>7</v>
      </c>
      <c r="T722">
        <v>54</v>
      </c>
      <c r="U722">
        <v>3637</v>
      </c>
      <c r="V722">
        <v>187</v>
      </c>
      <c r="W722">
        <v>30</v>
      </c>
      <c r="X722">
        <v>6.2333333333333334</v>
      </c>
      <c r="Y722">
        <v>18</v>
      </c>
      <c r="Z722">
        <v>892</v>
      </c>
      <c r="AA722">
        <v>2</v>
      </c>
      <c r="AB722">
        <v>131</v>
      </c>
      <c r="AC722">
        <v>2</v>
      </c>
      <c r="AD722">
        <v>2</v>
      </c>
      <c r="AE722">
        <v>126</v>
      </c>
      <c r="AF722">
        <v>4</v>
      </c>
      <c r="AG722">
        <v>73</v>
      </c>
      <c r="AH722">
        <v>0</v>
      </c>
      <c r="AI722">
        <v>0</v>
      </c>
      <c r="AJ722">
        <v>2</v>
      </c>
      <c r="AK722">
        <v>35</v>
      </c>
      <c r="AL722">
        <v>3</v>
      </c>
      <c r="AM722">
        <v>60</v>
      </c>
      <c r="AN722">
        <v>24</v>
      </c>
      <c r="AO722">
        <v>1096</v>
      </c>
      <c r="AP722">
        <v>22</v>
      </c>
      <c r="AQ722">
        <v>1149</v>
      </c>
      <c r="AR722">
        <v>0.24525708001099811</v>
      </c>
      <c r="AS722">
        <v>3.6018696728072577E-2</v>
      </c>
      <c r="AT722">
        <v>3.4643937310970582E-2</v>
      </c>
      <c r="AU722">
        <v>2.0071487489689309E-2</v>
      </c>
      <c r="AV722">
        <v>0</v>
      </c>
      <c r="AW722">
        <v>1.6497113005224089E-2</v>
      </c>
      <c r="AX722">
        <v>0.30134726422876001</v>
      </c>
      <c r="AY722">
        <v>0.31591971405004132</v>
      </c>
      <c r="AZ722">
        <v>0.28485015122353591</v>
      </c>
      <c r="BA722">
        <v>1</v>
      </c>
      <c r="BB722">
        <v>0.87222222222222223</v>
      </c>
      <c r="BC722">
        <v>1.466666666666667</v>
      </c>
      <c r="BD722">
        <v>0.80303134451470992</v>
      </c>
      <c r="BE722">
        <v>4</v>
      </c>
      <c r="BF722">
        <v>1.0354800583509001</v>
      </c>
      <c r="BG722">
        <v>1</v>
      </c>
      <c r="BH722" t="s">
        <v>164</v>
      </c>
      <c r="BI722">
        <v>1</v>
      </c>
      <c r="BJ722" t="s">
        <v>164</v>
      </c>
      <c r="BK722" s="2">
        <f t="shared" si="23"/>
        <v>0</v>
      </c>
      <c r="BL722" t="b">
        <f t="shared" si="24"/>
        <v>1</v>
      </c>
    </row>
    <row r="723" spans="1:64" x14ac:dyDescent="0.35">
      <c r="A723" t="s">
        <v>1956</v>
      </c>
      <c r="B723" t="s">
        <v>1953</v>
      </c>
      <c r="C723">
        <v>2015</v>
      </c>
      <c r="D723" t="s">
        <v>1954</v>
      </c>
      <c r="E723" t="s">
        <v>1955</v>
      </c>
      <c r="F723" t="s">
        <v>66</v>
      </c>
      <c r="G723" t="s">
        <v>101</v>
      </c>
      <c r="H723" t="s">
        <v>170</v>
      </c>
      <c r="I723" t="s">
        <v>1673</v>
      </c>
      <c r="J723" t="s">
        <v>70</v>
      </c>
      <c r="L723">
        <v>5</v>
      </c>
      <c r="M723" t="b">
        <v>0</v>
      </c>
      <c r="N723">
        <v>1</v>
      </c>
      <c r="O723">
        <v>3</v>
      </c>
      <c r="P723">
        <v>14</v>
      </c>
      <c r="Q723">
        <v>4</v>
      </c>
      <c r="R723">
        <v>10</v>
      </c>
      <c r="S723">
        <v>7</v>
      </c>
      <c r="T723">
        <v>41</v>
      </c>
      <c r="U723">
        <v>736</v>
      </c>
      <c r="V723">
        <v>187</v>
      </c>
      <c r="W723">
        <v>32</v>
      </c>
      <c r="X723">
        <v>5.84375</v>
      </c>
      <c r="Y723">
        <v>6</v>
      </c>
      <c r="Z723">
        <v>49</v>
      </c>
      <c r="AA723">
        <v>3</v>
      </c>
      <c r="AB723">
        <v>14</v>
      </c>
      <c r="AC723">
        <v>5</v>
      </c>
      <c r="AD723">
        <v>5</v>
      </c>
      <c r="AE723">
        <v>68</v>
      </c>
      <c r="AF723">
        <v>1</v>
      </c>
      <c r="AG723">
        <v>13</v>
      </c>
      <c r="AH723">
        <v>0</v>
      </c>
      <c r="AI723">
        <v>0</v>
      </c>
      <c r="AJ723">
        <v>3</v>
      </c>
      <c r="AK723">
        <v>11</v>
      </c>
      <c r="AL723">
        <v>3</v>
      </c>
      <c r="AM723">
        <v>11</v>
      </c>
      <c r="AN723">
        <v>10</v>
      </c>
      <c r="AO723">
        <v>76</v>
      </c>
      <c r="AP723">
        <v>14</v>
      </c>
      <c r="AQ723">
        <v>131</v>
      </c>
      <c r="AR723">
        <v>6.6576086956521743E-2</v>
      </c>
      <c r="AS723">
        <v>1.902173913043478E-2</v>
      </c>
      <c r="AT723">
        <v>9.2391304347826081E-2</v>
      </c>
      <c r="AU723">
        <v>1.7663043478260872E-2</v>
      </c>
      <c r="AV723">
        <v>0</v>
      </c>
      <c r="AW723">
        <v>1.494565217391304E-2</v>
      </c>
      <c r="AX723">
        <v>0.10326086956521741</v>
      </c>
      <c r="AY723">
        <v>0.17798913043478259</v>
      </c>
      <c r="AZ723">
        <v>8.8315217391304351E-2</v>
      </c>
      <c r="BA723">
        <v>1</v>
      </c>
      <c r="BB723">
        <v>0.80729166666666663</v>
      </c>
      <c r="BC723">
        <v>0.93333333333333335</v>
      </c>
      <c r="BD723">
        <v>0.68019701086956519</v>
      </c>
      <c r="BE723">
        <v>4</v>
      </c>
      <c r="BF723">
        <v>0.85520550271739126</v>
      </c>
      <c r="BG723">
        <v>0.86</v>
      </c>
      <c r="BH723" t="s">
        <v>164</v>
      </c>
      <c r="BI723">
        <v>0.86</v>
      </c>
      <c r="BJ723" t="s">
        <v>164</v>
      </c>
      <c r="BK723" s="2">
        <f t="shared" si="23"/>
        <v>0</v>
      </c>
      <c r="BL723" t="b">
        <f t="shared" si="24"/>
        <v>1</v>
      </c>
    </row>
    <row r="724" spans="1:64" x14ac:dyDescent="0.35">
      <c r="A724" t="s">
        <v>1957</v>
      </c>
      <c r="B724" t="s">
        <v>1953</v>
      </c>
      <c r="C724">
        <v>2016</v>
      </c>
      <c r="D724" t="s">
        <v>1954</v>
      </c>
      <c r="E724" t="s">
        <v>1955</v>
      </c>
      <c r="F724" t="s">
        <v>66</v>
      </c>
      <c r="G724" t="s">
        <v>101</v>
      </c>
      <c r="H724" t="s">
        <v>170</v>
      </c>
      <c r="I724" t="s">
        <v>1673</v>
      </c>
      <c r="J724" t="s">
        <v>70</v>
      </c>
      <c r="L724">
        <v>5</v>
      </c>
      <c r="M724" t="b">
        <v>0</v>
      </c>
      <c r="N724">
        <v>1</v>
      </c>
      <c r="O724">
        <v>1</v>
      </c>
      <c r="P724">
        <v>9</v>
      </c>
      <c r="Q724">
        <v>3</v>
      </c>
      <c r="R724">
        <v>6</v>
      </c>
      <c r="S724">
        <v>5</v>
      </c>
      <c r="T724">
        <v>31</v>
      </c>
      <c r="U724">
        <v>2527</v>
      </c>
      <c r="V724">
        <v>117</v>
      </c>
      <c r="W724">
        <v>21</v>
      </c>
      <c r="X724">
        <v>5.5714285714285712</v>
      </c>
      <c r="Y724">
        <v>2</v>
      </c>
      <c r="Z724">
        <v>253</v>
      </c>
      <c r="AA724">
        <v>1</v>
      </c>
      <c r="AB724">
        <v>56</v>
      </c>
      <c r="AC724">
        <v>2</v>
      </c>
      <c r="AD724">
        <v>2</v>
      </c>
      <c r="AE724">
        <v>97</v>
      </c>
      <c r="AF724">
        <v>1</v>
      </c>
      <c r="AG724">
        <v>57</v>
      </c>
      <c r="AH724">
        <v>0</v>
      </c>
      <c r="AI724">
        <v>0</v>
      </c>
      <c r="AJ724">
        <v>2</v>
      </c>
      <c r="AK724">
        <v>28</v>
      </c>
      <c r="AL724">
        <v>2</v>
      </c>
      <c r="AM724">
        <v>28</v>
      </c>
      <c r="AN724">
        <v>4</v>
      </c>
      <c r="AO724">
        <v>366</v>
      </c>
      <c r="AP724">
        <v>5</v>
      </c>
      <c r="AQ724">
        <v>406</v>
      </c>
      <c r="AR724">
        <v>0.1001187178472497</v>
      </c>
      <c r="AS724">
        <v>2.2160664819944598E-2</v>
      </c>
      <c r="AT724">
        <v>3.8385437277404039E-2</v>
      </c>
      <c r="AU724">
        <v>2.2556390977443611E-2</v>
      </c>
      <c r="AV724">
        <v>0</v>
      </c>
      <c r="AW724">
        <v>1.1080332409972299E-2</v>
      </c>
      <c r="AX724">
        <v>0.1448357736446379</v>
      </c>
      <c r="AY724">
        <v>0.1606648199445983</v>
      </c>
      <c r="AZ724">
        <v>0.1337554412346656</v>
      </c>
      <c r="BA724">
        <v>0.66666666666666663</v>
      </c>
      <c r="BB724">
        <v>0.76190476190476186</v>
      </c>
      <c r="BC724">
        <v>0.33333333333333331</v>
      </c>
      <c r="BD724">
        <v>0.70859715077166596</v>
      </c>
      <c r="BE724">
        <v>4</v>
      </c>
      <c r="BF724">
        <v>0.61762547816910696</v>
      </c>
      <c r="BG724">
        <v>0.62</v>
      </c>
      <c r="BH724" t="s">
        <v>86</v>
      </c>
      <c r="BI724">
        <v>0.62</v>
      </c>
      <c r="BJ724" t="s">
        <v>86</v>
      </c>
      <c r="BK724" s="2">
        <f t="shared" si="23"/>
        <v>0</v>
      </c>
      <c r="BL724" t="b">
        <f t="shared" si="24"/>
        <v>1</v>
      </c>
    </row>
    <row r="725" spans="1:64" x14ac:dyDescent="0.35">
      <c r="A725" t="s">
        <v>1958</v>
      </c>
      <c r="B725" t="s">
        <v>1953</v>
      </c>
      <c r="C725">
        <v>2017</v>
      </c>
      <c r="D725" t="s">
        <v>1954</v>
      </c>
      <c r="E725" t="s">
        <v>1955</v>
      </c>
      <c r="F725" t="s">
        <v>66</v>
      </c>
      <c r="G725" t="s">
        <v>101</v>
      </c>
      <c r="H725" t="s">
        <v>170</v>
      </c>
      <c r="I725" t="s">
        <v>1673</v>
      </c>
      <c r="J725" t="s">
        <v>70</v>
      </c>
      <c r="L725">
        <v>5</v>
      </c>
      <c r="M725" t="b">
        <v>0</v>
      </c>
      <c r="N725">
        <v>3</v>
      </c>
      <c r="O725">
        <v>2</v>
      </c>
      <c r="P725">
        <v>1</v>
      </c>
      <c r="Q725">
        <v>1</v>
      </c>
      <c r="R725">
        <v>0</v>
      </c>
      <c r="S725">
        <v>4</v>
      </c>
      <c r="T725">
        <v>8</v>
      </c>
      <c r="U725">
        <v>88</v>
      </c>
      <c r="V725">
        <v>26</v>
      </c>
      <c r="W725">
        <v>6</v>
      </c>
      <c r="X725">
        <v>4.333333333333333</v>
      </c>
      <c r="Y725">
        <v>1</v>
      </c>
      <c r="Z725">
        <v>9</v>
      </c>
      <c r="AA725">
        <v>0</v>
      </c>
      <c r="AB725">
        <v>0</v>
      </c>
      <c r="AC725">
        <v>1</v>
      </c>
      <c r="AD725">
        <v>1</v>
      </c>
      <c r="AE725">
        <v>18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7</v>
      </c>
      <c r="AL725">
        <v>1</v>
      </c>
      <c r="AM725">
        <v>7</v>
      </c>
      <c r="AN725">
        <v>1</v>
      </c>
      <c r="AO725">
        <v>9</v>
      </c>
      <c r="AP725">
        <v>2</v>
      </c>
      <c r="AQ725">
        <v>27</v>
      </c>
      <c r="AR725">
        <v>0.10227272727272731</v>
      </c>
      <c r="AS725">
        <v>0</v>
      </c>
      <c r="AT725">
        <v>0.20454545454545461</v>
      </c>
      <c r="AU725">
        <v>0</v>
      </c>
      <c r="AV725">
        <v>0</v>
      </c>
      <c r="AW725">
        <v>7.9545454545454544E-2</v>
      </c>
      <c r="AX725">
        <v>0.10227272727272731</v>
      </c>
      <c r="AY725">
        <v>0.30681818181818182</v>
      </c>
      <c r="AZ725">
        <v>2.2727272727272731E-2</v>
      </c>
      <c r="BA725">
        <v>0.5</v>
      </c>
      <c r="BB725">
        <v>0.55555555555555547</v>
      </c>
      <c r="BC725">
        <v>0.1333333333333333</v>
      </c>
      <c r="BD725">
        <v>0.63920454545454541</v>
      </c>
      <c r="BE725">
        <v>4</v>
      </c>
      <c r="BF725">
        <v>0.45702335858585857</v>
      </c>
      <c r="BG725">
        <v>0.46</v>
      </c>
      <c r="BH725" t="s">
        <v>71</v>
      </c>
      <c r="BI725">
        <v>0.46</v>
      </c>
      <c r="BJ725" t="s">
        <v>71</v>
      </c>
      <c r="BK725" s="2">
        <f t="shared" si="23"/>
        <v>0</v>
      </c>
      <c r="BL725" t="b">
        <f t="shared" si="24"/>
        <v>1</v>
      </c>
    </row>
    <row r="726" spans="1:64" x14ac:dyDescent="0.35">
      <c r="A726" t="s">
        <v>1959</v>
      </c>
      <c r="B726" t="s">
        <v>1953</v>
      </c>
      <c r="C726">
        <v>2020</v>
      </c>
      <c r="D726" t="s">
        <v>1954</v>
      </c>
      <c r="E726" t="s">
        <v>1955</v>
      </c>
      <c r="F726" t="s">
        <v>66</v>
      </c>
      <c r="G726" t="s">
        <v>101</v>
      </c>
      <c r="H726" t="s">
        <v>170</v>
      </c>
      <c r="I726" t="s">
        <v>1673</v>
      </c>
      <c r="J726" t="s">
        <v>70</v>
      </c>
      <c r="L726">
        <v>5</v>
      </c>
      <c r="M726" t="b">
        <v>0</v>
      </c>
      <c r="N726">
        <v>1</v>
      </c>
      <c r="O726">
        <v>2</v>
      </c>
      <c r="P726">
        <v>5</v>
      </c>
      <c r="Q726">
        <v>2</v>
      </c>
      <c r="R726">
        <v>3</v>
      </c>
      <c r="S726">
        <v>5</v>
      </c>
      <c r="T726">
        <v>18</v>
      </c>
      <c r="U726">
        <v>347</v>
      </c>
      <c r="V726">
        <v>76</v>
      </c>
      <c r="W726">
        <v>14</v>
      </c>
      <c r="X726">
        <v>5.4285714285714288</v>
      </c>
      <c r="Y726">
        <v>3</v>
      </c>
      <c r="Z726">
        <v>50</v>
      </c>
      <c r="AA726">
        <v>0</v>
      </c>
      <c r="AB726">
        <v>0</v>
      </c>
      <c r="AC726">
        <v>1</v>
      </c>
      <c r="AD726">
        <v>1</v>
      </c>
      <c r="AE726">
        <v>38</v>
      </c>
      <c r="AF726">
        <v>1</v>
      </c>
      <c r="AG726">
        <v>12</v>
      </c>
      <c r="AH726">
        <v>0</v>
      </c>
      <c r="AI726">
        <v>0</v>
      </c>
      <c r="AJ726">
        <v>1</v>
      </c>
      <c r="AK726">
        <v>7</v>
      </c>
      <c r="AL726">
        <v>1</v>
      </c>
      <c r="AM726">
        <v>7</v>
      </c>
      <c r="AN726">
        <v>4</v>
      </c>
      <c r="AO726">
        <v>62</v>
      </c>
      <c r="AP726">
        <v>4</v>
      </c>
      <c r="AQ726">
        <v>88</v>
      </c>
      <c r="AR726">
        <v>0.14409221902017291</v>
      </c>
      <c r="AS726">
        <v>0</v>
      </c>
      <c r="AT726">
        <v>0.1095100864553314</v>
      </c>
      <c r="AU726">
        <v>3.4582132564841501E-2</v>
      </c>
      <c r="AV726">
        <v>0</v>
      </c>
      <c r="AW726">
        <v>2.0172910662824211E-2</v>
      </c>
      <c r="AX726">
        <v>0.17867435158501441</v>
      </c>
      <c r="AY726">
        <v>0.25360230547550427</v>
      </c>
      <c r="AZ726">
        <v>0.15850144092219021</v>
      </c>
      <c r="BA726">
        <v>0.66666666666666663</v>
      </c>
      <c r="BB726">
        <v>0.73809523809523814</v>
      </c>
      <c r="BC726">
        <v>0.26666666666666672</v>
      </c>
      <c r="BD726">
        <v>0.72406340057636875</v>
      </c>
      <c r="BE726">
        <v>4</v>
      </c>
      <c r="BF726">
        <v>0.59887299300123509</v>
      </c>
      <c r="BG726">
        <v>0.6</v>
      </c>
      <c r="BH726" t="s">
        <v>86</v>
      </c>
      <c r="BI726">
        <v>0.6</v>
      </c>
      <c r="BJ726" t="s">
        <v>86</v>
      </c>
      <c r="BK726" s="2">
        <f t="shared" si="23"/>
        <v>0</v>
      </c>
      <c r="BL726" t="b">
        <f t="shared" si="24"/>
        <v>1</v>
      </c>
    </row>
    <row r="727" spans="1:64" x14ac:dyDescent="0.35">
      <c r="A727" t="s">
        <v>1960</v>
      </c>
      <c r="B727" t="s">
        <v>1961</v>
      </c>
      <c r="C727">
        <v>2016</v>
      </c>
      <c r="D727" t="s">
        <v>1962</v>
      </c>
      <c r="E727" t="s">
        <v>1963</v>
      </c>
      <c r="F727" t="s">
        <v>66</v>
      </c>
      <c r="G727" t="s">
        <v>101</v>
      </c>
      <c r="H727" t="s">
        <v>102</v>
      </c>
      <c r="I727" t="s">
        <v>1964</v>
      </c>
      <c r="J727" t="s">
        <v>70</v>
      </c>
      <c r="L727">
        <v>1</v>
      </c>
      <c r="M727" t="b">
        <v>0</v>
      </c>
      <c r="N727">
        <v>4</v>
      </c>
      <c r="O727">
        <v>2</v>
      </c>
      <c r="P727">
        <v>2</v>
      </c>
      <c r="Q727">
        <v>5</v>
      </c>
      <c r="R727">
        <v>-3</v>
      </c>
      <c r="S727">
        <v>3</v>
      </c>
      <c r="T727">
        <v>31</v>
      </c>
      <c r="U727">
        <v>617</v>
      </c>
      <c r="V727">
        <v>63</v>
      </c>
      <c r="W727">
        <v>17</v>
      </c>
      <c r="X727">
        <v>3.7058823529411771</v>
      </c>
      <c r="Y727">
        <v>2</v>
      </c>
      <c r="Z727">
        <v>44</v>
      </c>
      <c r="AA727">
        <v>0</v>
      </c>
      <c r="AB727">
        <v>0</v>
      </c>
      <c r="AC727">
        <v>5</v>
      </c>
      <c r="AD727">
        <v>4</v>
      </c>
      <c r="AE727">
        <v>133</v>
      </c>
      <c r="AF727">
        <v>1</v>
      </c>
      <c r="AG727">
        <v>2</v>
      </c>
      <c r="AH727">
        <v>1</v>
      </c>
      <c r="AI727">
        <v>26</v>
      </c>
      <c r="AJ727">
        <v>4</v>
      </c>
      <c r="AK727">
        <v>53</v>
      </c>
      <c r="AL727">
        <v>5</v>
      </c>
      <c r="AM727">
        <v>79</v>
      </c>
      <c r="AN727">
        <v>3</v>
      </c>
      <c r="AO727">
        <v>46</v>
      </c>
      <c r="AP727">
        <v>6</v>
      </c>
      <c r="AQ727">
        <v>177</v>
      </c>
      <c r="AR727">
        <v>7.1312803889789306E-2</v>
      </c>
      <c r="AS727">
        <v>0</v>
      </c>
      <c r="AT727">
        <v>0.21555915721231769</v>
      </c>
      <c r="AU727">
        <v>3.2414910858995141E-3</v>
      </c>
      <c r="AV727">
        <v>4.2139384116693678E-2</v>
      </c>
      <c r="AW727">
        <v>0.1280388978930308</v>
      </c>
      <c r="AX727">
        <v>7.4554294975688815E-2</v>
      </c>
      <c r="AY727">
        <v>0.28687196110210689</v>
      </c>
      <c r="AZ727">
        <v>-5.3484602917341993E-2</v>
      </c>
      <c r="BA727">
        <v>0.33333333333333331</v>
      </c>
      <c r="BB727">
        <v>0.45098039215686292</v>
      </c>
      <c r="BC727">
        <v>0.4</v>
      </c>
      <c r="BD727">
        <v>0.59157212317666119</v>
      </c>
      <c r="BE727">
        <v>4</v>
      </c>
      <c r="BF727">
        <v>0.44397146216671429</v>
      </c>
      <c r="BG727">
        <v>0.45</v>
      </c>
      <c r="BH727" t="s">
        <v>71</v>
      </c>
      <c r="BI727">
        <v>0.44</v>
      </c>
      <c r="BJ727" t="s">
        <v>71</v>
      </c>
      <c r="BK727" s="2">
        <f t="shared" si="23"/>
        <v>1.0000000000000009E-2</v>
      </c>
      <c r="BL727" t="b">
        <f t="shared" si="24"/>
        <v>1</v>
      </c>
    </row>
    <row r="728" spans="1:64" x14ac:dyDescent="0.35">
      <c r="A728" t="s">
        <v>1965</v>
      </c>
      <c r="B728" t="s">
        <v>1961</v>
      </c>
      <c r="C728">
        <v>2017</v>
      </c>
      <c r="D728" t="s">
        <v>1962</v>
      </c>
      <c r="E728" t="s">
        <v>1963</v>
      </c>
      <c r="F728" t="s">
        <v>66</v>
      </c>
      <c r="G728" t="s">
        <v>101</v>
      </c>
      <c r="H728" t="s">
        <v>102</v>
      </c>
      <c r="I728" t="s">
        <v>1964</v>
      </c>
      <c r="J728" t="s">
        <v>70</v>
      </c>
      <c r="L728">
        <v>1</v>
      </c>
      <c r="M728" t="b">
        <v>0</v>
      </c>
      <c r="N728">
        <v>1</v>
      </c>
      <c r="O728">
        <v>1</v>
      </c>
      <c r="P728">
        <v>5</v>
      </c>
      <c r="Q728">
        <v>3</v>
      </c>
      <c r="R728">
        <v>2</v>
      </c>
      <c r="S728">
        <v>4</v>
      </c>
      <c r="T728">
        <v>22</v>
      </c>
      <c r="U728">
        <v>273</v>
      </c>
      <c r="V728">
        <v>63</v>
      </c>
      <c r="W728">
        <v>13</v>
      </c>
      <c r="X728">
        <v>4.8461538461538458</v>
      </c>
      <c r="Y728">
        <v>1</v>
      </c>
      <c r="Z728">
        <v>16</v>
      </c>
      <c r="AA728">
        <v>0</v>
      </c>
      <c r="AB728">
        <v>0</v>
      </c>
      <c r="AC728">
        <v>1</v>
      </c>
      <c r="AD728">
        <v>1</v>
      </c>
      <c r="AE728">
        <v>1</v>
      </c>
      <c r="AF728">
        <v>0</v>
      </c>
      <c r="AG728">
        <v>0</v>
      </c>
      <c r="AH728">
        <v>1</v>
      </c>
      <c r="AI728">
        <v>12</v>
      </c>
      <c r="AJ728">
        <v>3</v>
      </c>
      <c r="AK728">
        <v>32</v>
      </c>
      <c r="AL728">
        <v>4</v>
      </c>
      <c r="AM728">
        <v>44</v>
      </c>
      <c r="AN728">
        <v>1</v>
      </c>
      <c r="AO728">
        <v>16</v>
      </c>
      <c r="AP728">
        <v>2</v>
      </c>
      <c r="AQ728">
        <v>17</v>
      </c>
      <c r="AR728">
        <v>5.8608058608058608E-2</v>
      </c>
      <c r="AS728">
        <v>0</v>
      </c>
      <c r="AT728">
        <v>3.663003663003663E-3</v>
      </c>
      <c r="AU728">
        <v>0</v>
      </c>
      <c r="AV728">
        <v>4.3956043956043959E-2</v>
      </c>
      <c r="AW728">
        <v>0.16117216117216121</v>
      </c>
      <c r="AX728">
        <v>5.8608058608058608E-2</v>
      </c>
      <c r="AY728">
        <v>6.2271062271062272E-2</v>
      </c>
      <c r="AZ728">
        <v>-0.1025641025641026</v>
      </c>
      <c r="BA728">
        <v>0.5</v>
      </c>
      <c r="BB728">
        <v>0.64102564102564097</v>
      </c>
      <c r="BC728">
        <v>0.1333333333333333</v>
      </c>
      <c r="BD728">
        <v>0.56089743589743579</v>
      </c>
      <c r="BE728">
        <v>4</v>
      </c>
      <c r="BF728">
        <v>0.45881410256410249</v>
      </c>
      <c r="BG728">
        <v>0.47</v>
      </c>
      <c r="BH728" t="s">
        <v>71</v>
      </c>
      <c r="BI728">
        <v>0.46</v>
      </c>
      <c r="BJ728" t="s">
        <v>71</v>
      </c>
      <c r="BK728" s="2">
        <f t="shared" si="23"/>
        <v>9.9999999999999534E-3</v>
      </c>
      <c r="BL728" t="b">
        <f t="shared" si="24"/>
        <v>1</v>
      </c>
    </row>
    <row r="729" spans="1:64" x14ac:dyDescent="0.35">
      <c r="A729" t="s">
        <v>1966</v>
      </c>
      <c r="B729" t="s">
        <v>1961</v>
      </c>
      <c r="C729">
        <v>2021</v>
      </c>
      <c r="D729" t="s">
        <v>1962</v>
      </c>
      <c r="E729" t="s">
        <v>1963</v>
      </c>
      <c r="F729" t="s">
        <v>66</v>
      </c>
      <c r="G729" t="s">
        <v>101</v>
      </c>
      <c r="H729" t="s">
        <v>102</v>
      </c>
      <c r="I729" t="s">
        <v>1964</v>
      </c>
      <c r="J729" t="s">
        <v>70</v>
      </c>
      <c r="L729">
        <v>1</v>
      </c>
      <c r="M729" t="b">
        <v>0</v>
      </c>
      <c r="N729">
        <v>3</v>
      </c>
      <c r="O729">
        <v>1</v>
      </c>
      <c r="P729">
        <v>3</v>
      </c>
      <c r="Q729">
        <v>2</v>
      </c>
      <c r="R729">
        <v>1</v>
      </c>
      <c r="S729">
        <v>4</v>
      </c>
      <c r="T729">
        <v>13</v>
      </c>
      <c r="U729">
        <v>271</v>
      </c>
      <c r="V729">
        <v>56</v>
      </c>
      <c r="W729">
        <v>12</v>
      </c>
      <c r="X729">
        <v>4.666666666666667</v>
      </c>
      <c r="Y729">
        <v>1</v>
      </c>
      <c r="Z729">
        <v>49</v>
      </c>
      <c r="AA729">
        <v>0</v>
      </c>
      <c r="AB729">
        <v>0</v>
      </c>
      <c r="AC729">
        <v>3</v>
      </c>
      <c r="AD729">
        <v>3</v>
      </c>
      <c r="AE729">
        <v>30</v>
      </c>
      <c r="AF729">
        <v>0</v>
      </c>
      <c r="AG729">
        <v>0</v>
      </c>
      <c r="AH729">
        <v>1</v>
      </c>
      <c r="AI729">
        <v>48</v>
      </c>
      <c r="AJ729">
        <v>2</v>
      </c>
      <c r="AK729">
        <v>15</v>
      </c>
      <c r="AL729">
        <v>3</v>
      </c>
      <c r="AM729">
        <v>63</v>
      </c>
      <c r="AN729">
        <v>1</v>
      </c>
      <c r="AO729">
        <v>49</v>
      </c>
      <c r="AP729">
        <v>4</v>
      </c>
      <c r="AQ729">
        <v>79</v>
      </c>
      <c r="AR729">
        <v>0.1808118081180812</v>
      </c>
      <c r="AS729">
        <v>0</v>
      </c>
      <c r="AT729">
        <v>0.1107011070110701</v>
      </c>
      <c r="AU729">
        <v>0</v>
      </c>
      <c r="AV729">
        <v>0.17712177121771219</v>
      </c>
      <c r="AW729">
        <v>0.23247232472324719</v>
      </c>
      <c r="AX729">
        <v>0.1808118081180812</v>
      </c>
      <c r="AY729">
        <v>0.29151291512915128</v>
      </c>
      <c r="AZ729">
        <v>-5.1660516605166053E-2</v>
      </c>
      <c r="BA729">
        <v>0.5</v>
      </c>
      <c r="BB729">
        <v>0.61111111111111116</v>
      </c>
      <c r="BC729">
        <v>0.26666666666666672</v>
      </c>
      <c r="BD729">
        <v>0.59271217712177116</v>
      </c>
      <c r="BE729">
        <v>4</v>
      </c>
      <c r="BF729">
        <v>0.49262248872488718</v>
      </c>
      <c r="BG729">
        <v>0.52</v>
      </c>
      <c r="BH729" t="s">
        <v>71</v>
      </c>
      <c r="BI729">
        <v>0.49</v>
      </c>
      <c r="BJ729" t="s">
        <v>71</v>
      </c>
      <c r="BK729" s="2">
        <f t="shared" si="23"/>
        <v>3.0000000000000027E-2</v>
      </c>
      <c r="BL729" t="b">
        <f t="shared" si="24"/>
        <v>1</v>
      </c>
    </row>
    <row r="730" spans="1:64" x14ac:dyDescent="0.35">
      <c r="A730" t="s">
        <v>1967</v>
      </c>
      <c r="B730" t="s">
        <v>1968</v>
      </c>
      <c r="C730">
        <v>2014</v>
      </c>
      <c r="D730" t="s">
        <v>1969</v>
      </c>
      <c r="E730" t="s">
        <v>1970</v>
      </c>
      <c r="F730" t="s">
        <v>66</v>
      </c>
      <c r="G730" t="s">
        <v>101</v>
      </c>
      <c r="H730" t="s">
        <v>102</v>
      </c>
      <c r="I730" t="s">
        <v>1971</v>
      </c>
      <c r="J730" t="s">
        <v>70</v>
      </c>
      <c r="L730">
        <v>1</v>
      </c>
      <c r="M730" t="b">
        <v>0</v>
      </c>
      <c r="N730">
        <v>3</v>
      </c>
      <c r="O730">
        <v>3</v>
      </c>
      <c r="P730">
        <v>5</v>
      </c>
      <c r="Q730">
        <v>4</v>
      </c>
      <c r="R730">
        <v>1</v>
      </c>
      <c r="S730">
        <v>4</v>
      </c>
      <c r="T730">
        <v>18</v>
      </c>
      <c r="U730">
        <v>212</v>
      </c>
      <c r="V730">
        <v>82</v>
      </c>
      <c r="W730">
        <v>18</v>
      </c>
      <c r="X730">
        <v>4.5555555555555554</v>
      </c>
      <c r="Y730">
        <v>2</v>
      </c>
      <c r="Z730">
        <v>19</v>
      </c>
      <c r="AA730">
        <v>0</v>
      </c>
      <c r="AB730">
        <v>0</v>
      </c>
      <c r="AC730">
        <v>1</v>
      </c>
      <c r="AD730">
        <v>1</v>
      </c>
      <c r="AE730">
        <v>7</v>
      </c>
      <c r="AF730">
        <v>0</v>
      </c>
      <c r="AG730">
        <v>0</v>
      </c>
      <c r="AH730">
        <v>2</v>
      </c>
      <c r="AI730">
        <v>73</v>
      </c>
      <c r="AJ730">
        <v>3</v>
      </c>
      <c r="AK730">
        <v>16</v>
      </c>
      <c r="AL730">
        <v>5</v>
      </c>
      <c r="AM730">
        <v>89</v>
      </c>
      <c r="AN730">
        <v>2</v>
      </c>
      <c r="AO730">
        <v>19</v>
      </c>
      <c r="AP730">
        <v>3</v>
      </c>
      <c r="AQ730">
        <v>26</v>
      </c>
      <c r="AR730">
        <v>8.9622641509433956E-2</v>
      </c>
      <c r="AS730">
        <v>0</v>
      </c>
      <c r="AT730">
        <v>3.3018867924528301E-2</v>
      </c>
      <c r="AU730">
        <v>0</v>
      </c>
      <c r="AV730">
        <v>0.34433962264150941</v>
      </c>
      <c r="AW730">
        <v>0.419811320754717</v>
      </c>
      <c r="AX730">
        <v>8.9622641509433956E-2</v>
      </c>
      <c r="AY730">
        <v>0.12264150943396231</v>
      </c>
      <c r="AZ730">
        <v>-0.33018867924528311</v>
      </c>
      <c r="BA730">
        <v>0.5</v>
      </c>
      <c r="BB730">
        <v>0.59259259259259256</v>
      </c>
      <c r="BC730">
        <v>0.2</v>
      </c>
      <c r="BD730">
        <v>0.41863207547169812</v>
      </c>
      <c r="BE730">
        <v>4</v>
      </c>
      <c r="BF730">
        <v>0.42780616701607271</v>
      </c>
      <c r="BG730">
        <v>0.48</v>
      </c>
      <c r="BH730" t="s">
        <v>71</v>
      </c>
      <c r="BI730">
        <v>0.43</v>
      </c>
      <c r="BJ730" t="s">
        <v>71</v>
      </c>
      <c r="BK730" s="2">
        <f t="shared" si="23"/>
        <v>4.9999999999999989E-2</v>
      </c>
      <c r="BL730" t="b">
        <f t="shared" si="24"/>
        <v>1</v>
      </c>
    </row>
    <row r="731" spans="1:64" x14ac:dyDescent="0.35">
      <c r="A731" t="s">
        <v>1972</v>
      </c>
      <c r="B731" t="s">
        <v>1968</v>
      </c>
      <c r="C731">
        <v>2018</v>
      </c>
      <c r="D731" t="s">
        <v>1969</v>
      </c>
      <c r="E731" t="s">
        <v>1970</v>
      </c>
      <c r="F731" t="s">
        <v>66</v>
      </c>
      <c r="G731" t="s">
        <v>101</v>
      </c>
      <c r="H731" t="s">
        <v>102</v>
      </c>
      <c r="I731" t="s">
        <v>1971</v>
      </c>
      <c r="J731" t="s">
        <v>70</v>
      </c>
      <c r="L731">
        <v>1</v>
      </c>
      <c r="M731" t="b">
        <v>0</v>
      </c>
      <c r="N731">
        <v>1</v>
      </c>
      <c r="O731">
        <v>1</v>
      </c>
      <c r="P731">
        <v>8</v>
      </c>
      <c r="Q731">
        <v>3</v>
      </c>
      <c r="R731">
        <v>5</v>
      </c>
      <c r="S731">
        <v>5</v>
      </c>
      <c r="T731">
        <v>35</v>
      </c>
      <c r="U731">
        <v>574</v>
      </c>
      <c r="V731">
        <v>142</v>
      </c>
      <c r="W731">
        <v>22</v>
      </c>
      <c r="X731">
        <v>6.4545454545454541</v>
      </c>
      <c r="Y731">
        <v>8</v>
      </c>
      <c r="Z731">
        <v>241</v>
      </c>
      <c r="AA731">
        <v>0</v>
      </c>
      <c r="AB731">
        <v>0</v>
      </c>
      <c r="AC731">
        <v>3</v>
      </c>
      <c r="AD731">
        <v>3</v>
      </c>
      <c r="AE731">
        <v>84</v>
      </c>
      <c r="AF731">
        <v>1</v>
      </c>
      <c r="AG731">
        <v>19</v>
      </c>
      <c r="AH731">
        <v>2</v>
      </c>
      <c r="AI731">
        <v>13</v>
      </c>
      <c r="AJ731">
        <v>2</v>
      </c>
      <c r="AK731">
        <v>9</v>
      </c>
      <c r="AL731">
        <v>4</v>
      </c>
      <c r="AM731">
        <v>22</v>
      </c>
      <c r="AN731">
        <v>9</v>
      </c>
      <c r="AO731">
        <v>260</v>
      </c>
      <c r="AP731">
        <v>11</v>
      </c>
      <c r="AQ731">
        <v>325</v>
      </c>
      <c r="AR731">
        <v>0.41986062717770029</v>
      </c>
      <c r="AS731">
        <v>0</v>
      </c>
      <c r="AT731">
        <v>0.14634146341463411</v>
      </c>
      <c r="AU731">
        <v>3.3101045296167253E-2</v>
      </c>
      <c r="AV731">
        <v>2.2648083623693381E-2</v>
      </c>
      <c r="AW731">
        <v>3.8327526132404179E-2</v>
      </c>
      <c r="AX731">
        <v>0.45296167247386759</v>
      </c>
      <c r="AY731">
        <v>0.56620209059233451</v>
      </c>
      <c r="AZ731">
        <v>0.41463414634146339</v>
      </c>
      <c r="BA731">
        <v>0.66666666666666663</v>
      </c>
      <c r="BB731">
        <v>0.90909090909090906</v>
      </c>
      <c r="BC731">
        <v>0.73333333333333328</v>
      </c>
      <c r="BD731">
        <v>0.88414634146341453</v>
      </c>
      <c r="BE731">
        <v>4</v>
      </c>
      <c r="BF731">
        <v>0.79830931263858085</v>
      </c>
      <c r="BG731">
        <v>0.8</v>
      </c>
      <c r="BH731" t="s">
        <v>164</v>
      </c>
      <c r="BI731">
        <v>0.8</v>
      </c>
      <c r="BJ731" t="s">
        <v>164</v>
      </c>
      <c r="BK731" s="2">
        <f t="shared" si="23"/>
        <v>0</v>
      </c>
      <c r="BL731" t="b">
        <f t="shared" si="24"/>
        <v>1</v>
      </c>
    </row>
    <row r="732" spans="1:64" x14ac:dyDescent="0.35">
      <c r="A732" t="s">
        <v>1973</v>
      </c>
      <c r="B732" t="s">
        <v>1968</v>
      </c>
      <c r="C732">
        <v>2022</v>
      </c>
      <c r="D732" t="s">
        <v>1969</v>
      </c>
      <c r="E732" t="s">
        <v>1970</v>
      </c>
      <c r="F732" t="s">
        <v>66</v>
      </c>
      <c r="G732" t="s">
        <v>101</v>
      </c>
      <c r="H732" t="s">
        <v>102</v>
      </c>
      <c r="I732" t="s">
        <v>1971</v>
      </c>
      <c r="J732" t="s">
        <v>70</v>
      </c>
      <c r="L732">
        <v>1</v>
      </c>
      <c r="M732" t="b">
        <v>0</v>
      </c>
      <c r="N732">
        <v>3</v>
      </c>
      <c r="O732">
        <v>2</v>
      </c>
      <c r="P732">
        <v>4</v>
      </c>
      <c r="Q732">
        <v>4</v>
      </c>
      <c r="R732">
        <v>0</v>
      </c>
      <c r="S732">
        <v>4</v>
      </c>
      <c r="T732">
        <v>22</v>
      </c>
      <c r="U732">
        <v>449</v>
      </c>
      <c r="V732">
        <v>81</v>
      </c>
      <c r="W732">
        <v>18</v>
      </c>
      <c r="X732">
        <v>4.5</v>
      </c>
      <c r="Y732">
        <v>3</v>
      </c>
      <c r="Z732">
        <v>28</v>
      </c>
      <c r="AA732">
        <v>0</v>
      </c>
      <c r="AB732">
        <v>0</v>
      </c>
      <c r="AC732">
        <v>3</v>
      </c>
      <c r="AD732">
        <v>2</v>
      </c>
      <c r="AE732">
        <v>109</v>
      </c>
      <c r="AF732">
        <v>0</v>
      </c>
      <c r="AG732">
        <v>0</v>
      </c>
      <c r="AH732">
        <v>1</v>
      </c>
      <c r="AI732">
        <v>44</v>
      </c>
      <c r="AJ732">
        <v>3</v>
      </c>
      <c r="AK732">
        <v>122</v>
      </c>
      <c r="AL732">
        <v>4</v>
      </c>
      <c r="AM732">
        <v>166</v>
      </c>
      <c r="AN732">
        <v>3</v>
      </c>
      <c r="AO732">
        <v>28</v>
      </c>
      <c r="AP732">
        <v>5</v>
      </c>
      <c r="AQ732">
        <v>137</v>
      </c>
      <c r="AR732">
        <v>6.2360801781737203E-2</v>
      </c>
      <c r="AS732">
        <v>0</v>
      </c>
      <c r="AT732">
        <v>0.24276169265033409</v>
      </c>
      <c r="AU732">
        <v>0</v>
      </c>
      <c r="AV732">
        <v>9.7995545657015584E-2</v>
      </c>
      <c r="AW732">
        <v>0.36971046770601329</v>
      </c>
      <c r="AX732">
        <v>6.2360801781737203E-2</v>
      </c>
      <c r="AY732">
        <v>0.30512249443207129</v>
      </c>
      <c r="AZ732">
        <v>-0.30734966592427609</v>
      </c>
      <c r="BA732">
        <v>0.5</v>
      </c>
      <c r="BB732">
        <v>0.58333333333333337</v>
      </c>
      <c r="BC732">
        <v>0.33333333333333331</v>
      </c>
      <c r="BD732">
        <v>0.43290645879732748</v>
      </c>
      <c r="BE732">
        <v>4</v>
      </c>
      <c r="BF732">
        <v>0.46239328136599861</v>
      </c>
      <c r="BG732">
        <v>0.48</v>
      </c>
      <c r="BH732" t="s">
        <v>71</v>
      </c>
      <c r="BI732">
        <v>0.46</v>
      </c>
      <c r="BJ732" t="s">
        <v>71</v>
      </c>
      <c r="BK732" s="2">
        <f t="shared" si="23"/>
        <v>1.9999999999999962E-2</v>
      </c>
      <c r="BL732" t="b">
        <f t="shared" si="24"/>
        <v>1</v>
      </c>
    </row>
    <row r="733" spans="1:64" x14ac:dyDescent="0.35">
      <c r="A733" t="s">
        <v>1974</v>
      </c>
      <c r="B733" t="s">
        <v>1975</v>
      </c>
      <c r="C733">
        <v>2014</v>
      </c>
      <c r="D733" t="s">
        <v>1976</v>
      </c>
      <c r="E733" t="s">
        <v>1977</v>
      </c>
      <c r="F733" t="s">
        <v>66</v>
      </c>
      <c r="G733" t="s">
        <v>144</v>
      </c>
      <c r="H733" t="s">
        <v>144</v>
      </c>
      <c r="I733" t="s">
        <v>1059</v>
      </c>
      <c r="J733" t="s">
        <v>70</v>
      </c>
      <c r="L733">
        <v>3</v>
      </c>
      <c r="M733" t="b">
        <v>0</v>
      </c>
      <c r="N733">
        <v>1</v>
      </c>
      <c r="O733">
        <v>3</v>
      </c>
      <c r="P733">
        <v>10</v>
      </c>
      <c r="Q733">
        <v>4</v>
      </c>
      <c r="R733">
        <v>6</v>
      </c>
      <c r="S733">
        <v>6</v>
      </c>
      <c r="T733">
        <v>33</v>
      </c>
      <c r="U733">
        <v>498</v>
      </c>
      <c r="V733">
        <v>170</v>
      </c>
      <c r="W733">
        <v>26</v>
      </c>
      <c r="X733">
        <v>6.5384615384615383</v>
      </c>
      <c r="Y733">
        <v>3</v>
      </c>
      <c r="Z733">
        <v>71</v>
      </c>
      <c r="AA733">
        <v>1</v>
      </c>
      <c r="AB733">
        <v>19</v>
      </c>
      <c r="AC733">
        <v>6</v>
      </c>
      <c r="AD733">
        <v>6</v>
      </c>
      <c r="AE733">
        <v>78</v>
      </c>
      <c r="AF733">
        <v>1</v>
      </c>
      <c r="AG733">
        <v>31</v>
      </c>
      <c r="AH733">
        <v>2</v>
      </c>
      <c r="AI733">
        <v>10</v>
      </c>
      <c r="AJ733">
        <v>2</v>
      </c>
      <c r="AK733">
        <v>14</v>
      </c>
      <c r="AL733">
        <v>4</v>
      </c>
      <c r="AM733">
        <v>24</v>
      </c>
      <c r="AN733">
        <v>5</v>
      </c>
      <c r="AO733">
        <v>121</v>
      </c>
      <c r="AP733">
        <v>10</v>
      </c>
      <c r="AQ733">
        <v>168</v>
      </c>
      <c r="AR733">
        <v>0.14257028112449799</v>
      </c>
      <c r="AS733">
        <v>3.8152610441767071E-2</v>
      </c>
      <c r="AT733">
        <v>0.15662650602409639</v>
      </c>
      <c r="AU733">
        <v>6.224899598393574E-2</v>
      </c>
      <c r="AV733">
        <v>2.0080321285140559E-2</v>
      </c>
      <c r="AW733">
        <v>4.8192771084337352E-2</v>
      </c>
      <c r="AX733">
        <v>0.2429718875502008</v>
      </c>
      <c r="AY733">
        <v>0.33734939759036142</v>
      </c>
      <c r="AZ733">
        <v>0.19477911646586341</v>
      </c>
      <c r="BA733">
        <v>0.83333333333333337</v>
      </c>
      <c r="BB733">
        <v>0.92307692307692302</v>
      </c>
      <c r="BC733">
        <v>0.66666666666666663</v>
      </c>
      <c r="BD733">
        <v>0.74673694779116462</v>
      </c>
      <c r="BE733">
        <v>4</v>
      </c>
      <c r="BF733">
        <v>0.79245346771702185</v>
      </c>
      <c r="BG733">
        <v>0.79</v>
      </c>
      <c r="BH733" t="s">
        <v>86</v>
      </c>
      <c r="BI733">
        <v>0.79</v>
      </c>
      <c r="BJ733" t="s">
        <v>86</v>
      </c>
      <c r="BK733" s="2">
        <f t="shared" si="23"/>
        <v>0</v>
      </c>
      <c r="BL733" t="b">
        <f t="shared" si="24"/>
        <v>1</v>
      </c>
    </row>
    <row r="734" spans="1:64" x14ac:dyDescent="0.35">
      <c r="A734" t="s">
        <v>1978</v>
      </c>
      <c r="B734" t="s">
        <v>1975</v>
      </c>
      <c r="C734">
        <v>2015</v>
      </c>
      <c r="D734" t="s">
        <v>1976</v>
      </c>
      <c r="E734" t="s">
        <v>1977</v>
      </c>
      <c r="F734" t="s">
        <v>66</v>
      </c>
      <c r="G734" t="s">
        <v>144</v>
      </c>
      <c r="H734" t="s">
        <v>144</v>
      </c>
      <c r="I734" t="s">
        <v>1059</v>
      </c>
      <c r="J734" t="s">
        <v>70</v>
      </c>
      <c r="L734">
        <v>3</v>
      </c>
      <c r="M734" t="b">
        <v>0</v>
      </c>
      <c r="N734">
        <v>1</v>
      </c>
      <c r="O734">
        <v>2</v>
      </c>
      <c r="P734">
        <v>11</v>
      </c>
      <c r="Q734">
        <v>6</v>
      </c>
      <c r="R734">
        <v>5</v>
      </c>
      <c r="S734">
        <v>6</v>
      </c>
      <c r="T734">
        <v>34</v>
      </c>
      <c r="U734">
        <v>528</v>
      </c>
      <c r="V734">
        <v>168</v>
      </c>
      <c r="W734">
        <v>27</v>
      </c>
      <c r="X734">
        <v>6.2222222222222223</v>
      </c>
      <c r="Y734">
        <v>3</v>
      </c>
      <c r="Z734">
        <v>145</v>
      </c>
      <c r="AA734">
        <v>1</v>
      </c>
      <c r="AB734">
        <v>1</v>
      </c>
      <c r="AC734">
        <v>2</v>
      </c>
      <c r="AD734">
        <v>2</v>
      </c>
      <c r="AE734">
        <v>3</v>
      </c>
      <c r="AF734">
        <v>1</v>
      </c>
      <c r="AG734">
        <v>2</v>
      </c>
      <c r="AH734">
        <v>1</v>
      </c>
      <c r="AI734">
        <v>39</v>
      </c>
      <c r="AJ734">
        <v>3</v>
      </c>
      <c r="AK734">
        <v>39</v>
      </c>
      <c r="AL734">
        <v>4</v>
      </c>
      <c r="AM734">
        <v>78</v>
      </c>
      <c r="AN734">
        <v>5</v>
      </c>
      <c r="AO734">
        <v>148</v>
      </c>
      <c r="AP734">
        <v>6</v>
      </c>
      <c r="AQ734">
        <v>149</v>
      </c>
      <c r="AR734">
        <v>0.2746212121212121</v>
      </c>
      <c r="AS734">
        <v>1.893939393939394E-3</v>
      </c>
      <c r="AT734">
        <v>5.681818181818182E-3</v>
      </c>
      <c r="AU734">
        <v>3.787878787878788E-3</v>
      </c>
      <c r="AV734">
        <v>7.3863636363636367E-2</v>
      </c>
      <c r="AW734">
        <v>0.14772727272727271</v>
      </c>
      <c r="AX734">
        <v>0.28030303030303028</v>
      </c>
      <c r="AY734">
        <v>0.28219696969696972</v>
      </c>
      <c r="AZ734">
        <v>0.13257575757575751</v>
      </c>
      <c r="BA734">
        <v>0.83333333333333337</v>
      </c>
      <c r="BB734">
        <v>0.87037037037037035</v>
      </c>
      <c r="BC734">
        <v>0.4</v>
      </c>
      <c r="BD734">
        <v>0.7078598484848484</v>
      </c>
      <c r="BE734">
        <v>4</v>
      </c>
      <c r="BF734">
        <v>0.70289088804713806</v>
      </c>
      <c r="BG734">
        <v>0.71</v>
      </c>
      <c r="BH734" t="s">
        <v>86</v>
      </c>
      <c r="BI734">
        <v>0.7</v>
      </c>
      <c r="BJ734" t="s">
        <v>86</v>
      </c>
      <c r="BK734" s="2">
        <f t="shared" si="23"/>
        <v>1.0000000000000009E-2</v>
      </c>
      <c r="BL734" t="b">
        <f t="shared" si="24"/>
        <v>1</v>
      </c>
    </row>
    <row r="735" spans="1:64" x14ac:dyDescent="0.35">
      <c r="A735" t="s">
        <v>1979</v>
      </c>
      <c r="B735" t="s">
        <v>1975</v>
      </c>
      <c r="C735">
        <v>2019</v>
      </c>
      <c r="D735" t="s">
        <v>1976</v>
      </c>
      <c r="E735" t="s">
        <v>1977</v>
      </c>
      <c r="F735" t="s">
        <v>66</v>
      </c>
      <c r="G735" t="s">
        <v>144</v>
      </c>
      <c r="H735" t="s">
        <v>144</v>
      </c>
      <c r="I735" t="s">
        <v>1059</v>
      </c>
      <c r="J735" t="s">
        <v>70</v>
      </c>
      <c r="L735">
        <v>3</v>
      </c>
      <c r="M735" t="b">
        <v>0</v>
      </c>
      <c r="N735">
        <v>1</v>
      </c>
      <c r="O735">
        <v>2</v>
      </c>
      <c r="P735">
        <v>11</v>
      </c>
      <c r="Q735">
        <v>5</v>
      </c>
      <c r="R735">
        <v>6</v>
      </c>
      <c r="S735">
        <v>6</v>
      </c>
      <c r="T735">
        <v>35</v>
      </c>
      <c r="U735">
        <v>915</v>
      </c>
      <c r="V735">
        <v>152</v>
      </c>
      <c r="W735">
        <v>27</v>
      </c>
      <c r="X735">
        <v>5.6296296296296298</v>
      </c>
      <c r="Y735">
        <v>4</v>
      </c>
      <c r="Z735">
        <v>187</v>
      </c>
      <c r="AA735">
        <v>0</v>
      </c>
      <c r="AB735">
        <v>0</v>
      </c>
      <c r="AC735">
        <v>3</v>
      </c>
      <c r="AD735">
        <v>3</v>
      </c>
      <c r="AE735">
        <v>115</v>
      </c>
      <c r="AF735">
        <v>0</v>
      </c>
      <c r="AG735">
        <v>0</v>
      </c>
      <c r="AH735">
        <v>1</v>
      </c>
      <c r="AI735">
        <v>38</v>
      </c>
      <c r="AJ735">
        <v>1</v>
      </c>
      <c r="AK735">
        <v>7</v>
      </c>
      <c r="AL735">
        <v>2</v>
      </c>
      <c r="AM735">
        <v>45</v>
      </c>
      <c r="AN735">
        <v>4</v>
      </c>
      <c r="AO735">
        <v>187</v>
      </c>
      <c r="AP735">
        <v>7</v>
      </c>
      <c r="AQ735">
        <v>302</v>
      </c>
      <c r="AR735">
        <v>0.20437158469945349</v>
      </c>
      <c r="AS735">
        <v>0</v>
      </c>
      <c r="AT735">
        <v>0.12568306010928959</v>
      </c>
      <c r="AU735">
        <v>0</v>
      </c>
      <c r="AV735">
        <v>4.1530054644808738E-2</v>
      </c>
      <c r="AW735">
        <v>4.9180327868852458E-2</v>
      </c>
      <c r="AX735">
        <v>0.20437158469945349</v>
      </c>
      <c r="AY735">
        <v>0.33005464480874319</v>
      </c>
      <c r="AZ735">
        <v>0.15519125683060109</v>
      </c>
      <c r="BA735">
        <v>0.83333333333333337</v>
      </c>
      <c r="BB735">
        <v>0.77160493827160492</v>
      </c>
      <c r="BC735">
        <v>0.46666666666666667</v>
      </c>
      <c r="BD735">
        <v>0.72199453551912562</v>
      </c>
      <c r="BE735">
        <v>4</v>
      </c>
      <c r="BF735">
        <v>0.69839986844768265</v>
      </c>
      <c r="BG735">
        <v>0.7</v>
      </c>
      <c r="BH735" t="s">
        <v>86</v>
      </c>
      <c r="BI735">
        <v>0.7</v>
      </c>
      <c r="BJ735" t="s">
        <v>86</v>
      </c>
      <c r="BK735" s="2">
        <f t="shared" si="23"/>
        <v>0</v>
      </c>
      <c r="BL735" t="b">
        <f t="shared" si="24"/>
        <v>1</v>
      </c>
    </row>
    <row r="736" spans="1:64" x14ac:dyDescent="0.35">
      <c r="A736" t="s">
        <v>1980</v>
      </c>
      <c r="B736" t="s">
        <v>1981</v>
      </c>
      <c r="C736">
        <v>2014</v>
      </c>
      <c r="D736" t="s">
        <v>1982</v>
      </c>
      <c r="E736" t="s">
        <v>1983</v>
      </c>
      <c r="F736" t="s">
        <v>66</v>
      </c>
      <c r="G736" t="s">
        <v>144</v>
      </c>
      <c r="H736" t="s">
        <v>144</v>
      </c>
      <c r="I736" t="s">
        <v>1984</v>
      </c>
      <c r="J736" t="s">
        <v>70</v>
      </c>
      <c r="L736">
        <v>1</v>
      </c>
      <c r="M736" t="b">
        <v>0</v>
      </c>
      <c r="N736">
        <v>1</v>
      </c>
      <c r="O736">
        <v>1</v>
      </c>
      <c r="P736">
        <v>8</v>
      </c>
      <c r="Q736">
        <v>7</v>
      </c>
      <c r="R736">
        <v>1</v>
      </c>
      <c r="S736">
        <v>4</v>
      </c>
      <c r="T736">
        <v>37</v>
      </c>
      <c r="U736">
        <v>455</v>
      </c>
      <c r="V736">
        <v>156</v>
      </c>
      <c r="W736">
        <v>28</v>
      </c>
      <c r="X736">
        <v>5.5714285714285712</v>
      </c>
      <c r="Y736">
        <v>3</v>
      </c>
      <c r="Z736">
        <v>119</v>
      </c>
      <c r="AA736">
        <v>0</v>
      </c>
      <c r="AB736">
        <v>0</v>
      </c>
      <c r="AC736">
        <v>5</v>
      </c>
      <c r="AD736">
        <v>5</v>
      </c>
      <c r="AE736">
        <v>66</v>
      </c>
      <c r="AF736">
        <v>0</v>
      </c>
      <c r="AG736">
        <v>0</v>
      </c>
      <c r="AH736">
        <v>2</v>
      </c>
      <c r="AI736">
        <v>69</v>
      </c>
      <c r="AJ736">
        <v>3</v>
      </c>
      <c r="AK736">
        <v>13</v>
      </c>
      <c r="AL736">
        <v>5</v>
      </c>
      <c r="AM736">
        <v>82</v>
      </c>
      <c r="AN736">
        <v>3</v>
      </c>
      <c r="AO736">
        <v>119</v>
      </c>
      <c r="AP736">
        <v>8</v>
      </c>
      <c r="AQ736">
        <v>185</v>
      </c>
      <c r="AR736">
        <v>0.26153846153846161</v>
      </c>
      <c r="AS736">
        <v>0</v>
      </c>
      <c r="AT736">
        <v>0.14505494505494509</v>
      </c>
      <c r="AU736">
        <v>0</v>
      </c>
      <c r="AV736">
        <v>0.15164835164835161</v>
      </c>
      <c r="AW736">
        <v>0.18021978021978019</v>
      </c>
      <c r="AX736">
        <v>0.26153846153846161</v>
      </c>
      <c r="AY736">
        <v>0.40659340659340659</v>
      </c>
      <c r="AZ736">
        <v>8.1318681318681335E-2</v>
      </c>
      <c r="BA736">
        <v>0.5</v>
      </c>
      <c r="BB736">
        <v>0.76190476190476186</v>
      </c>
      <c r="BC736">
        <v>0.53333333333333333</v>
      </c>
      <c r="BD736">
        <v>0.67582417582417575</v>
      </c>
      <c r="BE736">
        <v>4</v>
      </c>
      <c r="BF736">
        <v>0.61776556776556779</v>
      </c>
      <c r="BG736">
        <v>0.64</v>
      </c>
      <c r="BH736" t="s">
        <v>86</v>
      </c>
      <c r="BI736">
        <v>0.62</v>
      </c>
      <c r="BJ736" t="s">
        <v>86</v>
      </c>
      <c r="BK736" s="2">
        <f t="shared" si="23"/>
        <v>2.0000000000000018E-2</v>
      </c>
      <c r="BL736" t="b">
        <f t="shared" si="24"/>
        <v>1</v>
      </c>
    </row>
    <row r="737" spans="1:64" x14ac:dyDescent="0.35">
      <c r="A737" t="s">
        <v>1985</v>
      </c>
      <c r="B737" t="s">
        <v>1981</v>
      </c>
      <c r="C737">
        <v>2015</v>
      </c>
      <c r="D737" t="s">
        <v>1982</v>
      </c>
      <c r="E737" t="s">
        <v>1983</v>
      </c>
      <c r="F737" t="s">
        <v>66</v>
      </c>
      <c r="G737" t="s">
        <v>144</v>
      </c>
      <c r="H737" t="s">
        <v>144</v>
      </c>
      <c r="I737" t="s">
        <v>1984</v>
      </c>
      <c r="J737" t="s">
        <v>70</v>
      </c>
      <c r="L737">
        <v>1</v>
      </c>
      <c r="M737" t="b">
        <v>0</v>
      </c>
      <c r="N737">
        <v>1</v>
      </c>
      <c r="O737">
        <v>2</v>
      </c>
      <c r="P737">
        <v>10</v>
      </c>
      <c r="Q737">
        <v>5</v>
      </c>
      <c r="R737">
        <v>5</v>
      </c>
      <c r="S737">
        <v>6</v>
      </c>
      <c r="T737">
        <v>42</v>
      </c>
      <c r="U737">
        <v>509</v>
      </c>
      <c r="V737">
        <v>162</v>
      </c>
      <c r="W737">
        <v>30</v>
      </c>
      <c r="X737">
        <v>5.4</v>
      </c>
      <c r="Y737">
        <v>2</v>
      </c>
      <c r="Z737">
        <v>15</v>
      </c>
      <c r="AA737">
        <v>1</v>
      </c>
      <c r="AB737">
        <v>2</v>
      </c>
      <c r="AC737">
        <v>8</v>
      </c>
      <c r="AD737">
        <v>8</v>
      </c>
      <c r="AE737">
        <v>59</v>
      </c>
      <c r="AF737">
        <v>0</v>
      </c>
      <c r="AG737">
        <v>0</v>
      </c>
      <c r="AH737">
        <v>2</v>
      </c>
      <c r="AI737">
        <v>203</v>
      </c>
      <c r="AJ737">
        <v>2</v>
      </c>
      <c r="AK737">
        <v>9</v>
      </c>
      <c r="AL737">
        <v>4</v>
      </c>
      <c r="AM737">
        <v>212</v>
      </c>
      <c r="AN737">
        <v>3</v>
      </c>
      <c r="AO737">
        <v>17</v>
      </c>
      <c r="AP737">
        <v>11</v>
      </c>
      <c r="AQ737">
        <v>76</v>
      </c>
      <c r="AR737">
        <v>2.9469548133595289E-2</v>
      </c>
      <c r="AS737">
        <v>3.929273084479371E-3</v>
      </c>
      <c r="AT737">
        <v>0.1159135559921415</v>
      </c>
      <c r="AU737">
        <v>0</v>
      </c>
      <c r="AV737">
        <v>0.3988212180746562</v>
      </c>
      <c r="AW737">
        <v>0.41650294695481338</v>
      </c>
      <c r="AX737">
        <v>3.3398821218074658E-2</v>
      </c>
      <c r="AY737">
        <v>0.14931237721021609</v>
      </c>
      <c r="AZ737">
        <v>-0.38310412573673869</v>
      </c>
      <c r="BA737">
        <v>0.83333333333333337</v>
      </c>
      <c r="BB737">
        <v>0.73333333333333339</v>
      </c>
      <c r="BC737">
        <v>0.73333333333333328</v>
      </c>
      <c r="BD737">
        <v>0.38555992141453832</v>
      </c>
      <c r="BE737">
        <v>4</v>
      </c>
      <c r="BF737">
        <v>0.67138998035363462</v>
      </c>
      <c r="BG737">
        <v>0.73</v>
      </c>
      <c r="BH737" t="s">
        <v>86</v>
      </c>
      <c r="BI737">
        <v>0.67</v>
      </c>
      <c r="BJ737" t="s">
        <v>86</v>
      </c>
      <c r="BK737" s="2">
        <f t="shared" si="23"/>
        <v>5.9999999999999942E-2</v>
      </c>
      <c r="BL737" t="b">
        <f t="shared" si="24"/>
        <v>1</v>
      </c>
    </row>
    <row r="738" spans="1:64" x14ac:dyDescent="0.35">
      <c r="A738" t="s">
        <v>1986</v>
      </c>
      <c r="B738" t="s">
        <v>1981</v>
      </c>
      <c r="C738">
        <v>2019</v>
      </c>
      <c r="D738" t="s">
        <v>1982</v>
      </c>
      <c r="E738" t="s">
        <v>1983</v>
      </c>
      <c r="F738" t="s">
        <v>66</v>
      </c>
      <c r="G738" t="s">
        <v>144</v>
      </c>
      <c r="H738" t="s">
        <v>144</v>
      </c>
      <c r="I738" t="s">
        <v>1984</v>
      </c>
      <c r="J738" t="s">
        <v>70</v>
      </c>
      <c r="L738">
        <v>1</v>
      </c>
      <c r="M738" t="b">
        <v>0</v>
      </c>
      <c r="N738">
        <v>1</v>
      </c>
      <c r="O738">
        <v>1</v>
      </c>
      <c r="P738">
        <v>8</v>
      </c>
      <c r="Q738">
        <v>3</v>
      </c>
      <c r="R738">
        <v>5</v>
      </c>
      <c r="S738">
        <v>5</v>
      </c>
      <c r="T738">
        <v>25</v>
      </c>
      <c r="U738">
        <v>571</v>
      </c>
      <c r="V738">
        <v>109</v>
      </c>
      <c r="W738">
        <v>19</v>
      </c>
      <c r="X738">
        <v>5.7368421052631584</v>
      </c>
      <c r="Y738">
        <v>4</v>
      </c>
      <c r="Z738">
        <v>157</v>
      </c>
      <c r="AA738">
        <v>0</v>
      </c>
      <c r="AB738">
        <v>0</v>
      </c>
      <c r="AC738">
        <v>3</v>
      </c>
      <c r="AD738">
        <v>3</v>
      </c>
      <c r="AE738">
        <v>60</v>
      </c>
      <c r="AF738">
        <v>2</v>
      </c>
      <c r="AG738">
        <v>22</v>
      </c>
      <c r="AH738">
        <v>2</v>
      </c>
      <c r="AI738">
        <v>73</v>
      </c>
      <c r="AJ738">
        <v>2</v>
      </c>
      <c r="AK738">
        <v>17</v>
      </c>
      <c r="AL738">
        <v>5</v>
      </c>
      <c r="AM738">
        <v>114</v>
      </c>
      <c r="AN738">
        <v>6</v>
      </c>
      <c r="AO738">
        <v>179</v>
      </c>
      <c r="AP738">
        <v>7</v>
      </c>
      <c r="AQ738">
        <v>217</v>
      </c>
      <c r="AR738">
        <v>0.27495621716287222</v>
      </c>
      <c r="AS738">
        <v>0</v>
      </c>
      <c r="AT738">
        <v>0.1050788091068301</v>
      </c>
      <c r="AU738">
        <v>3.8528896672504379E-2</v>
      </c>
      <c r="AV738">
        <v>0.12784588441330999</v>
      </c>
      <c r="AW738">
        <v>0.19964973730297719</v>
      </c>
      <c r="AX738">
        <v>0.31348511383537653</v>
      </c>
      <c r="AY738">
        <v>0.38003502626970231</v>
      </c>
      <c r="AZ738">
        <v>0.11383537653239929</v>
      </c>
      <c r="BA738">
        <v>0.66666666666666663</v>
      </c>
      <c r="BB738">
        <v>0.78947368421052644</v>
      </c>
      <c r="BC738">
        <v>0.46666666666666667</v>
      </c>
      <c r="BD738">
        <v>0.69614711033274956</v>
      </c>
      <c r="BE738">
        <v>4</v>
      </c>
      <c r="BF738">
        <v>0.65473853196915233</v>
      </c>
      <c r="BG738">
        <v>0.68</v>
      </c>
      <c r="BH738" t="s">
        <v>86</v>
      </c>
      <c r="BI738">
        <v>0.65</v>
      </c>
      <c r="BJ738" t="s">
        <v>86</v>
      </c>
      <c r="BK738" s="2">
        <f t="shared" si="23"/>
        <v>3.0000000000000027E-2</v>
      </c>
      <c r="BL738" t="b">
        <f t="shared" si="24"/>
        <v>1</v>
      </c>
    </row>
    <row r="739" spans="1:64" x14ac:dyDescent="0.35">
      <c r="A739" t="s">
        <v>1987</v>
      </c>
      <c r="B739" t="s">
        <v>1988</v>
      </c>
      <c r="C739">
        <v>2022</v>
      </c>
      <c r="D739" t="s">
        <v>1989</v>
      </c>
      <c r="E739" t="s">
        <v>1990</v>
      </c>
      <c r="F739" t="s">
        <v>66</v>
      </c>
      <c r="G739" t="s">
        <v>144</v>
      </c>
      <c r="H739" t="s">
        <v>144</v>
      </c>
      <c r="I739" t="s">
        <v>1991</v>
      </c>
      <c r="J739" t="s">
        <v>70</v>
      </c>
      <c r="L739">
        <v>3</v>
      </c>
      <c r="M739" t="b">
        <v>0</v>
      </c>
      <c r="N739">
        <v>1</v>
      </c>
      <c r="O739">
        <v>1</v>
      </c>
      <c r="P739">
        <v>9</v>
      </c>
      <c r="Q739">
        <v>0</v>
      </c>
      <c r="R739">
        <v>9</v>
      </c>
      <c r="S739">
        <v>5</v>
      </c>
      <c r="T739">
        <v>19</v>
      </c>
      <c r="U739">
        <v>935</v>
      </c>
      <c r="V739">
        <v>99</v>
      </c>
      <c r="W739">
        <v>16</v>
      </c>
      <c r="X739">
        <v>6.1875</v>
      </c>
      <c r="Y739">
        <v>5</v>
      </c>
      <c r="Z739">
        <v>146</v>
      </c>
      <c r="AA739">
        <v>1</v>
      </c>
      <c r="AB739">
        <v>22</v>
      </c>
      <c r="AC739">
        <v>2</v>
      </c>
      <c r="AD739">
        <v>2</v>
      </c>
      <c r="AE739">
        <v>287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6</v>
      </c>
      <c r="AO739">
        <v>168</v>
      </c>
      <c r="AP739">
        <v>8</v>
      </c>
      <c r="AQ739">
        <v>455</v>
      </c>
      <c r="AR739">
        <v>0.15614973262032089</v>
      </c>
      <c r="AS739">
        <v>2.3529411764705879E-2</v>
      </c>
      <c r="AT739">
        <v>0.30695187165775401</v>
      </c>
      <c r="AU739">
        <v>0</v>
      </c>
      <c r="AV739">
        <v>0</v>
      </c>
      <c r="AW739">
        <v>0</v>
      </c>
      <c r="AX739">
        <v>0.17967914438502669</v>
      </c>
      <c r="AY739">
        <v>0.48663101604278081</v>
      </c>
      <c r="AZ739">
        <v>0.17967914438502669</v>
      </c>
      <c r="BA739">
        <v>0.66666666666666663</v>
      </c>
      <c r="BB739">
        <v>0.86458333333333337</v>
      </c>
      <c r="BC739">
        <v>0.53333333333333333</v>
      </c>
      <c r="BD739">
        <v>0.73729946524064172</v>
      </c>
      <c r="BE739">
        <v>4</v>
      </c>
      <c r="BF739">
        <v>0.70047069964349373</v>
      </c>
      <c r="BG739">
        <v>0.69</v>
      </c>
      <c r="BH739" t="s">
        <v>86</v>
      </c>
      <c r="BI739">
        <v>0.7</v>
      </c>
      <c r="BJ739" t="s">
        <v>86</v>
      </c>
      <c r="BK739" s="2">
        <f t="shared" si="23"/>
        <v>-1.0000000000000009E-2</v>
      </c>
      <c r="BL739" t="b">
        <f t="shared" si="24"/>
        <v>1</v>
      </c>
    </row>
    <row r="740" spans="1:64" x14ac:dyDescent="0.35">
      <c r="A740" t="s">
        <v>1992</v>
      </c>
      <c r="B740" t="s">
        <v>1993</v>
      </c>
      <c r="C740">
        <v>2014</v>
      </c>
      <c r="D740" t="s">
        <v>1994</v>
      </c>
      <c r="E740" t="s">
        <v>1995</v>
      </c>
      <c r="F740" t="s">
        <v>66</v>
      </c>
      <c r="G740" t="s">
        <v>101</v>
      </c>
      <c r="H740" t="s">
        <v>348</v>
      </c>
      <c r="I740" t="s">
        <v>349</v>
      </c>
      <c r="J740" t="s">
        <v>70</v>
      </c>
      <c r="L740">
        <v>4</v>
      </c>
      <c r="M740" t="b">
        <v>0</v>
      </c>
      <c r="N740">
        <v>1</v>
      </c>
      <c r="O740">
        <v>1</v>
      </c>
      <c r="P740">
        <v>6</v>
      </c>
      <c r="Q740">
        <v>5</v>
      </c>
      <c r="R740">
        <v>1</v>
      </c>
      <c r="S740">
        <v>4</v>
      </c>
      <c r="T740">
        <v>33</v>
      </c>
      <c r="U740">
        <v>380</v>
      </c>
      <c r="V740">
        <v>131</v>
      </c>
      <c r="W740">
        <v>24</v>
      </c>
      <c r="X740">
        <v>5.458333333333333</v>
      </c>
      <c r="Y740">
        <v>3</v>
      </c>
      <c r="Z740">
        <v>21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</v>
      </c>
      <c r="AG740">
        <v>13</v>
      </c>
      <c r="AH740">
        <v>1</v>
      </c>
      <c r="AI740">
        <v>30</v>
      </c>
      <c r="AJ740">
        <v>5</v>
      </c>
      <c r="AK740">
        <v>56</v>
      </c>
      <c r="AL740">
        <v>6</v>
      </c>
      <c r="AM740">
        <v>86</v>
      </c>
      <c r="AN740">
        <v>5</v>
      </c>
      <c r="AO740">
        <v>34</v>
      </c>
      <c r="AP740">
        <v>3</v>
      </c>
      <c r="AQ740">
        <v>21</v>
      </c>
      <c r="AR740">
        <v>5.526315789473684E-2</v>
      </c>
      <c r="AS740">
        <v>0</v>
      </c>
      <c r="AT740">
        <v>0</v>
      </c>
      <c r="AU740">
        <v>3.4210526315789483E-2</v>
      </c>
      <c r="AV740">
        <v>7.8947368421052627E-2</v>
      </c>
      <c r="AW740">
        <v>0.22631578947368419</v>
      </c>
      <c r="AX740">
        <v>8.9473684210526316E-2</v>
      </c>
      <c r="AY740">
        <v>5.526315789473684E-2</v>
      </c>
      <c r="AZ740">
        <v>-0.1368421052631579</v>
      </c>
      <c r="BA740">
        <v>0.5</v>
      </c>
      <c r="BB740">
        <v>0.74305555555555547</v>
      </c>
      <c r="BC740">
        <v>0.2</v>
      </c>
      <c r="BD740">
        <v>0.53947368421052633</v>
      </c>
      <c r="BE740">
        <v>4</v>
      </c>
      <c r="BF740">
        <v>0.49563230994152052</v>
      </c>
      <c r="BG740">
        <v>0.49</v>
      </c>
      <c r="BH740" t="s">
        <v>71</v>
      </c>
      <c r="BI740">
        <v>0.5</v>
      </c>
      <c r="BJ740" t="s">
        <v>71</v>
      </c>
      <c r="BK740" s="2">
        <f t="shared" si="23"/>
        <v>-1.0000000000000009E-2</v>
      </c>
      <c r="BL740" t="b">
        <f t="shared" si="24"/>
        <v>1</v>
      </c>
    </row>
    <row r="741" spans="1:64" x14ac:dyDescent="0.35">
      <c r="A741" t="s">
        <v>1996</v>
      </c>
      <c r="B741" t="s">
        <v>1993</v>
      </c>
      <c r="C741">
        <v>2015</v>
      </c>
      <c r="D741" t="s">
        <v>1994</v>
      </c>
      <c r="E741" t="s">
        <v>1995</v>
      </c>
      <c r="F741" t="s">
        <v>66</v>
      </c>
      <c r="G741" t="s">
        <v>101</v>
      </c>
      <c r="H741" t="s">
        <v>348</v>
      </c>
      <c r="I741" t="s">
        <v>349</v>
      </c>
      <c r="J741" t="s">
        <v>70</v>
      </c>
      <c r="L741">
        <v>4</v>
      </c>
      <c r="M741" t="b">
        <v>0</v>
      </c>
      <c r="N741">
        <v>1</v>
      </c>
      <c r="O741">
        <v>1</v>
      </c>
      <c r="P741">
        <v>8</v>
      </c>
      <c r="Q741">
        <v>5</v>
      </c>
      <c r="R741">
        <v>3</v>
      </c>
      <c r="S741">
        <v>4</v>
      </c>
      <c r="T741">
        <v>32</v>
      </c>
      <c r="U741">
        <v>197</v>
      </c>
      <c r="V741">
        <v>137</v>
      </c>
      <c r="W741">
        <v>25</v>
      </c>
      <c r="X741">
        <v>5.48</v>
      </c>
      <c r="Y741">
        <v>3</v>
      </c>
      <c r="Z741">
        <v>13</v>
      </c>
      <c r="AA741">
        <v>0</v>
      </c>
      <c r="AB741">
        <v>0</v>
      </c>
      <c r="AC741">
        <v>3</v>
      </c>
      <c r="AD741">
        <v>3</v>
      </c>
      <c r="AE741">
        <v>36</v>
      </c>
      <c r="AF741">
        <v>3</v>
      </c>
      <c r="AG741">
        <v>6</v>
      </c>
      <c r="AH741">
        <v>1</v>
      </c>
      <c r="AI741">
        <v>10</v>
      </c>
      <c r="AJ741">
        <v>4</v>
      </c>
      <c r="AK741">
        <v>23</v>
      </c>
      <c r="AL741">
        <v>5</v>
      </c>
      <c r="AM741">
        <v>33</v>
      </c>
      <c r="AN741">
        <v>6</v>
      </c>
      <c r="AO741">
        <v>19</v>
      </c>
      <c r="AP741">
        <v>6</v>
      </c>
      <c r="AQ741">
        <v>49</v>
      </c>
      <c r="AR741">
        <v>6.5989847715736044E-2</v>
      </c>
      <c r="AS741">
        <v>0</v>
      </c>
      <c r="AT741">
        <v>0.182741116751269</v>
      </c>
      <c r="AU741">
        <v>3.045685279187817E-2</v>
      </c>
      <c r="AV741">
        <v>5.0761421319796947E-2</v>
      </c>
      <c r="AW741">
        <v>0.16751269035533001</v>
      </c>
      <c r="AX741">
        <v>9.6446700507614211E-2</v>
      </c>
      <c r="AY741">
        <v>0.2487309644670051</v>
      </c>
      <c r="AZ741">
        <v>-7.1065989847715741E-2</v>
      </c>
      <c r="BA741">
        <v>0.5</v>
      </c>
      <c r="BB741">
        <v>0.7466666666666667</v>
      </c>
      <c r="BC741">
        <v>0.4</v>
      </c>
      <c r="BD741">
        <v>0.58058375634517767</v>
      </c>
      <c r="BE741">
        <v>4</v>
      </c>
      <c r="BF741">
        <v>0.5568126057529611</v>
      </c>
      <c r="BG741">
        <v>0.56999999999999995</v>
      </c>
      <c r="BH741" t="s">
        <v>71</v>
      </c>
      <c r="BI741">
        <v>0.56000000000000005</v>
      </c>
      <c r="BJ741" t="s">
        <v>71</v>
      </c>
      <c r="BK741" s="2">
        <f t="shared" si="23"/>
        <v>9.9999999999998979E-3</v>
      </c>
      <c r="BL741" t="b">
        <f t="shared" si="24"/>
        <v>1</v>
      </c>
    </row>
    <row r="742" spans="1:64" x14ac:dyDescent="0.35">
      <c r="A742" t="s">
        <v>1997</v>
      </c>
      <c r="B742" t="s">
        <v>1993</v>
      </c>
      <c r="C742">
        <v>2016</v>
      </c>
      <c r="D742" t="s">
        <v>1994</v>
      </c>
      <c r="E742" t="s">
        <v>1995</v>
      </c>
      <c r="F742" t="s">
        <v>66</v>
      </c>
      <c r="G742" t="s">
        <v>101</v>
      </c>
      <c r="H742" t="s">
        <v>348</v>
      </c>
      <c r="I742" t="s">
        <v>349</v>
      </c>
      <c r="J742" t="s">
        <v>70</v>
      </c>
      <c r="L742">
        <v>4</v>
      </c>
      <c r="M742" t="b">
        <v>0</v>
      </c>
      <c r="N742">
        <v>3</v>
      </c>
      <c r="O742">
        <v>1</v>
      </c>
      <c r="P742">
        <v>6</v>
      </c>
      <c r="Q742">
        <v>3</v>
      </c>
      <c r="R742">
        <v>3</v>
      </c>
      <c r="S742">
        <v>4</v>
      </c>
      <c r="T742">
        <v>30</v>
      </c>
      <c r="U742">
        <v>326</v>
      </c>
      <c r="V742">
        <v>136</v>
      </c>
      <c r="W742">
        <v>23</v>
      </c>
      <c r="X742">
        <v>5.9130434782608692</v>
      </c>
      <c r="Y742">
        <v>3</v>
      </c>
      <c r="Z742">
        <v>179</v>
      </c>
      <c r="AA742">
        <v>0</v>
      </c>
      <c r="AB742">
        <v>0</v>
      </c>
      <c r="AC742">
        <v>5</v>
      </c>
      <c r="AD742">
        <v>5</v>
      </c>
      <c r="AE742">
        <v>12</v>
      </c>
      <c r="AF742">
        <v>2</v>
      </c>
      <c r="AG742">
        <v>10</v>
      </c>
      <c r="AH742">
        <v>1</v>
      </c>
      <c r="AI742">
        <v>18</v>
      </c>
      <c r="AJ742">
        <v>3</v>
      </c>
      <c r="AK742">
        <v>13</v>
      </c>
      <c r="AL742">
        <v>4</v>
      </c>
      <c r="AM742">
        <v>31</v>
      </c>
      <c r="AN742">
        <v>5</v>
      </c>
      <c r="AO742">
        <v>189</v>
      </c>
      <c r="AP742">
        <v>8</v>
      </c>
      <c r="AQ742">
        <v>191</v>
      </c>
      <c r="AR742">
        <v>0.54907975460122704</v>
      </c>
      <c r="AS742">
        <v>0</v>
      </c>
      <c r="AT742">
        <v>3.6809815950920248E-2</v>
      </c>
      <c r="AU742">
        <v>3.0674846625766871E-2</v>
      </c>
      <c r="AV742">
        <v>5.5214723926380369E-2</v>
      </c>
      <c r="AW742">
        <v>9.5092024539877307E-2</v>
      </c>
      <c r="AX742">
        <v>0.57975460122699385</v>
      </c>
      <c r="AY742">
        <v>0.58588957055214719</v>
      </c>
      <c r="AZ742">
        <v>0.48466257668711649</v>
      </c>
      <c r="BA742">
        <v>0.5</v>
      </c>
      <c r="BB742">
        <v>0.8188405797101449</v>
      </c>
      <c r="BC742">
        <v>0.53333333333333333</v>
      </c>
      <c r="BD742">
        <v>0.92791411042944771</v>
      </c>
      <c r="BE742">
        <v>4</v>
      </c>
      <c r="BF742">
        <v>0.69502200586823148</v>
      </c>
      <c r="BG742">
        <v>0.71</v>
      </c>
      <c r="BH742" t="s">
        <v>86</v>
      </c>
      <c r="BI742">
        <v>0.7</v>
      </c>
      <c r="BJ742" t="s">
        <v>86</v>
      </c>
      <c r="BK742" s="2">
        <f t="shared" si="23"/>
        <v>1.0000000000000009E-2</v>
      </c>
      <c r="BL742" t="b">
        <f t="shared" si="24"/>
        <v>1</v>
      </c>
    </row>
    <row r="743" spans="1:64" x14ac:dyDescent="0.35">
      <c r="A743" t="s">
        <v>1998</v>
      </c>
      <c r="B743" t="s">
        <v>1993</v>
      </c>
      <c r="C743">
        <v>2017</v>
      </c>
      <c r="D743" t="s">
        <v>1994</v>
      </c>
      <c r="E743" t="s">
        <v>1995</v>
      </c>
      <c r="F743" t="s">
        <v>66</v>
      </c>
      <c r="G743" t="s">
        <v>101</v>
      </c>
      <c r="H743" t="s">
        <v>348</v>
      </c>
      <c r="I743" t="s">
        <v>349</v>
      </c>
      <c r="J743" t="s">
        <v>70</v>
      </c>
      <c r="L743">
        <v>4</v>
      </c>
      <c r="M743" t="b">
        <v>0</v>
      </c>
      <c r="N743">
        <v>1</v>
      </c>
      <c r="O743">
        <v>1</v>
      </c>
      <c r="P743">
        <v>7</v>
      </c>
      <c r="Q743">
        <v>4</v>
      </c>
      <c r="R743">
        <v>3</v>
      </c>
      <c r="S743">
        <v>4</v>
      </c>
      <c r="T743">
        <v>23</v>
      </c>
      <c r="U743">
        <v>445</v>
      </c>
      <c r="V743">
        <v>110</v>
      </c>
      <c r="W743">
        <v>20</v>
      </c>
      <c r="X743">
        <v>5.5</v>
      </c>
      <c r="Y743">
        <v>3</v>
      </c>
      <c r="Z743">
        <v>26</v>
      </c>
      <c r="AA743">
        <v>2</v>
      </c>
      <c r="AB743">
        <v>2</v>
      </c>
      <c r="AC743">
        <v>2</v>
      </c>
      <c r="AD743">
        <v>2</v>
      </c>
      <c r="AE743">
        <v>128</v>
      </c>
      <c r="AF743">
        <v>1</v>
      </c>
      <c r="AG743">
        <v>1</v>
      </c>
      <c r="AH743">
        <v>1</v>
      </c>
      <c r="AI743">
        <v>29</v>
      </c>
      <c r="AJ743">
        <v>1</v>
      </c>
      <c r="AK743">
        <v>1</v>
      </c>
      <c r="AL743">
        <v>3</v>
      </c>
      <c r="AM743">
        <v>42</v>
      </c>
      <c r="AN743">
        <v>6</v>
      </c>
      <c r="AO743">
        <v>29</v>
      </c>
      <c r="AP743">
        <v>7</v>
      </c>
      <c r="AQ743">
        <v>156</v>
      </c>
      <c r="AR743">
        <v>5.8426966292134827E-2</v>
      </c>
      <c r="AS743">
        <v>4.4943820224719114E-3</v>
      </c>
      <c r="AT743">
        <v>0.28764044943820227</v>
      </c>
      <c r="AU743">
        <v>2.2471910112359548E-3</v>
      </c>
      <c r="AV743">
        <v>6.5168539325842698E-2</v>
      </c>
      <c r="AW743">
        <v>9.4382022471910118E-2</v>
      </c>
      <c r="AX743">
        <v>6.5168539325842698E-2</v>
      </c>
      <c r="AY743">
        <v>0.35056179775280899</v>
      </c>
      <c r="AZ743">
        <v>-2.921348314606742E-2</v>
      </c>
      <c r="BA743">
        <v>0.5</v>
      </c>
      <c r="BB743">
        <v>0.75</v>
      </c>
      <c r="BC743">
        <v>0.46666666666666667</v>
      </c>
      <c r="BD743">
        <v>0.60674157303370779</v>
      </c>
      <c r="BE743">
        <v>4</v>
      </c>
      <c r="BF743">
        <v>0.58085205992509359</v>
      </c>
      <c r="BG743">
        <v>0.59</v>
      </c>
      <c r="BH743" t="s">
        <v>71</v>
      </c>
      <c r="BI743">
        <v>0.57999999999999996</v>
      </c>
      <c r="BJ743" t="s">
        <v>71</v>
      </c>
      <c r="BK743" s="2">
        <f t="shared" si="23"/>
        <v>1.0000000000000009E-2</v>
      </c>
      <c r="BL743" t="b">
        <f t="shared" si="24"/>
        <v>1</v>
      </c>
    </row>
    <row r="744" spans="1:64" x14ac:dyDescent="0.35">
      <c r="A744" t="s">
        <v>1999</v>
      </c>
      <c r="B744" t="s">
        <v>1993</v>
      </c>
      <c r="C744">
        <v>2020</v>
      </c>
      <c r="D744" t="s">
        <v>1994</v>
      </c>
      <c r="E744" t="s">
        <v>1995</v>
      </c>
      <c r="F744" t="s">
        <v>66</v>
      </c>
      <c r="G744" t="s">
        <v>101</v>
      </c>
      <c r="H744" t="s">
        <v>348</v>
      </c>
      <c r="I744" t="s">
        <v>349</v>
      </c>
      <c r="J744" t="s">
        <v>70</v>
      </c>
      <c r="L744">
        <v>4</v>
      </c>
      <c r="M744" t="b">
        <v>0</v>
      </c>
      <c r="N744">
        <v>4</v>
      </c>
      <c r="O744">
        <v>1</v>
      </c>
      <c r="P744">
        <v>1</v>
      </c>
      <c r="Q744">
        <v>4</v>
      </c>
      <c r="R744">
        <v>-3</v>
      </c>
      <c r="S744">
        <v>2</v>
      </c>
      <c r="T744">
        <v>21</v>
      </c>
      <c r="U744">
        <v>362</v>
      </c>
      <c r="V744">
        <v>64</v>
      </c>
      <c r="W744">
        <v>14</v>
      </c>
      <c r="X744">
        <v>4.5714285714285712</v>
      </c>
      <c r="Y744">
        <v>2</v>
      </c>
      <c r="Z744">
        <v>24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6</v>
      </c>
      <c r="AH744">
        <v>1</v>
      </c>
      <c r="AI744">
        <v>8</v>
      </c>
      <c r="AJ744">
        <v>2</v>
      </c>
      <c r="AK744">
        <v>27</v>
      </c>
      <c r="AL744">
        <v>3</v>
      </c>
      <c r="AM744">
        <v>35</v>
      </c>
      <c r="AN744">
        <v>3</v>
      </c>
      <c r="AO744">
        <v>30</v>
      </c>
      <c r="AP744">
        <v>2</v>
      </c>
      <c r="AQ744">
        <v>24</v>
      </c>
      <c r="AR744">
        <v>6.6298342541436461E-2</v>
      </c>
      <c r="AS744">
        <v>0</v>
      </c>
      <c r="AT744">
        <v>0</v>
      </c>
      <c r="AU744">
        <v>1.6574585635359119E-2</v>
      </c>
      <c r="AV744">
        <v>2.209944751381215E-2</v>
      </c>
      <c r="AW744">
        <v>9.668508287292818E-2</v>
      </c>
      <c r="AX744">
        <v>8.2872928176795577E-2</v>
      </c>
      <c r="AY744">
        <v>6.6298342541436461E-2</v>
      </c>
      <c r="AZ744">
        <v>-1.38121546961326E-2</v>
      </c>
      <c r="BA744">
        <v>0.16666666666666671</v>
      </c>
      <c r="BB744">
        <v>0.59523809523809523</v>
      </c>
      <c r="BC744">
        <v>0.1333333333333333</v>
      </c>
      <c r="BD744">
        <v>0.61636740331491713</v>
      </c>
      <c r="BE744">
        <v>4</v>
      </c>
      <c r="BF744">
        <v>0.37790137463825307</v>
      </c>
      <c r="BG744">
        <v>0.38</v>
      </c>
      <c r="BH744" t="s">
        <v>104</v>
      </c>
      <c r="BI744">
        <v>0.38</v>
      </c>
      <c r="BJ744" t="s">
        <v>104</v>
      </c>
      <c r="BK744" s="2">
        <f t="shared" si="23"/>
        <v>0</v>
      </c>
      <c r="BL744" t="b">
        <f t="shared" si="24"/>
        <v>1</v>
      </c>
    </row>
    <row r="745" spans="1:64" x14ac:dyDescent="0.35">
      <c r="A745" t="s">
        <v>2000</v>
      </c>
      <c r="B745" t="s">
        <v>2001</v>
      </c>
      <c r="C745">
        <v>2019</v>
      </c>
      <c r="D745" t="s">
        <v>2002</v>
      </c>
      <c r="E745" t="s">
        <v>2003</v>
      </c>
      <c r="F745" t="s">
        <v>66</v>
      </c>
      <c r="G745" t="s">
        <v>144</v>
      </c>
      <c r="H745" t="s">
        <v>144</v>
      </c>
      <c r="I745" t="s">
        <v>144</v>
      </c>
      <c r="J745" t="s">
        <v>70</v>
      </c>
      <c r="L745">
        <v>5</v>
      </c>
      <c r="M745" t="b">
        <v>0</v>
      </c>
      <c r="N745">
        <v>1</v>
      </c>
      <c r="O745">
        <v>1</v>
      </c>
      <c r="P745">
        <v>4</v>
      </c>
      <c r="Q745">
        <v>4</v>
      </c>
      <c r="R745">
        <v>0</v>
      </c>
      <c r="S745">
        <v>4</v>
      </c>
      <c r="T745">
        <v>24</v>
      </c>
      <c r="U745">
        <v>293</v>
      </c>
      <c r="V745">
        <v>105</v>
      </c>
      <c r="W745">
        <v>20</v>
      </c>
      <c r="X745">
        <v>5.25</v>
      </c>
      <c r="Y745">
        <v>2</v>
      </c>
      <c r="Z745">
        <v>45</v>
      </c>
      <c r="AA745">
        <v>0</v>
      </c>
      <c r="AB745">
        <v>0</v>
      </c>
      <c r="AC745">
        <v>2</v>
      </c>
      <c r="AD745">
        <v>2</v>
      </c>
      <c r="AE745">
        <v>66</v>
      </c>
      <c r="AF745">
        <v>1</v>
      </c>
      <c r="AG745">
        <v>3</v>
      </c>
      <c r="AH745">
        <v>1</v>
      </c>
      <c r="AI745">
        <v>1</v>
      </c>
      <c r="AJ745">
        <v>1</v>
      </c>
      <c r="AK745">
        <v>1</v>
      </c>
      <c r="AL745">
        <v>2</v>
      </c>
      <c r="AM745">
        <v>2</v>
      </c>
      <c r="AN745">
        <v>3</v>
      </c>
      <c r="AO745">
        <v>48</v>
      </c>
      <c r="AP745">
        <v>4</v>
      </c>
      <c r="AQ745">
        <v>111</v>
      </c>
      <c r="AR745">
        <v>0.15358361774744031</v>
      </c>
      <c r="AS745">
        <v>0</v>
      </c>
      <c r="AT745">
        <v>0.2252559726962457</v>
      </c>
      <c r="AU745">
        <v>1.0238907849829349E-2</v>
      </c>
      <c r="AV745">
        <v>3.412969283276451E-3</v>
      </c>
      <c r="AW745">
        <v>6.8259385665529011E-3</v>
      </c>
      <c r="AX745">
        <v>0.16382252559726959</v>
      </c>
      <c r="AY745">
        <v>0.37883959044368598</v>
      </c>
      <c r="AZ745">
        <v>0.1569965870307167</v>
      </c>
      <c r="BA745">
        <v>0.5</v>
      </c>
      <c r="BB745">
        <v>0.70833333333333337</v>
      </c>
      <c r="BC745">
        <v>0.26666666666666672</v>
      </c>
      <c r="BD745">
        <v>0.7231228668941978</v>
      </c>
      <c r="BE745">
        <v>4</v>
      </c>
      <c r="BF745">
        <v>0.54953071672354947</v>
      </c>
      <c r="BG745">
        <v>0.55000000000000004</v>
      </c>
      <c r="BH745" t="s">
        <v>71</v>
      </c>
      <c r="BI745">
        <v>0.55000000000000004</v>
      </c>
      <c r="BJ745" t="s">
        <v>71</v>
      </c>
      <c r="BK745" s="2">
        <f t="shared" si="23"/>
        <v>0</v>
      </c>
      <c r="BL745" t="b">
        <f t="shared" si="24"/>
        <v>1</v>
      </c>
    </row>
    <row r="746" spans="1:64" x14ac:dyDescent="0.35">
      <c r="A746" t="s">
        <v>2004</v>
      </c>
      <c r="B746" t="s">
        <v>2005</v>
      </c>
      <c r="C746">
        <v>2014</v>
      </c>
      <c r="D746" t="s">
        <v>2006</v>
      </c>
      <c r="E746" t="s">
        <v>2007</v>
      </c>
      <c r="F746" t="s">
        <v>66</v>
      </c>
      <c r="G746" t="s">
        <v>144</v>
      </c>
      <c r="H746" t="s">
        <v>144</v>
      </c>
      <c r="I746" t="s">
        <v>2008</v>
      </c>
      <c r="J746" t="s">
        <v>70</v>
      </c>
      <c r="L746">
        <v>2</v>
      </c>
      <c r="M746" t="b">
        <v>0</v>
      </c>
      <c r="N746">
        <v>1</v>
      </c>
      <c r="O746">
        <v>1</v>
      </c>
      <c r="P746">
        <v>4</v>
      </c>
      <c r="Q746">
        <v>4</v>
      </c>
      <c r="R746">
        <v>0</v>
      </c>
      <c r="S746">
        <v>4</v>
      </c>
      <c r="T746">
        <v>16</v>
      </c>
      <c r="U746">
        <v>135</v>
      </c>
      <c r="V746">
        <v>68</v>
      </c>
      <c r="W746">
        <v>14</v>
      </c>
      <c r="X746">
        <v>4.8571428571428568</v>
      </c>
      <c r="Y746">
        <v>2</v>
      </c>
      <c r="Z746">
        <v>35</v>
      </c>
      <c r="AA746">
        <v>0</v>
      </c>
      <c r="AB746">
        <v>0</v>
      </c>
      <c r="AC746">
        <v>1</v>
      </c>
      <c r="AD746">
        <v>1</v>
      </c>
      <c r="AE746">
        <v>4</v>
      </c>
      <c r="AF746">
        <v>1</v>
      </c>
      <c r="AG746">
        <v>8</v>
      </c>
      <c r="AH746">
        <v>3</v>
      </c>
      <c r="AI746">
        <v>34</v>
      </c>
      <c r="AJ746">
        <v>1</v>
      </c>
      <c r="AK746">
        <v>8</v>
      </c>
      <c r="AL746">
        <v>4</v>
      </c>
      <c r="AM746">
        <v>42</v>
      </c>
      <c r="AN746">
        <v>3</v>
      </c>
      <c r="AO746">
        <v>43</v>
      </c>
      <c r="AP746">
        <v>3</v>
      </c>
      <c r="AQ746">
        <v>39</v>
      </c>
      <c r="AR746">
        <v>0.25925925925925919</v>
      </c>
      <c r="AS746">
        <v>0</v>
      </c>
      <c r="AT746">
        <v>2.9629629629629631E-2</v>
      </c>
      <c r="AU746">
        <v>5.9259259259259262E-2</v>
      </c>
      <c r="AV746">
        <v>0.25185185185185183</v>
      </c>
      <c r="AW746">
        <v>0.31111111111111112</v>
      </c>
      <c r="AX746">
        <v>0.31851851851851848</v>
      </c>
      <c r="AY746">
        <v>0.28888888888888892</v>
      </c>
      <c r="AZ746">
        <v>7.4074074074074181E-3</v>
      </c>
      <c r="BA746">
        <v>0.5</v>
      </c>
      <c r="BB746">
        <v>0.64285714285714279</v>
      </c>
      <c r="BC746">
        <v>0.2</v>
      </c>
      <c r="BD746">
        <v>0.62962962962962965</v>
      </c>
      <c r="BE746">
        <v>4</v>
      </c>
      <c r="BF746">
        <v>0.49312169312169313</v>
      </c>
      <c r="BG746">
        <v>0.53</v>
      </c>
      <c r="BH746" t="s">
        <v>71</v>
      </c>
      <c r="BI746">
        <v>0.49</v>
      </c>
      <c r="BJ746" t="s">
        <v>71</v>
      </c>
      <c r="BK746" s="2">
        <f t="shared" si="23"/>
        <v>4.0000000000000036E-2</v>
      </c>
      <c r="BL746" t="b">
        <f t="shared" si="24"/>
        <v>1</v>
      </c>
    </row>
    <row r="747" spans="1:64" x14ac:dyDescent="0.35">
      <c r="A747" t="s">
        <v>2009</v>
      </c>
      <c r="B747" t="s">
        <v>2005</v>
      </c>
      <c r="C747">
        <v>2015</v>
      </c>
      <c r="D747" t="s">
        <v>2006</v>
      </c>
      <c r="E747" t="s">
        <v>2007</v>
      </c>
      <c r="F747" t="s">
        <v>66</v>
      </c>
      <c r="G747" t="s">
        <v>144</v>
      </c>
      <c r="H747" t="s">
        <v>144</v>
      </c>
      <c r="I747" t="s">
        <v>2008</v>
      </c>
      <c r="J747" t="s">
        <v>70</v>
      </c>
      <c r="L747">
        <v>2</v>
      </c>
      <c r="M747" t="b">
        <v>0</v>
      </c>
      <c r="N747">
        <v>4</v>
      </c>
      <c r="O747">
        <v>1</v>
      </c>
      <c r="P747">
        <v>3</v>
      </c>
      <c r="Q747">
        <v>4</v>
      </c>
      <c r="R747">
        <v>-1</v>
      </c>
      <c r="S747">
        <v>3</v>
      </c>
      <c r="T747">
        <v>14</v>
      </c>
      <c r="U747">
        <v>113</v>
      </c>
      <c r="V747">
        <v>50</v>
      </c>
      <c r="W747">
        <v>12</v>
      </c>
      <c r="X747">
        <v>4.166666666666667</v>
      </c>
      <c r="Y747">
        <v>1</v>
      </c>
      <c r="Z747">
        <v>21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</v>
      </c>
      <c r="AG747">
        <v>2</v>
      </c>
      <c r="AH747">
        <v>2</v>
      </c>
      <c r="AI747">
        <v>47</v>
      </c>
      <c r="AJ747">
        <v>4</v>
      </c>
      <c r="AK747">
        <v>27</v>
      </c>
      <c r="AL747">
        <v>6</v>
      </c>
      <c r="AM747">
        <v>74</v>
      </c>
      <c r="AN747">
        <v>3</v>
      </c>
      <c r="AO747">
        <v>23</v>
      </c>
      <c r="AP747">
        <v>1</v>
      </c>
      <c r="AQ747">
        <v>21</v>
      </c>
      <c r="AR747">
        <v>0.18584070796460181</v>
      </c>
      <c r="AS747">
        <v>0</v>
      </c>
      <c r="AT747">
        <v>0</v>
      </c>
      <c r="AU747">
        <v>1.7699115044247791E-2</v>
      </c>
      <c r="AV747">
        <v>0.41592920353982299</v>
      </c>
      <c r="AW747">
        <v>0.65486725663716816</v>
      </c>
      <c r="AX747">
        <v>0.2035398230088496</v>
      </c>
      <c r="AY747">
        <v>0.18584070796460181</v>
      </c>
      <c r="AZ747">
        <v>-0.45132743362831862</v>
      </c>
      <c r="BA747">
        <v>0.33333333333333331</v>
      </c>
      <c r="BB747">
        <v>0.52777777777777779</v>
      </c>
      <c r="BC747">
        <v>6.6666666666666666E-2</v>
      </c>
      <c r="BD747">
        <v>0.34292035398230092</v>
      </c>
      <c r="BE747">
        <v>4</v>
      </c>
      <c r="BF747">
        <v>0.31767453294001968</v>
      </c>
      <c r="BG747">
        <v>0.38</v>
      </c>
      <c r="BH747" t="s">
        <v>104</v>
      </c>
      <c r="BI747">
        <v>0.32</v>
      </c>
      <c r="BJ747" t="s">
        <v>104</v>
      </c>
      <c r="BK747" s="2">
        <f t="shared" si="23"/>
        <v>0.06</v>
      </c>
      <c r="BL747" t="b">
        <f t="shared" si="24"/>
        <v>1</v>
      </c>
    </row>
    <row r="748" spans="1:64" x14ac:dyDescent="0.35">
      <c r="A748" t="s">
        <v>2010</v>
      </c>
      <c r="B748" t="s">
        <v>2005</v>
      </c>
      <c r="C748">
        <v>2016</v>
      </c>
      <c r="D748" t="s">
        <v>2006</v>
      </c>
      <c r="E748" t="s">
        <v>2007</v>
      </c>
      <c r="F748" t="s">
        <v>66</v>
      </c>
      <c r="G748" t="s">
        <v>144</v>
      </c>
      <c r="H748" t="s">
        <v>144</v>
      </c>
      <c r="I748" t="s">
        <v>2008</v>
      </c>
      <c r="J748" t="s">
        <v>70</v>
      </c>
      <c r="L748">
        <v>2</v>
      </c>
      <c r="M748" t="b">
        <v>0</v>
      </c>
      <c r="N748">
        <v>3</v>
      </c>
      <c r="O748">
        <v>1</v>
      </c>
      <c r="P748">
        <v>4</v>
      </c>
      <c r="Q748">
        <v>5</v>
      </c>
      <c r="R748">
        <v>-1</v>
      </c>
      <c r="S748">
        <v>4</v>
      </c>
      <c r="T748">
        <v>25</v>
      </c>
      <c r="U748">
        <v>970</v>
      </c>
      <c r="V748">
        <v>75</v>
      </c>
      <c r="W748">
        <v>16</v>
      </c>
      <c r="X748">
        <v>4.6875</v>
      </c>
      <c r="Y748">
        <v>3</v>
      </c>
      <c r="Z748">
        <v>164</v>
      </c>
      <c r="AA748">
        <v>0</v>
      </c>
      <c r="AB748">
        <v>0</v>
      </c>
      <c r="AC748">
        <v>1</v>
      </c>
      <c r="AD748">
        <v>1</v>
      </c>
      <c r="AE748">
        <v>39</v>
      </c>
      <c r="AF748">
        <v>1</v>
      </c>
      <c r="AG748">
        <v>6</v>
      </c>
      <c r="AH748">
        <v>2</v>
      </c>
      <c r="AI748">
        <v>351</v>
      </c>
      <c r="AJ748">
        <v>2</v>
      </c>
      <c r="AK748">
        <v>46</v>
      </c>
      <c r="AL748">
        <v>4</v>
      </c>
      <c r="AM748">
        <v>397</v>
      </c>
      <c r="AN748">
        <v>4</v>
      </c>
      <c r="AO748">
        <v>170</v>
      </c>
      <c r="AP748">
        <v>4</v>
      </c>
      <c r="AQ748">
        <v>203</v>
      </c>
      <c r="AR748">
        <v>0.16907216494845359</v>
      </c>
      <c r="AS748">
        <v>0</v>
      </c>
      <c r="AT748">
        <v>4.0206185567010312E-2</v>
      </c>
      <c r="AU748">
        <v>6.1855670103092781E-3</v>
      </c>
      <c r="AV748">
        <v>0.36185567010309277</v>
      </c>
      <c r="AW748">
        <v>0.40927835051546391</v>
      </c>
      <c r="AX748">
        <v>0.1752577319587629</v>
      </c>
      <c r="AY748">
        <v>0.2092783505154639</v>
      </c>
      <c r="AZ748">
        <v>-0.234020618556701</v>
      </c>
      <c r="BA748">
        <v>0.5</v>
      </c>
      <c r="BB748">
        <v>0.61458333333333337</v>
      </c>
      <c r="BC748">
        <v>0.26666666666666672</v>
      </c>
      <c r="BD748">
        <v>0.47873711340206188</v>
      </c>
      <c r="BE748">
        <v>4</v>
      </c>
      <c r="BF748">
        <v>0.46499677835051539</v>
      </c>
      <c r="BG748">
        <v>0.52</v>
      </c>
      <c r="BH748" t="s">
        <v>71</v>
      </c>
      <c r="BI748">
        <v>0.46</v>
      </c>
      <c r="BJ748" t="s">
        <v>71</v>
      </c>
      <c r="BK748" s="2">
        <f t="shared" si="23"/>
        <v>0.06</v>
      </c>
      <c r="BL748" t="b">
        <f t="shared" si="24"/>
        <v>1</v>
      </c>
    </row>
    <row r="749" spans="1:64" x14ac:dyDescent="0.35">
      <c r="A749" t="s">
        <v>2011</v>
      </c>
      <c r="B749" t="s">
        <v>2005</v>
      </c>
      <c r="C749">
        <v>2017</v>
      </c>
      <c r="D749" t="s">
        <v>2006</v>
      </c>
      <c r="E749" t="s">
        <v>2007</v>
      </c>
      <c r="F749" t="s">
        <v>66</v>
      </c>
      <c r="G749" t="s">
        <v>144</v>
      </c>
      <c r="H749" t="s">
        <v>144</v>
      </c>
      <c r="I749" t="s">
        <v>2008</v>
      </c>
      <c r="J749" t="s">
        <v>70</v>
      </c>
      <c r="L749">
        <v>2</v>
      </c>
      <c r="M749" t="b">
        <v>0</v>
      </c>
      <c r="N749">
        <v>1</v>
      </c>
      <c r="O749">
        <v>1</v>
      </c>
      <c r="P749">
        <v>5</v>
      </c>
      <c r="Q749">
        <v>3</v>
      </c>
      <c r="R749">
        <v>2</v>
      </c>
      <c r="S749">
        <v>4</v>
      </c>
      <c r="T749">
        <v>16</v>
      </c>
      <c r="U749">
        <v>156</v>
      </c>
      <c r="V749">
        <v>74</v>
      </c>
      <c r="W749">
        <v>16</v>
      </c>
      <c r="X749">
        <v>4.625</v>
      </c>
      <c r="Y749">
        <v>3</v>
      </c>
      <c r="Z749">
        <v>18</v>
      </c>
      <c r="AA749">
        <v>0</v>
      </c>
      <c r="AB749">
        <v>0</v>
      </c>
      <c r="AC749">
        <v>1</v>
      </c>
      <c r="AD749">
        <v>1</v>
      </c>
      <c r="AE749">
        <v>33</v>
      </c>
      <c r="AF749">
        <v>1</v>
      </c>
      <c r="AG749">
        <v>2</v>
      </c>
      <c r="AH749">
        <v>2</v>
      </c>
      <c r="AI749">
        <v>32</v>
      </c>
      <c r="AJ749">
        <v>1</v>
      </c>
      <c r="AK749">
        <v>3</v>
      </c>
      <c r="AL749">
        <v>3</v>
      </c>
      <c r="AM749">
        <v>35</v>
      </c>
      <c r="AN749">
        <v>4</v>
      </c>
      <c r="AO749">
        <v>20</v>
      </c>
      <c r="AP749">
        <v>4</v>
      </c>
      <c r="AQ749">
        <v>51</v>
      </c>
      <c r="AR749">
        <v>0.1153846153846154</v>
      </c>
      <c r="AS749">
        <v>0</v>
      </c>
      <c r="AT749">
        <v>0.21153846153846151</v>
      </c>
      <c r="AU749">
        <v>1.282051282051282E-2</v>
      </c>
      <c r="AV749">
        <v>0.20512820512820509</v>
      </c>
      <c r="AW749">
        <v>0.22435897435897439</v>
      </c>
      <c r="AX749">
        <v>0.12820512820512819</v>
      </c>
      <c r="AY749">
        <v>0.32692307692307693</v>
      </c>
      <c r="AZ749">
        <v>-9.6153846153846173E-2</v>
      </c>
      <c r="BA749">
        <v>0.5</v>
      </c>
      <c r="BB749">
        <v>0.60416666666666663</v>
      </c>
      <c r="BC749">
        <v>0.26666666666666672</v>
      </c>
      <c r="BD749">
        <v>0.56490384615384615</v>
      </c>
      <c r="BE749">
        <v>4</v>
      </c>
      <c r="BF749">
        <v>0.48393429487179479</v>
      </c>
      <c r="BG749">
        <v>0.52</v>
      </c>
      <c r="BH749" t="s">
        <v>71</v>
      </c>
      <c r="BI749">
        <v>0.48</v>
      </c>
      <c r="BJ749" t="s">
        <v>71</v>
      </c>
      <c r="BK749" s="2">
        <f t="shared" si="23"/>
        <v>4.0000000000000036E-2</v>
      </c>
      <c r="BL749" t="b">
        <f t="shared" si="24"/>
        <v>1</v>
      </c>
    </row>
    <row r="750" spans="1:64" x14ac:dyDescent="0.35">
      <c r="A750" t="s">
        <v>2012</v>
      </c>
      <c r="B750" t="s">
        <v>2005</v>
      </c>
      <c r="C750">
        <v>2020</v>
      </c>
      <c r="D750" t="s">
        <v>2006</v>
      </c>
      <c r="E750" t="s">
        <v>2007</v>
      </c>
      <c r="F750" t="s">
        <v>66</v>
      </c>
      <c r="G750" t="s">
        <v>144</v>
      </c>
      <c r="H750" t="s">
        <v>144</v>
      </c>
      <c r="I750" t="s">
        <v>2008</v>
      </c>
      <c r="J750" t="s">
        <v>70</v>
      </c>
      <c r="L750">
        <v>2</v>
      </c>
      <c r="M750" t="b">
        <v>0</v>
      </c>
      <c r="N750">
        <v>3</v>
      </c>
      <c r="O750">
        <v>2</v>
      </c>
      <c r="P750">
        <v>1</v>
      </c>
      <c r="Q750">
        <v>6</v>
      </c>
      <c r="R750">
        <v>-5</v>
      </c>
      <c r="S750">
        <v>3</v>
      </c>
      <c r="T750">
        <v>17</v>
      </c>
      <c r="U750">
        <v>415</v>
      </c>
      <c r="V750">
        <v>70</v>
      </c>
      <c r="W750">
        <v>16</v>
      </c>
      <c r="X750">
        <v>4.375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</v>
      </c>
      <c r="AG750">
        <v>9</v>
      </c>
      <c r="AH750">
        <v>2</v>
      </c>
      <c r="AI750">
        <v>47</v>
      </c>
      <c r="AJ750">
        <v>2</v>
      </c>
      <c r="AK750">
        <v>18</v>
      </c>
      <c r="AL750">
        <v>4</v>
      </c>
      <c r="AM750">
        <v>65</v>
      </c>
      <c r="AN750">
        <v>2</v>
      </c>
      <c r="AO750">
        <v>9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2.168674698795181E-2</v>
      </c>
      <c r="AV750">
        <v>0.1132530120481928</v>
      </c>
      <c r="AW750">
        <v>0.15662650602409639</v>
      </c>
      <c r="AX750">
        <v>2.168674698795181E-2</v>
      </c>
      <c r="AY750">
        <v>0</v>
      </c>
      <c r="AZ750">
        <v>-0.13493975903614461</v>
      </c>
      <c r="BA750">
        <v>0.33333333333333331</v>
      </c>
      <c r="BB750">
        <v>0.5625</v>
      </c>
      <c r="BC750">
        <v>0</v>
      </c>
      <c r="BD750">
        <v>0.54066265060240959</v>
      </c>
      <c r="BE750">
        <v>4</v>
      </c>
      <c r="BF750">
        <v>0.35912399598393568</v>
      </c>
      <c r="BG750">
        <v>0.38</v>
      </c>
      <c r="BH750" t="s">
        <v>104</v>
      </c>
      <c r="BI750">
        <v>0.36</v>
      </c>
      <c r="BJ750" t="s">
        <v>104</v>
      </c>
      <c r="BK750" s="2">
        <f t="shared" si="23"/>
        <v>2.0000000000000018E-2</v>
      </c>
      <c r="BL750" t="b">
        <f t="shared" si="24"/>
        <v>1</v>
      </c>
    </row>
    <row r="751" spans="1:64" x14ac:dyDescent="0.35">
      <c r="A751" t="s">
        <v>2013</v>
      </c>
      <c r="B751" t="s">
        <v>2014</v>
      </c>
      <c r="C751">
        <v>2020</v>
      </c>
      <c r="D751" t="s">
        <v>2015</v>
      </c>
      <c r="E751" t="s">
        <v>2016</v>
      </c>
      <c r="F751" t="s">
        <v>66</v>
      </c>
      <c r="G751" t="s">
        <v>67</v>
      </c>
      <c r="H751" t="s">
        <v>84</v>
      </c>
      <c r="I751" t="s">
        <v>675</v>
      </c>
      <c r="J751" t="s">
        <v>70</v>
      </c>
      <c r="L751">
        <v>1</v>
      </c>
      <c r="M751" t="b">
        <v>0</v>
      </c>
      <c r="N751">
        <v>3</v>
      </c>
      <c r="O751">
        <v>1</v>
      </c>
      <c r="P751">
        <v>2</v>
      </c>
      <c r="Q751">
        <v>4</v>
      </c>
      <c r="R751">
        <v>-2</v>
      </c>
      <c r="S751">
        <v>3</v>
      </c>
      <c r="T751">
        <v>21</v>
      </c>
      <c r="U751">
        <v>366</v>
      </c>
      <c r="V751">
        <v>59</v>
      </c>
      <c r="W751">
        <v>16</v>
      </c>
      <c r="X751">
        <v>3.6875</v>
      </c>
      <c r="Y751">
        <v>3</v>
      </c>
      <c r="Z751">
        <v>72</v>
      </c>
      <c r="AA751">
        <v>0</v>
      </c>
      <c r="AB751">
        <v>0</v>
      </c>
      <c r="AC751">
        <v>1</v>
      </c>
      <c r="AD751">
        <v>1</v>
      </c>
      <c r="AE751">
        <v>9</v>
      </c>
      <c r="AF751">
        <v>1</v>
      </c>
      <c r="AG751">
        <v>2</v>
      </c>
      <c r="AH751">
        <v>1</v>
      </c>
      <c r="AI751">
        <v>11</v>
      </c>
      <c r="AJ751">
        <v>1</v>
      </c>
      <c r="AK751">
        <v>8</v>
      </c>
      <c r="AL751">
        <v>2</v>
      </c>
      <c r="AM751">
        <v>19</v>
      </c>
      <c r="AN751">
        <v>4</v>
      </c>
      <c r="AO751">
        <v>74</v>
      </c>
      <c r="AP751">
        <v>4</v>
      </c>
      <c r="AQ751">
        <v>81</v>
      </c>
      <c r="AR751">
        <v>0.1967213114754098</v>
      </c>
      <c r="AS751">
        <v>0</v>
      </c>
      <c r="AT751">
        <v>2.4590163934426229E-2</v>
      </c>
      <c r="AU751">
        <v>5.4644808743169399E-3</v>
      </c>
      <c r="AV751">
        <v>3.0054644808743172E-2</v>
      </c>
      <c r="AW751">
        <v>5.1912568306010931E-2</v>
      </c>
      <c r="AX751">
        <v>0.20218579234972681</v>
      </c>
      <c r="AY751">
        <v>0.22131147540983609</v>
      </c>
      <c r="AZ751">
        <v>0.15027322404371579</v>
      </c>
      <c r="BA751">
        <v>0.33333333333333331</v>
      </c>
      <c r="BB751">
        <v>0.44791666666666669</v>
      </c>
      <c r="BC751">
        <v>0.26666666666666672</v>
      </c>
      <c r="BD751">
        <v>0.71892076502732238</v>
      </c>
      <c r="BE751">
        <v>4</v>
      </c>
      <c r="BF751">
        <v>0.44170935792349719</v>
      </c>
      <c r="BG751">
        <v>0.45</v>
      </c>
      <c r="BH751" t="s">
        <v>71</v>
      </c>
      <c r="BI751">
        <v>0.44</v>
      </c>
      <c r="BJ751" t="s">
        <v>71</v>
      </c>
      <c r="BK751" s="2">
        <f t="shared" si="23"/>
        <v>1.0000000000000009E-2</v>
      </c>
      <c r="BL751" t="b">
        <f t="shared" si="24"/>
        <v>1</v>
      </c>
    </row>
    <row r="752" spans="1:64" x14ac:dyDescent="0.35">
      <c r="A752" t="s">
        <v>2017</v>
      </c>
      <c r="B752" t="s">
        <v>2018</v>
      </c>
      <c r="C752">
        <v>2015</v>
      </c>
      <c r="D752" t="s">
        <v>2019</v>
      </c>
      <c r="E752" t="s">
        <v>2020</v>
      </c>
      <c r="F752" t="s">
        <v>66</v>
      </c>
      <c r="G752" t="s">
        <v>101</v>
      </c>
      <c r="H752" t="s">
        <v>170</v>
      </c>
      <c r="I752" t="s">
        <v>1673</v>
      </c>
      <c r="J752" t="s">
        <v>70</v>
      </c>
      <c r="L752">
        <v>2</v>
      </c>
      <c r="M752" t="b">
        <v>0</v>
      </c>
      <c r="N752">
        <v>1</v>
      </c>
      <c r="O752">
        <v>1</v>
      </c>
      <c r="P752">
        <v>8</v>
      </c>
      <c r="Q752">
        <v>4</v>
      </c>
      <c r="R752">
        <v>4</v>
      </c>
      <c r="S752">
        <v>5</v>
      </c>
      <c r="T752">
        <v>30</v>
      </c>
      <c r="U752">
        <v>96</v>
      </c>
      <c r="V752">
        <v>124</v>
      </c>
      <c r="W752">
        <v>21</v>
      </c>
      <c r="X752">
        <v>5.9047619047619051</v>
      </c>
      <c r="Y752">
        <v>3</v>
      </c>
      <c r="Z752">
        <v>5</v>
      </c>
      <c r="AA752">
        <v>1</v>
      </c>
      <c r="AB752">
        <v>2</v>
      </c>
      <c r="AC752">
        <v>4</v>
      </c>
      <c r="AD752">
        <v>4</v>
      </c>
      <c r="AE752">
        <v>31</v>
      </c>
      <c r="AF752">
        <v>4</v>
      </c>
      <c r="AG752">
        <v>21</v>
      </c>
      <c r="AH752">
        <v>1</v>
      </c>
      <c r="AI752">
        <v>1</v>
      </c>
      <c r="AJ752">
        <v>2</v>
      </c>
      <c r="AK752">
        <v>2</v>
      </c>
      <c r="AL752">
        <v>3</v>
      </c>
      <c r="AM752">
        <v>3</v>
      </c>
      <c r="AN752">
        <v>8</v>
      </c>
      <c r="AO752">
        <v>28</v>
      </c>
      <c r="AP752">
        <v>8</v>
      </c>
      <c r="AQ752">
        <v>38</v>
      </c>
      <c r="AR752">
        <v>5.2083333333333343E-2</v>
      </c>
      <c r="AS752">
        <v>2.0833333333333329E-2</v>
      </c>
      <c r="AT752">
        <v>0.32291666666666669</v>
      </c>
      <c r="AU752">
        <v>0.21875</v>
      </c>
      <c r="AV752">
        <v>1.041666666666667E-2</v>
      </c>
      <c r="AW752">
        <v>3.125E-2</v>
      </c>
      <c r="AX752">
        <v>0.29166666666666669</v>
      </c>
      <c r="AY752">
        <v>0.39583333333333331</v>
      </c>
      <c r="AZ752">
        <v>0.26041666666666669</v>
      </c>
      <c r="BA752">
        <v>0.66666666666666663</v>
      </c>
      <c r="BB752">
        <v>0.81746031746031755</v>
      </c>
      <c r="BC752">
        <v>0.53333333333333333</v>
      </c>
      <c r="BD752">
        <v>0.78776041666666663</v>
      </c>
      <c r="BE752">
        <v>4</v>
      </c>
      <c r="BF752">
        <v>0.70130518353174609</v>
      </c>
      <c r="BG752">
        <v>0.7</v>
      </c>
      <c r="BH752" t="s">
        <v>86</v>
      </c>
      <c r="BI752">
        <v>0.7</v>
      </c>
      <c r="BJ752" t="s">
        <v>86</v>
      </c>
      <c r="BK752" s="2">
        <f t="shared" si="23"/>
        <v>0</v>
      </c>
      <c r="BL752" t="b">
        <f t="shared" si="24"/>
        <v>1</v>
      </c>
    </row>
    <row r="753" spans="1:64" x14ac:dyDescent="0.35">
      <c r="A753" t="s">
        <v>2021</v>
      </c>
      <c r="B753" t="s">
        <v>2018</v>
      </c>
      <c r="C753">
        <v>2019</v>
      </c>
      <c r="D753" t="s">
        <v>2019</v>
      </c>
      <c r="E753" t="s">
        <v>2020</v>
      </c>
      <c r="F753" t="s">
        <v>66</v>
      </c>
      <c r="G753" t="s">
        <v>101</v>
      </c>
      <c r="H753" t="s">
        <v>170</v>
      </c>
      <c r="I753" t="s">
        <v>1673</v>
      </c>
      <c r="J753" t="s">
        <v>70</v>
      </c>
      <c r="L753">
        <v>2</v>
      </c>
      <c r="M753" t="b">
        <v>0</v>
      </c>
      <c r="N753">
        <v>1</v>
      </c>
      <c r="O753">
        <v>1</v>
      </c>
      <c r="P753">
        <v>5</v>
      </c>
      <c r="Q753">
        <v>5</v>
      </c>
      <c r="R753">
        <v>0</v>
      </c>
      <c r="S753">
        <v>4</v>
      </c>
      <c r="T753">
        <v>20</v>
      </c>
      <c r="U753">
        <v>389</v>
      </c>
      <c r="V753">
        <v>83</v>
      </c>
      <c r="W753">
        <v>18</v>
      </c>
      <c r="X753">
        <v>4.6111111111111107</v>
      </c>
      <c r="Y753">
        <v>3</v>
      </c>
      <c r="Z753">
        <v>53</v>
      </c>
      <c r="AA753">
        <v>0</v>
      </c>
      <c r="AB753">
        <v>0</v>
      </c>
      <c r="AC753">
        <v>2</v>
      </c>
      <c r="AD753">
        <v>2</v>
      </c>
      <c r="AE753">
        <v>18</v>
      </c>
      <c r="AF753">
        <v>1</v>
      </c>
      <c r="AG753">
        <v>3</v>
      </c>
      <c r="AH753">
        <v>1</v>
      </c>
      <c r="AI753">
        <v>18</v>
      </c>
      <c r="AJ753">
        <v>3</v>
      </c>
      <c r="AK753">
        <v>5</v>
      </c>
      <c r="AL753">
        <v>4</v>
      </c>
      <c r="AM753">
        <v>23</v>
      </c>
      <c r="AN753">
        <v>4</v>
      </c>
      <c r="AO753">
        <v>56</v>
      </c>
      <c r="AP753">
        <v>5</v>
      </c>
      <c r="AQ753">
        <v>71</v>
      </c>
      <c r="AR753">
        <v>0.1362467866323907</v>
      </c>
      <c r="AS753">
        <v>0</v>
      </c>
      <c r="AT753">
        <v>4.6272493573264781E-2</v>
      </c>
      <c r="AU753">
        <v>7.7120822622107968E-3</v>
      </c>
      <c r="AV753">
        <v>4.6272493573264781E-2</v>
      </c>
      <c r="AW753">
        <v>5.9125964010282778E-2</v>
      </c>
      <c r="AX753">
        <v>0.14395886889460149</v>
      </c>
      <c r="AY753">
        <v>0.1825192802056555</v>
      </c>
      <c r="AZ753">
        <v>8.4832904884318772E-2</v>
      </c>
      <c r="BA753">
        <v>0.5</v>
      </c>
      <c r="BB753">
        <v>0.60185185185185175</v>
      </c>
      <c r="BC753">
        <v>0.33333333333333331</v>
      </c>
      <c r="BD753">
        <v>0.67802056555269918</v>
      </c>
      <c r="BE753">
        <v>4</v>
      </c>
      <c r="BF753">
        <v>0.52830143768447102</v>
      </c>
      <c r="BG753">
        <v>0.54</v>
      </c>
      <c r="BH753" t="s">
        <v>71</v>
      </c>
      <c r="BI753">
        <v>0.53</v>
      </c>
      <c r="BJ753" t="s">
        <v>71</v>
      </c>
      <c r="BK753" s="2">
        <f t="shared" si="23"/>
        <v>1.0000000000000009E-2</v>
      </c>
      <c r="BL753" t="b">
        <f t="shared" si="24"/>
        <v>1</v>
      </c>
    </row>
    <row r="754" spans="1:64" x14ac:dyDescent="0.35">
      <c r="A754" t="s">
        <v>2022</v>
      </c>
      <c r="B754" t="s">
        <v>2023</v>
      </c>
      <c r="C754">
        <v>2020</v>
      </c>
      <c r="D754" t="s">
        <v>2024</v>
      </c>
      <c r="E754" t="s">
        <v>2025</v>
      </c>
      <c r="F754" t="s">
        <v>66</v>
      </c>
      <c r="G754" t="s">
        <v>67</v>
      </c>
      <c r="H754" t="s">
        <v>138</v>
      </c>
      <c r="I754" t="s">
        <v>2026</v>
      </c>
      <c r="J754" t="s">
        <v>70</v>
      </c>
      <c r="L754">
        <v>1</v>
      </c>
      <c r="M754" t="b">
        <v>0</v>
      </c>
      <c r="N754">
        <v>4</v>
      </c>
      <c r="O754">
        <v>1</v>
      </c>
      <c r="P754">
        <v>2</v>
      </c>
      <c r="Q754">
        <v>4</v>
      </c>
      <c r="R754">
        <v>-2</v>
      </c>
      <c r="S754">
        <v>2</v>
      </c>
      <c r="T754">
        <v>15</v>
      </c>
      <c r="U754">
        <v>201</v>
      </c>
      <c r="V754">
        <v>56</v>
      </c>
      <c r="W754">
        <v>13</v>
      </c>
      <c r="X754">
        <v>4.3076923076923066</v>
      </c>
      <c r="Y754">
        <v>1</v>
      </c>
      <c r="Z754">
        <v>86</v>
      </c>
      <c r="AA754">
        <v>0</v>
      </c>
      <c r="AB754">
        <v>0</v>
      </c>
      <c r="AC754">
        <v>2</v>
      </c>
      <c r="AD754">
        <v>2</v>
      </c>
      <c r="AE754">
        <v>13</v>
      </c>
      <c r="AF754">
        <v>1</v>
      </c>
      <c r="AG754">
        <v>2</v>
      </c>
      <c r="AH754">
        <v>2</v>
      </c>
      <c r="AI754">
        <v>51</v>
      </c>
      <c r="AJ754">
        <v>1</v>
      </c>
      <c r="AK754">
        <v>1</v>
      </c>
      <c r="AL754">
        <v>3</v>
      </c>
      <c r="AM754">
        <v>52</v>
      </c>
      <c r="AN754">
        <v>2</v>
      </c>
      <c r="AO754">
        <v>88</v>
      </c>
      <c r="AP754">
        <v>3</v>
      </c>
      <c r="AQ754">
        <v>99</v>
      </c>
      <c r="AR754">
        <v>0.42786069651741288</v>
      </c>
      <c r="AS754">
        <v>0</v>
      </c>
      <c r="AT754">
        <v>6.4676616915422883E-2</v>
      </c>
      <c r="AU754">
        <v>9.9502487562189053E-3</v>
      </c>
      <c r="AV754">
        <v>0.2537313432835821</v>
      </c>
      <c r="AW754">
        <v>0.25870646766169147</v>
      </c>
      <c r="AX754">
        <v>0.43781094527363179</v>
      </c>
      <c r="AY754">
        <v>0.4925373134328358</v>
      </c>
      <c r="AZ754">
        <v>0.17910447761194029</v>
      </c>
      <c r="BA754">
        <v>0.16666666666666671</v>
      </c>
      <c r="BB754">
        <v>0.5512820512820511</v>
      </c>
      <c r="BC754">
        <v>0.2</v>
      </c>
      <c r="BD754">
        <v>0.73694029850746268</v>
      </c>
      <c r="BE754">
        <v>4</v>
      </c>
      <c r="BF754">
        <v>0.41372225411404512</v>
      </c>
      <c r="BG754">
        <v>0.45</v>
      </c>
      <c r="BH754" t="s">
        <v>71</v>
      </c>
      <c r="BI754">
        <v>0.41</v>
      </c>
      <c r="BJ754" t="s">
        <v>71</v>
      </c>
      <c r="BK754" s="2">
        <f t="shared" si="23"/>
        <v>4.0000000000000036E-2</v>
      </c>
      <c r="BL754" t="b">
        <f t="shared" si="24"/>
        <v>1</v>
      </c>
    </row>
    <row r="755" spans="1:64" x14ac:dyDescent="0.35">
      <c r="A755" t="s">
        <v>2027</v>
      </c>
      <c r="B755" t="s">
        <v>2028</v>
      </c>
      <c r="C755">
        <v>2022</v>
      </c>
      <c r="D755" t="s">
        <v>2029</v>
      </c>
      <c r="E755" t="s">
        <v>2030</v>
      </c>
      <c r="F755" t="s">
        <v>66</v>
      </c>
      <c r="G755" t="s">
        <v>144</v>
      </c>
      <c r="H755" t="s">
        <v>144</v>
      </c>
      <c r="I755" t="s">
        <v>2031</v>
      </c>
      <c r="J755" t="s">
        <v>70</v>
      </c>
      <c r="L755">
        <v>1</v>
      </c>
      <c r="M755" t="b">
        <v>0</v>
      </c>
      <c r="N755">
        <v>1</v>
      </c>
      <c r="O755">
        <v>2</v>
      </c>
      <c r="P755">
        <v>10</v>
      </c>
      <c r="Q755">
        <v>1</v>
      </c>
      <c r="R755">
        <v>9</v>
      </c>
      <c r="S755">
        <v>6</v>
      </c>
      <c r="T755">
        <v>29</v>
      </c>
      <c r="U755">
        <v>410</v>
      </c>
      <c r="V755">
        <v>132</v>
      </c>
      <c r="W755">
        <v>21</v>
      </c>
      <c r="X755">
        <v>6.2857142857142856</v>
      </c>
      <c r="Y755">
        <v>4</v>
      </c>
      <c r="Z755">
        <v>25</v>
      </c>
      <c r="AA755">
        <v>1</v>
      </c>
      <c r="AB755">
        <v>4</v>
      </c>
      <c r="AC755">
        <v>6</v>
      </c>
      <c r="AD755">
        <v>6</v>
      </c>
      <c r="AE755">
        <v>81</v>
      </c>
      <c r="AF755">
        <v>1</v>
      </c>
      <c r="AG755">
        <v>71</v>
      </c>
      <c r="AH755">
        <v>1</v>
      </c>
      <c r="AI755">
        <v>1</v>
      </c>
      <c r="AJ755">
        <v>0</v>
      </c>
      <c r="AK755">
        <v>0</v>
      </c>
      <c r="AL755">
        <v>1</v>
      </c>
      <c r="AM755">
        <v>1</v>
      </c>
      <c r="AN755">
        <v>6</v>
      </c>
      <c r="AO755">
        <v>100</v>
      </c>
      <c r="AP755">
        <v>11</v>
      </c>
      <c r="AQ755">
        <v>110</v>
      </c>
      <c r="AR755">
        <v>6.097560975609756E-2</v>
      </c>
      <c r="AS755">
        <v>9.7560975609756097E-3</v>
      </c>
      <c r="AT755">
        <v>0.19756097560975611</v>
      </c>
      <c r="AU755">
        <v>0.17317073170731709</v>
      </c>
      <c r="AV755">
        <v>2.439024390243902E-3</v>
      </c>
      <c r="AW755">
        <v>2.439024390243902E-3</v>
      </c>
      <c r="AX755">
        <v>0.24390243902439021</v>
      </c>
      <c r="AY755">
        <v>0.26829268292682928</v>
      </c>
      <c r="AZ755">
        <v>0.24146341463414631</v>
      </c>
      <c r="BA755">
        <v>0.83333333333333337</v>
      </c>
      <c r="BB755">
        <v>0.88095238095238093</v>
      </c>
      <c r="BC755">
        <v>0.73333333333333328</v>
      </c>
      <c r="BD755">
        <v>0.77591463414634143</v>
      </c>
      <c r="BE755">
        <v>4</v>
      </c>
      <c r="BF755">
        <v>0.8058834204413472</v>
      </c>
      <c r="BG755">
        <v>0.8</v>
      </c>
      <c r="BH755" t="s">
        <v>164</v>
      </c>
      <c r="BI755">
        <v>0.81</v>
      </c>
      <c r="BJ755" t="s">
        <v>164</v>
      </c>
      <c r="BK755" s="2">
        <f t="shared" si="23"/>
        <v>-1.0000000000000009E-2</v>
      </c>
      <c r="BL755" t="b">
        <f t="shared" si="24"/>
        <v>1</v>
      </c>
    </row>
    <row r="756" spans="1:64" x14ac:dyDescent="0.35">
      <c r="A756" t="s">
        <v>2032</v>
      </c>
      <c r="B756" t="s">
        <v>2033</v>
      </c>
      <c r="C756">
        <v>2017</v>
      </c>
      <c r="D756" t="s">
        <v>2034</v>
      </c>
      <c r="E756" t="s">
        <v>2035</v>
      </c>
      <c r="F756" t="s">
        <v>66</v>
      </c>
      <c r="G756" t="s">
        <v>67</v>
      </c>
      <c r="H756" t="s">
        <v>84</v>
      </c>
      <c r="I756" t="s">
        <v>2036</v>
      </c>
      <c r="J756" t="s">
        <v>70</v>
      </c>
      <c r="L756">
        <v>1</v>
      </c>
      <c r="M756" t="b">
        <v>0</v>
      </c>
      <c r="N756">
        <v>3</v>
      </c>
      <c r="O756">
        <v>2</v>
      </c>
      <c r="P756">
        <v>6</v>
      </c>
      <c r="Q756">
        <v>2</v>
      </c>
      <c r="R756">
        <v>4</v>
      </c>
      <c r="S756">
        <v>4</v>
      </c>
      <c r="T756">
        <v>18</v>
      </c>
      <c r="U756">
        <v>662</v>
      </c>
      <c r="V756">
        <v>83</v>
      </c>
      <c r="W756">
        <v>18</v>
      </c>
      <c r="X756">
        <v>4.6111111111111107</v>
      </c>
      <c r="Y756">
        <v>1</v>
      </c>
      <c r="Z756">
        <v>258</v>
      </c>
      <c r="AA756">
        <v>0</v>
      </c>
      <c r="AB756">
        <v>0</v>
      </c>
      <c r="AC756">
        <v>3</v>
      </c>
      <c r="AD756">
        <v>3</v>
      </c>
      <c r="AE756">
        <v>78</v>
      </c>
      <c r="AF756">
        <v>0</v>
      </c>
      <c r="AG756">
        <v>0</v>
      </c>
      <c r="AH756">
        <v>2</v>
      </c>
      <c r="AI756">
        <v>84</v>
      </c>
      <c r="AJ756">
        <v>2</v>
      </c>
      <c r="AK756">
        <v>12</v>
      </c>
      <c r="AL756">
        <v>4</v>
      </c>
      <c r="AM756">
        <v>96</v>
      </c>
      <c r="AN756">
        <v>1</v>
      </c>
      <c r="AO756">
        <v>258</v>
      </c>
      <c r="AP756">
        <v>4</v>
      </c>
      <c r="AQ756">
        <v>336</v>
      </c>
      <c r="AR756">
        <v>0.38972809667673708</v>
      </c>
      <c r="AS756">
        <v>0</v>
      </c>
      <c r="AT756">
        <v>0.1178247734138973</v>
      </c>
      <c r="AU756">
        <v>0</v>
      </c>
      <c r="AV756">
        <v>0.12688821752265861</v>
      </c>
      <c r="AW756">
        <v>0.14501510574018131</v>
      </c>
      <c r="AX756">
        <v>0.38972809667673708</v>
      </c>
      <c r="AY756">
        <v>0.50755287009063443</v>
      </c>
      <c r="AZ756">
        <v>0.24471299093655591</v>
      </c>
      <c r="BA756">
        <v>0.5</v>
      </c>
      <c r="BB756">
        <v>0.60185185185185175</v>
      </c>
      <c r="BC756">
        <v>0.26666666666666672</v>
      </c>
      <c r="BD756">
        <v>0.77794561933534745</v>
      </c>
      <c r="BE756">
        <v>4</v>
      </c>
      <c r="BF756">
        <v>0.53661603446346651</v>
      </c>
      <c r="BG756">
        <v>0.56000000000000005</v>
      </c>
      <c r="BH756" t="s">
        <v>71</v>
      </c>
      <c r="BI756">
        <v>0.54</v>
      </c>
      <c r="BJ756" t="s">
        <v>71</v>
      </c>
      <c r="BK756" s="2">
        <f t="shared" si="23"/>
        <v>2.0000000000000018E-2</v>
      </c>
      <c r="BL756" t="b">
        <f t="shared" si="24"/>
        <v>1</v>
      </c>
    </row>
    <row r="757" spans="1:64" x14ac:dyDescent="0.35">
      <c r="A757" t="s">
        <v>2037</v>
      </c>
      <c r="B757" t="s">
        <v>2033</v>
      </c>
      <c r="C757">
        <v>2021</v>
      </c>
      <c r="D757" t="s">
        <v>2034</v>
      </c>
      <c r="E757" t="s">
        <v>2035</v>
      </c>
      <c r="F757" t="s">
        <v>66</v>
      </c>
      <c r="G757" t="s">
        <v>67</v>
      </c>
      <c r="H757" t="s">
        <v>84</v>
      </c>
      <c r="I757" t="s">
        <v>2036</v>
      </c>
      <c r="J757" t="s">
        <v>70</v>
      </c>
      <c r="L757">
        <v>1</v>
      </c>
      <c r="M757" t="b">
        <v>0</v>
      </c>
      <c r="N757">
        <v>3</v>
      </c>
      <c r="O757">
        <v>2</v>
      </c>
      <c r="P757">
        <v>4</v>
      </c>
      <c r="Q757">
        <v>2</v>
      </c>
      <c r="R757">
        <v>2</v>
      </c>
      <c r="S757">
        <v>4</v>
      </c>
      <c r="T757">
        <v>16</v>
      </c>
      <c r="U757">
        <v>203</v>
      </c>
      <c r="V757">
        <v>67</v>
      </c>
      <c r="W757">
        <v>14</v>
      </c>
      <c r="X757">
        <v>4.7857142857142856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  <c r="AE757">
        <v>26</v>
      </c>
      <c r="AF757">
        <v>1</v>
      </c>
      <c r="AG757">
        <v>1</v>
      </c>
      <c r="AH757">
        <v>2</v>
      </c>
      <c r="AI757">
        <v>110</v>
      </c>
      <c r="AJ757">
        <v>1</v>
      </c>
      <c r="AK757">
        <v>6</v>
      </c>
      <c r="AL757">
        <v>3</v>
      </c>
      <c r="AM757">
        <v>116</v>
      </c>
      <c r="AN757">
        <v>1</v>
      </c>
      <c r="AO757">
        <v>1</v>
      </c>
      <c r="AP757">
        <v>1</v>
      </c>
      <c r="AQ757">
        <v>26</v>
      </c>
      <c r="AR757">
        <v>0</v>
      </c>
      <c r="AS757">
        <v>0</v>
      </c>
      <c r="AT757">
        <v>0.12807881773399021</v>
      </c>
      <c r="AU757">
        <v>4.9261083743842374E-3</v>
      </c>
      <c r="AV757">
        <v>0.54187192118226601</v>
      </c>
      <c r="AW757">
        <v>0.5714285714285714</v>
      </c>
      <c r="AX757">
        <v>4.9261083743842374E-3</v>
      </c>
      <c r="AY757">
        <v>0.12807881773399021</v>
      </c>
      <c r="AZ757">
        <v>-0.56650246305418717</v>
      </c>
      <c r="BA757">
        <v>0.5</v>
      </c>
      <c r="BB757">
        <v>0.63095238095238093</v>
      </c>
      <c r="BC757">
        <v>6.6666666666666666E-2</v>
      </c>
      <c r="BD757">
        <v>0.27093596059113301</v>
      </c>
      <c r="BE757">
        <v>4</v>
      </c>
      <c r="BF757">
        <v>0.36713875205254509</v>
      </c>
      <c r="BG757">
        <v>0.45</v>
      </c>
      <c r="BH757" t="s">
        <v>71</v>
      </c>
      <c r="BI757">
        <v>0.37</v>
      </c>
      <c r="BJ757" t="s">
        <v>104</v>
      </c>
      <c r="BK757" s="2">
        <f t="shared" si="23"/>
        <v>8.0000000000000016E-2</v>
      </c>
      <c r="BL757" t="b">
        <f t="shared" si="24"/>
        <v>0</v>
      </c>
    </row>
    <row r="758" spans="1:64" x14ac:dyDescent="0.35">
      <c r="A758" t="s">
        <v>2038</v>
      </c>
      <c r="B758" t="s">
        <v>2039</v>
      </c>
      <c r="C758">
        <v>2021</v>
      </c>
      <c r="D758" t="s">
        <v>2040</v>
      </c>
      <c r="E758" t="s">
        <v>2041</v>
      </c>
      <c r="F758" t="s">
        <v>66</v>
      </c>
      <c r="G758" t="s">
        <v>67</v>
      </c>
      <c r="H758" t="s">
        <v>138</v>
      </c>
      <c r="I758" t="s">
        <v>2042</v>
      </c>
      <c r="J758" t="s">
        <v>70</v>
      </c>
      <c r="L758">
        <v>1</v>
      </c>
      <c r="M758" t="b">
        <v>0</v>
      </c>
      <c r="N758">
        <v>4</v>
      </c>
      <c r="O758">
        <v>2</v>
      </c>
      <c r="P758">
        <v>4</v>
      </c>
      <c r="Q758">
        <v>4</v>
      </c>
      <c r="R758">
        <v>0</v>
      </c>
      <c r="S758">
        <v>3</v>
      </c>
      <c r="T758">
        <v>15</v>
      </c>
      <c r="U758">
        <v>396</v>
      </c>
      <c r="V758">
        <v>45</v>
      </c>
      <c r="W758">
        <v>12</v>
      </c>
      <c r="X758">
        <v>3.75</v>
      </c>
      <c r="Y758">
        <v>1</v>
      </c>
      <c r="Z758">
        <v>6</v>
      </c>
      <c r="AA758">
        <v>0</v>
      </c>
      <c r="AB758">
        <v>0</v>
      </c>
      <c r="AC758">
        <v>2</v>
      </c>
      <c r="AD758">
        <v>2</v>
      </c>
      <c r="AE758">
        <v>42</v>
      </c>
      <c r="AF758">
        <v>0</v>
      </c>
      <c r="AG758">
        <v>0</v>
      </c>
      <c r="AH758">
        <v>2</v>
      </c>
      <c r="AI758">
        <v>50</v>
      </c>
      <c r="AJ758">
        <v>2</v>
      </c>
      <c r="AK758">
        <v>5</v>
      </c>
      <c r="AL758">
        <v>5</v>
      </c>
      <c r="AM758">
        <v>100</v>
      </c>
      <c r="AN758">
        <v>1</v>
      </c>
      <c r="AO758">
        <v>6</v>
      </c>
      <c r="AP758">
        <v>3</v>
      </c>
      <c r="AQ758">
        <v>48</v>
      </c>
      <c r="AR758">
        <v>1.515151515151515E-2</v>
      </c>
      <c r="AS758">
        <v>0</v>
      </c>
      <c r="AT758">
        <v>0.10606060606060611</v>
      </c>
      <c r="AU758">
        <v>0</v>
      </c>
      <c r="AV758">
        <v>0.1262626262626263</v>
      </c>
      <c r="AW758">
        <v>0.25252525252525249</v>
      </c>
      <c r="AX758">
        <v>1.515151515151515E-2</v>
      </c>
      <c r="AY758">
        <v>0.1212121212121212</v>
      </c>
      <c r="AZ758">
        <v>-0.2373737373737374</v>
      </c>
      <c r="BA758">
        <v>0.33333333333333331</v>
      </c>
      <c r="BB758">
        <v>0.45833333333333331</v>
      </c>
      <c r="BC758">
        <v>0.2</v>
      </c>
      <c r="BD758">
        <v>0.47664141414141409</v>
      </c>
      <c r="BE758">
        <v>4</v>
      </c>
      <c r="BF758">
        <v>0.36707702020202021</v>
      </c>
      <c r="BG758">
        <v>0.4</v>
      </c>
      <c r="BH758" t="s">
        <v>71</v>
      </c>
      <c r="BI758">
        <v>0.37</v>
      </c>
      <c r="BJ758" t="s">
        <v>104</v>
      </c>
      <c r="BK758" s="2">
        <f t="shared" si="23"/>
        <v>3.0000000000000027E-2</v>
      </c>
      <c r="BL758" t="b">
        <f t="shared" si="24"/>
        <v>0</v>
      </c>
    </row>
    <row r="759" spans="1:64" x14ac:dyDescent="0.35">
      <c r="A759" t="s">
        <v>2043</v>
      </c>
      <c r="B759" t="s">
        <v>2044</v>
      </c>
      <c r="C759">
        <v>2014</v>
      </c>
      <c r="D759" t="s">
        <v>2045</v>
      </c>
      <c r="E759" t="s">
        <v>2046</v>
      </c>
      <c r="F759" t="s">
        <v>66</v>
      </c>
      <c r="G759" t="s">
        <v>144</v>
      </c>
      <c r="H759" t="s">
        <v>144</v>
      </c>
      <c r="I759" t="s">
        <v>1984</v>
      </c>
      <c r="J759" t="s">
        <v>70</v>
      </c>
      <c r="L759">
        <v>1</v>
      </c>
      <c r="M759" t="b">
        <v>0</v>
      </c>
      <c r="N759">
        <v>1</v>
      </c>
      <c r="O759">
        <v>1</v>
      </c>
      <c r="P759">
        <v>5</v>
      </c>
      <c r="Q759">
        <v>5</v>
      </c>
      <c r="R759">
        <v>0</v>
      </c>
      <c r="S759">
        <v>4</v>
      </c>
      <c r="T759">
        <v>16</v>
      </c>
      <c r="U759">
        <v>957</v>
      </c>
      <c r="V759">
        <v>69</v>
      </c>
      <c r="W759">
        <v>14</v>
      </c>
      <c r="X759">
        <v>4.9285714285714288</v>
      </c>
      <c r="Y759">
        <v>2</v>
      </c>
      <c r="Z759">
        <v>107</v>
      </c>
      <c r="AA759">
        <v>0</v>
      </c>
      <c r="AB759">
        <v>0</v>
      </c>
      <c r="AC759">
        <v>2</v>
      </c>
      <c r="AD759">
        <v>2</v>
      </c>
      <c r="AE759">
        <v>302</v>
      </c>
      <c r="AF759">
        <v>0</v>
      </c>
      <c r="AG759">
        <v>0</v>
      </c>
      <c r="AH759">
        <v>1</v>
      </c>
      <c r="AI759">
        <v>39</v>
      </c>
      <c r="AJ759">
        <v>1</v>
      </c>
      <c r="AK759">
        <v>10</v>
      </c>
      <c r="AL759">
        <v>2</v>
      </c>
      <c r="AM759">
        <v>49</v>
      </c>
      <c r="AN759">
        <v>2</v>
      </c>
      <c r="AO759">
        <v>107</v>
      </c>
      <c r="AP759">
        <v>4</v>
      </c>
      <c r="AQ759">
        <v>409</v>
      </c>
      <c r="AR759">
        <v>0.11180773249738769</v>
      </c>
      <c r="AS759">
        <v>0</v>
      </c>
      <c r="AT759">
        <v>0.31556948798328111</v>
      </c>
      <c r="AU759">
        <v>0</v>
      </c>
      <c r="AV759">
        <v>4.0752351097178681E-2</v>
      </c>
      <c r="AW759">
        <v>5.1201671891327058E-2</v>
      </c>
      <c r="AX759">
        <v>0.11180773249738769</v>
      </c>
      <c r="AY759">
        <v>0.42737722048066867</v>
      </c>
      <c r="AZ759">
        <v>6.0606060606060601E-2</v>
      </c>
      <c r="BA759">
        <v>0.5</v>
      </c>
      <c r="BB759">
        <v>0.65476190476190477</v>
      </c>
      <c r="BC759">
        <v>0.26666666666666672</v>
      </c>
      <c r="BD759">
        <v>0.66287878787878785</v>
      </c>
      <c r="BE759">
        <v>4</v>
      </c>
      <c r="BF759">
        <v>0.52107683982683983</v>
      </c>
      <c r="BG759">
        <v>0.53</v>
      </c>
      <c r="BH759" t="s">
        <v>71</v>
      </c>
      <c r="BI759">
        <v>0.52</v>
      </c>
      <c r="BJ759" t="s">
        <v>71</v>
      </c>
      <c r="BK759" s="2">
        <f t="shared" si="23"/>
        <v>1.0000000000000009E-2</v>
      </c>
      <c r="BL759" t="b">
        <f t="shared" si="24"/>
        <v>1</v>
      </c>
    </row>
    <row r="760" spans="1:64" x14ac:dyDescent="0.35">
      <c r="A760" t="s">
        <v>2047</v>
      </c>
      <c r="B760" t="s">
        <v>2044</v>
      </c>
      <c r="C760">
        <v>2020</v>
      </c>
      <c r="D760" t="s">
        <v>2045</v>
      </c>
      <c r="E760" t="s">
        <v>2046</v>
      </c>
      <c r="F760" t="s">
        <v>66</v>
      </c>
      <c r="G760" t="s">
        <v>144</v>
      </c>
      <c r="H760" t="s">
        <v>144</v>
      </c>
      <c r="I760" t="s">
        <v>1984</v>
      </c>
      <c r="J760" t="s">
        <v>70</v>
      </c>
      <c r="L760">
        <v>1</v>
      </c>
      <c r="M760" t="b">
        <v>0</v>
      </c>
      <c r="N760">
        <v>4</v>
      </c>
      <c r="O760">
        <v>1</v>
      </c>
      <c r="P760">
        <v>1</v>
      </c>
      <c r="Q760">
        <v>5</v>
      </c>
      <c r="R760">
        <v>-4</v>
      </c>
      <c r="S760">
        <v>2</v>
      </c>
      <c r="T760">
        <v>17</v>
      </c>
      <c r="U760">
        <v>215</v>
      </c>
      <c r="V760">
        <v>65</v>
      </c>
      <c r="W760">
        <v>14</v>
      </c>
      <c r="X760">
        <v>4.6428571428571432</v>
      </c>
      <c r="Y760">
        <v>1</v>
      </c>
      <c r="Z760">
        <v>11</v>
      </c>
      <c r="AA760">
        <v>0</v>
      </c>
      <c r="AB760">
        <v>0</v>
      </c>
      <c r="AC760">
        <v>2</v>
      </c>
      <c r="AD760">
        <v>1</v>
      </c>
      <c r="AE760">
        <v>147</v>
      </c>
      <c r="AF760">
        <v>3</v>
      </c>
      <c r="AG760">
        <v>13</v>
      </c>
      <c r="AH760">
        <v>1</v>
      </c>
      <c r="AI760">
        <v>12</v>
      </c>
      <c r="AJ760">
        <v>1</v>
      </c>
      <c r="AK760">
        <v>3</v>
      </c>
      <c r="AL760">
        <v>2</v>
      </c>
      <c r="AM760">
        <v>15</v>
      </c>
      <c r="AN760">
        <v>4</v>
      </c>
      <c r="AO760">
        <v>24</v>
      </c>
      <c r="AP760">
        <v>2</v>
      </c>
      <c r="AQ760">
        <v>158</v>
      </c>
      <c r="AR760">
        <v>5.1162790697674418E-2</v>
      </c>
      <c r="AS760">
        <v>0</v>
      </c>
      <c r="AT760">
        <v>0.68372093023255809</v>
      </c>
      <c r="AU760">
        <v>6.0465116279069767E-2</v>
      </c>
      <c r="AV760">
        <v>5.5813953488372092E-2</v>
      </c>
      <c r="AW760">
        <v>6.9767441860465115E-2</v>
      </c>
      <c r="AX760">
        <v>0.1116279069767442</v>
      </c>
      <c r="AY760">
        <v>0.73488372093023258</v>
      </c>
      <c r="AZ760">
        <v>4.1860465116279069E-2</v>
      </c>
      <c r="BA760">
        <v>0.16666666666666671</v>
      </c>
      <c r="BB760">
        <v>0.60714285714285721</v>
      </c>
      <c r="BC760">
        <v>0.1333333333333333</v>
      </c>
      <c r="BD760">
        <v>0.65116279069767435</v>
      </c>
      <c r="BE760">
        <v>4</v>
      </c>
      <c r="BF760">
        <v>0.38957641196013287</v>
      </c>
      <c r="BG760">
        <v>0.4</v>
      </c>
      <c r="BH760" t="s">
        <v>71</v>
      </c>
      <c r="BI760">
        <v>0.39</v>
      </c>
      <c r="BJ760" t="s">
        <v>104</v>
      </c>
      <c r="BK760" s="2">
        <f t="shared" si="23"/>
        <v>1.0000000000000009E-2</v>
      </c>
      <c r="BL760" t="b">
        <f t="shared" si="24"/>
        <v>0</v>
      </c>
    </row>
    <row r="761" spans="1:64" x14ac:dyDescent="0.35">
      <c r="A761" t="s">
        <v>2048</v>
      </c>
      <c r="B761" t="s">
        <v>2049</v>
      </c>
      <c r="C761">
        <v>2022</v>
      </c>
      <c r="D761" t="s">
        <v>2050</v>
      </c>
      <c r="E761" t="s">
        <v>2051</v>
      </c>
      <c r="F761" t="s">
        <v>66</v>
      </c>
      <c r="G761" t="s">
        <v>144</v>
      </c>
      <c r="H761" t="s">
        <v>144</v>
      </c>
      <c r="I761" t="s">
        <v>2052</v>
      </c>
      <c r="J761" t="s">
        <v>70</v>
      </c>
      <c r="L761">
        <v>1</v>
      </c>
      <c r="M761" t="b">
        <v>0</v>
      </c>
      <c r="N761">
        <v>1</v>
      </c>
      <c r="O761">
        <v>1</v>
      </c>
      <c r="P761">
        <v>7</v>
      </c>
      <c r="Q761">
        <v>2</v>
      </c>
      <c r="R761">
        <v>5</v>
      </c>
      <c r="S761">
        <v>5</v>
      </c>
      <c r="T761">
        <v>27</v>
      </c>
      <c r="U761">
        <v>787</v>
      </c>
      <c r="V761">
        <v>101</v>
      </c>
      <c r="W761">
        <v>19</v>
      </c>
      <c r="X761">
        <v>5.3157894736842106</v>
      </c>
      <c r="Y761">
        <v>3</v>
      </c>
      <c r="Z761">
        <v>79</v>
      </c>
      <c r="AA761">
        <v>0</v>
      </c>
      <c r="AB761">
        <v>0</v>
      </c>
      <c r="AC761">
        <v>2</v>
      </c>
      <c r="AD761">
        <v>2</v>
      </c>
      <c r="AE761">
        <v>226</v>
      </c>
      <c r="AF761">
        <v>2</v>
      </c>
      <c r="AG761">
        <v>11</v>
      </c>
      <c r="AH761">
        <v>2</v>
      </c>
      <c r="AI761">
        <v>53</v>
      </c>
      <c r="AJ761">
        <v>2</v>
      </c>
      <c r="AK761">
        <v>13</v>
      </c>
      <c r="AL761">
        <v>5</v>
      </c>
      <c r="AM761">
        <v>202</v>
      </c>
      <c r="AN761">
        <v>5</v>
      </c>
      <c r="AO761">
        <v>90</v>
      </c>
      <c r="AP761">
        <v>5</v>
      </c>
      <c r="AQ761">
        <v>305</v>
      </c>
      <c r="AR761">
        <v>0.10038119440914869</v>
      </c>
      <c r="AS761">
        <v>0</v>
      </c>
      <c r="AT761">
        <v>0.28716645489199488</v>
      </c>
      <c r="AU761">
        <v>1.397712833545108E-2</v>
      </c>
      <c r="AV761">
        <v>6.734434561626429E-2</v>
      </c>
      <c r="AW761">
        <v>0.25667090216010158</v>
      </c>
      <c r="AX761">
        <v>0.1143583227445997</v>
      </c>
      <c r="AY761">
        <v>0.3875476493011436</v>
      </c>
      <c r="AZ761">
        <v>-0.14231257941550191</v>
      </c>
      <c r="BA761">
        <v>0.66666666666666663</v>
      </c>
      <c r="BB761">
        <v>0.7192982456140351</v>
      </c>
      <c r="BC761">
        <v>0.33333333333333331</v>
      </c>
      <c r="BD761">
        <v>0.53605463786531127</v>
      </c>
      <c r="BE761">
        <v>4</v>
      </c>
      <c r="BF761">
        <v>0.56383822086983659</v>
      </c>
      <c r="BG761">
        <v>0.6</v>
      </c>
      <c r="BH761" t="s">
        <v>86</v>
      </c>
      <c r="BI761">
        <v>0.56000000000000005</v>
      </c>
      <c r="BJ761" t="s">
        <v>71</v>
      </c>
      <c r="BK761" s="2">
        <f t="shared" si="23"/>
        <v>3.9999999999999925E-2</v>
      </c>
      <c r="BL761" t="b">
        <f t="shared" si="24"/>
        <v>0</v>
      </c>
    </row>
    <row r="762" spans="1:64" x14ac:dyDescent="0.35">
      <c r="A762" t="s">
        <v>2053</v>
      </c>
      <c r="B762" t="s">
        <v>2054</v>
      </c>
      <c r="C762">
        <v>2016</v>
      </c>
      <c r="D762" t="s">
        <v>2055</v>
      </c>
      <c r="E762" t="s">
        <v>2056</v>
      </c>
      <c r="F762" t="s">
        <v>66</v>
      </c>
      <c r="G762" t="s">
        <v>144</v>
      </c>
      <c r="H762" t="s">
        <v>144</v>
      </c>
      <c r="I762" t="s">
        <v>144</v>
      </c>
      <c r="J762" t="s">
        <v>70</v>
      </c>
      <c r="L762">
        <v>4</v>
      </c>
      <c r="M762" t="b">
        <v>0</v>
      </c>
      <c r="N762">
        <v>1</v>
      </c>
      <c r="O762">
        <v>1</v>
      </c>
      <c r="P762">
        <v>6</v>
      </c>
      <c r="Q762">
        <v>5</v>
      </c>
      <c r="R762">
        <v>1</v>
      </c>
      <c r="S762">
        <v>4</v>
      </c>
      <c r="T762">
        <v>18</v>
      </c>
      <c r="U762">
        <v>202</v>
      </c>
      <c r="V762">
        <v>87</v>
      </c>
      <c r="W762">
        <v>17</v>
      </c>
      <c r="X762">
        <v>5.117647058823529</v>
      </c>
      <c r="Y762">
        <v>3</v>
      </c>
      <c r="Z762">
        <v>44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12</v>
      </c>
      <c r="AH762">
        <v>2</v>
      </c>
      <c r="AI762">
        <v>25</v>
      </c>
      <c r="AJ762">
        <v>2</v>
      </c>
      <c r="AK762">
        <v>7</v>
      </c>
      <c r="AL762">
        <v>4</v>
      </c>
      <c r="AM762">
        <v>32</v>
      </c>
      <c r="AN762">
        <v>4</v>
      </c>
      <c r="AO762">
        <v>56</v>
      </c>
      <c r="AP762">
        <v>3</v>
      </c>
      <c r="AQ762">
        <v>44</v>
      </c>
      <c r="AR762">
        <v>0.21782178217821779</v>
      </c>
      <c r="AS762">
        <v>0</v>
      </c>
      <c r="AT762">
        <v>0</v>
      </c>
      <c r="AU762">
        <v>5.9405940594059403E-2</v>
      </c>
      <c r="AV762">
        <v>0.1237623762376238</v>
      </c>
      <c r="AW762">
        <v>0.15841584158415839</v>
      </c>
      <c r="AX762">
        <v>0.27722772277227731</v>
      </c>
      <c r="AY762">
        <v>0.21782178217821779</v>
      </c>
      <c r="AZ762">
        <v>0.11881188118811881</v>
      </c>
      <c r="BA762">
        <v>0.5</v>
      </c>
      <c r="BB762">
        <v>0.68627450980392146</v>
      </c>
      <c r="BC762">
        <v>0.2</v>
      </c>
      <c r="BD762">
        <v>0.69925742574257432</v>
      </c>
      <c r="BE762">
        <v>4</v>
      </c>
      <c r="BF762">
        <v>0.52138298388662396</v>
      </c>
      <c r="BG762">
        <v>0.54</v>
      </c>
      <c r="BH762" t="s">
        <v>71</v>
      </c>
      <c r="BI762">
        <v>0.52</v>
      </c>
      <c r="BJ762" t="s">
        <v>71</v>
      </c>
      <c r="BK762" s="2">
        <f t="shared" si="23"/>
        <v>2.0000000000000018E-2</v>
      </c>
      <c r="BL762" t="b">
        <f t="shared" si="24"/>
        <v>1</v>
      </c>
    </row>
    <row r="763" spans="1:64" x14ac:dyDescent="0.35">
      <c r="A763" t="s">
        <v>2057</v>
      </c>
      <c r="B763" t="s">
        <v>2054</v>
      </c>
      <c r="C763">
        <v>2019</v>
      </c>
      <c r="D763" t="s">
        <v>2055</v>
      </c>
      <c r="E763" t="s">
        <v>2056</v>
      </c>
      <c r="F763" t="s">
        <v>66</v>
      </c>
      <c r="G763" t="s">
        <v>144</v>
      </c>
      <c r="H763" t="s">
        <v>144</v>
      </c>
      <c r="I763" t="s">
        <v>144</v>
      </c>
      <c r="J763" t="s">
        <v>70</v>
      </c>
      <c r="L763">
        <v>4</v>
      </c>
      <c r="M763" t="b">
        <v>0</v>
      </c>
      <c r="N763">
        <v>3</v>
      </c>
      <c r="O763">
        <v>1</v>
      </c>
      <c r="P763">
        <v>4</v>
      </c>
      <c r="Q763">
        <v>6</v>
      </c>
      <c r="R763">
        <v>-2</v>
      </c>
      <c r="S763">
        <v>3</v>
      </c>
      <c r="T763">
        <v>19</v>
      </c>
      <c r="U763">
        <v>1439</v>
      </c>
      <c r="V763">
        <v>74</v>
      </c>
      <c r="W763">
        <v>17</v>
      </c>
      <c r="X763">
        <v>4.3529411764705879</v>
      </c>
      <c r="Y763">
        <v>3</v>
      </c>
      <c r="Z763">
        <v>91</v>
      </c>
      <c r="AA763">
        <v>0</v>
      </c>
      <c r="AB763">
        <v>0</v>
      </c>
      <c r="AC763">
        <v>1</v>
      </c>
      <c r="AD763">
        <v>1</v>
      </c>
      <c r="AE763">
        <v>278</v>
      </c>
      <c r="AF763">
        <v>1</v>
      </c>
      <c r="AG763">
        <v>2</v>
      </c>
      <c r="AH763">
        <v>2</v>
      </c>
      <c r="AI763">
        <v>202</v>
      </c>
      <c r="AJ763">
        <v>2</v>
      </c>
      <c r="AK763">
        <v>30</v>
      </c>
      <c r="AL763">
        <v>4</v>
      </c>
      <c r="AM763">
        <v>232</v>
      </c>
      <c r="AN763">
        <v>4</v>
      </c>
      <c r="AO763">
        <v>93</v>
      </c>
      <c r="AP763">
        <v>4</v>
      </c>
      <c r="AQ763">
        <v>369</v>
      </c>
      <c r="AR763">
        <v>6.3238359972202923E-2</v>
      </c>
      <c r="AS763">
        <v>0</v>
      </c>
      <c r="AT763">
        <v>0.19318971507991661</v>
      </c>
      <c r="AU763">
        <v>1.389854065323141E-3</v>
      </c>
      <c r="AV763">
        <v>0.14037526059763719</v>
      </c>
      <c r="AW763">
        <v>0.16122307157748439</v>
      </c>
      <c r="AX763">
        <v>6.4628214037526055E-2</v>
      </c>
      <c r="AY763">
        <v>0.25642807505211951</v>
      </c>
      <c r="AZ763">
        <v>-9.6594857539958306E-2</v>
      </c>
      <c r="BA763">
        <v>0.33333333333333331</v>
      </c>
      <c r="BB763">
        <v>0.55882352941176461</v>
      </c>
      <c r="BC763">
        <v>0.26666666666666672</v>
      </c>
      <c r="BD763">
        <v>0.56462821403752605</v>
      </c>
      <c r="BE763">
        <v>4</v>
      </c>
      <c r="BF763">
        <v>0.43086293586232272</v>
      </c>
      <c r="BG763">
        <v>0.45</v>
      </c>
      <c r="BH763" t="s">
        <v>71</v>
      </c>
      <c r="BI763">
        <v>0.43</v>
      </c>
      <c r="BJ763" t="s">
        <v>71</v>
      </c>
      <c r="BK763" s="2">
        <f t="shared" si="23"/>
        <v>2.0000000000000018E-2</v>
      </c>
      <c r="BL763" t="b">
        <f t="shared" si="24"/>
        <v>1</v>
      </c>
    </row>
    <row r="764" spans="1:64" x14ac:dyDescent="0.35">
      <c r="A764" t="s">
        <v>2058</v>
      </c>
      <c r="B764" t="s">
        <v>2059</v>
      </c>
      <c r="C764">
        <v>2017</v>
      </c>
      <c r="D764" t="s">
        <v>2060</v>
      </c>
      <c r="E764" t="s">
        <v>2061</v>
      </c>
      <c r="F764" t="s">
        <v>66</v>
      </c>
      <c r="G764" t="s">
        <v>144</v>
      </c>
      <c r="H764" t="s">
        <v>144</v>
      </c>
      <c r="I764" t="s">
        <v>2062</v>
      </c>
      <c r="J764" t="s">
        <v>70</v>
      </c>
      <c r="L764">
        <v>1</v>
      </c>
      <c r="M764" t="b">
        <v>0</v>
      </c>
      <c r="N764">
        <v>3</v>
      </c>
      <c r="O764">
        <v>1</v>
      </c>
      <c r="P764">
        <v>5</v>
      </c>
      <c r="Q764">
        <v>6</v>
      </c>
      <c r="R764">
        <v>-1</v>
      </c>
      <c r="S764">
        <v>4</v>
      </c>
      <c r="T764">
        <v>23</v>
      </c>
      <c r="U764">
        <v>631</v>
      </c>
      <c r="V764">
        <v>93</v>
      </c>
      <c r="W764">
        <v>20</v>
      </c>
      <c r="X764">
        <v>4.6500000000000004</v>
      </c>
      <c r="Y764">
        <v>1</v>
      </c>
      <c r="Z764">
        <v>14</v>
      </c>
      <c r="AA764">
        <v>1</v>
      </c>
      <c r="AB764">
        <v>8</v>
      </c>
      <c r="AC764">
        <v>4</v>
      </c>
      <c r="AD764">
        <v>4</v>
      </c>
      <c r="AE764">
        <v>75</v>
      </c>
      <c r="AF764">
        <v>0</v>
      </c>
      <c r="AG764">
        <v>0</v>
      </c>
      <c r="AH764">
        <v>1</v>
      </c>
      <c r="AI764">
        <v>44</v>
      </c>
      <c r="AJ764">
        <v>1</v>
      </c>
      <c r="AK764">
        <v>22</v>
      </c>
      <c r="AL764">
        <v>2</v>
      </c>
      <c r="AM764">
        <v>66</v>
      </c>
      <c r="AN764">
        <v>2</v>
      </c>
      <c r="AO764">
        <v>22</v>
      </c>
      <c r="AP764">
        <v>6</v>
      </c>
      <c r="AQ764">
        <v>97</v>
      </c>
      <c r="AR764">
        <v>2.2187004754358159E-2</v>
      </c>
      <c r="AS764">
        <v>1.2678288431061811E-2</v>
      </c>
      <c r="AT764">
        <v>0.1188589540412044</v>
      </c>
      <c r="AU764">
        <v>0</v>
      </c>
      <c r="AV764">
        <v>6.9730586370839939E-2</v>
      </c>
      <c r="AW764">
        <v>0.1045958795562599</v>
      </c>
      <c r="AX764">
        <v>3.486529318541997E-2</v>
      </c>
      <c r="AY764">
        <v>0.15372424722662439</v>
      </c>
      <c r="AZ764">
        <v>-6.9730586370839925E-2</v>
      </c>
      <c r="BA764">
        <v>0.5</v>
      </c>
      <c r="BB764">
        <v>0.60833333333333339</v>
      </c>
      <c r="BC764">
        <v>0.4</v>
      </c>
      <c r="BD764">
        <v>0.58141838351822495</v>
      </c>
      <c r="BE764">
        <v>4</v>
      </c>
      <c r="BF764">
        <v>0.52243792921288956</v>
      </c>
      <c r="BG764">
        <v>0.53</v>
      </c>
      <c r="BH764" t="s">
        <v>71</v>
      </c>
      <c r="BI764">
        <v>0.52</v>
      </c>
      <c r="BJ764" t="s">
        <v>71</v>
      </c>
      <c r="BK764" s="2">
        <f t="shared" si="23"/>
        <v>1.0000000000000009E-2</v>
      </c>
      <c r="BL764" t="b">
        <f t="shared" si="24"/>
        <v>1</v>
      </c>
    </row>
    <row r="765" spans="1:64" x14ac:dyDescent="0.35">
      <c r="A765" t="s">
        <v>2063</v>
      </c>
      <c r="B765" t="s">
        <v>2059</v>
      </c>
      <c r="C765">
        <v>2022</v>
      </c>
      <c r="D765" t="s">
        <v>2060</v>
      </c>
      <c r="E765" t="s">
        <v>2061</v>
      </c>
      <c r="F765" t="s">
        <v>66</v>
      </c>
      <c r="G765" t="s">
        <v>144</v>
      </c>
      <c r="H765" t="s">
        <v>144</v>
      </c>
      <c r="I765" t="s">
        <v>2062</v>
      </c>
      <c r="J765" t="s">
        <v>70</v>
      </c>
      <c r="L765">
        <v>1</v>
      </c>
      <c r="M765" t="b">
        <v>0</v>
      </c>
      <c r="N765">
        <v>4</v>
      </c>
      <c r="O765">
        <v>2</v>
      </c>
      <c r="P765">
        <v>2</v>
      </c>
      <c r="Q765">
        <v>3</v>
      </c>
      <c r="R765">
        <v>-1</v>
      </c>
      <c r="S765">
        <v>3</v>
      </c>
      <c r="T765">
        <v>13</v>
      </c>
      <c r="U765">
        <v>331</v>
      </c>
      <c r="V765">
        <v>42</v>
      </c>
      <c r="W765">
        <v>11</v>
      </c>
      <c r="X765">
        <v>3.8181818181818179</v>
      </c>
      <c r="Y765">
        <v>1</v>
      </c>
      <c r="Z765">
        <v>4</v>
      </c>
      <c r="AA765">
        <v>0</v>
      </c>
      <c r="AB765">
        <v>0</v>
      </c>
      <c r="AC765">
        <v>1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2</v>
      </c>
      <c r="AK765">
        <v>2</v>
      </c>
      <c r="AL765">
        <v>3</v>
      </c>
      <c r="AM765">
        <v>6</v>
      </c>
      <c r="AN765">
        <v>1</v>
      </c>
      <c r="AO765">
        <v>4</v>
      </c>
      <c r="AP765">
        <v>2</v>
      </c>
      <c r="AQ765">
        <v>5</v>
      </c>
      <c r="AR765">
        <v>1.2084592145015109E-2</v>
      </c>
      <c r="AS765">
        <v>0</v>
      </c>
      <c r="AT765">
        <v>3.021148036253776E-3</v>
      </c>
      <c r="AU765">
        <v>0</v>
      </c>
      <c r="AV765">
        <v>0</v>
      </c>
      <c r="AW765">
        <v>1.812688821752266E-2</v>
      </c>
      <c r="AX765">
        <v>1.2084592145015109E-2</v>
      </c>
      <c r="AY765">
        <v>1.510574018126888E-2</v>
      </c>
      <c r="AZ765">
        <v>-6.0422960725075546E-3</v>
      </c>
      <c r="BA765">
        <v>0.33333333333333331</v>
      </c>
      <c r="BB765">
        <v>0.46969696969696972</v>
      </c>
      <c r="BC765">
        <v>0.1333333333333333</v>
      </c>
      <c r="BD765">
        <v>0.62122356495468278</v>
      </c>
      <c r="BE765">
        <v>4</v>
      </c>
      <c r="BF765">
        <v>0.3893968003295798</v>
      </c>
      <c r="BG765">
        <v>0.39</v>
      </c>
      <c r="BH765" t="s">
        <v>104</v>
      </c>
      <c r="BI765">
        <v>0.39</v>
      </c>
      <c r="BJ765" t="s">
        <v>104</v>
      </c>
      <c r="BK765" s="2">
        <f t="shared" si="23"/>
        <v>0</v>
      </c>
      <c r="BL765" t="b">
        <f t="shared" si="24"/>
        <v>1</v>
      </c>
    </row>
    <row r="766" spans="1:64" x14ac:dyDescent="0.35">
      <c r="A766" t="s">
        <v>2064</v>
      </c>
      <c r="B766" t="s">
        <v>2065</v>
      </c>
      <c r="C766">
        <v>2021</v>
      </c>
      <c r="D766" t="s">
        <v>2066</v>
      </c>
      <c r="E766" t="s">
        <v>2067</v>
      </c>
      <c r="F766" t="s">
        <v>66</v>
      </c>
      <c r="G766" t="s">
        <v>67</v>
      </c>
      <c r="H766" t="s">
        <v>84</v>
      </c>
      <c r="I766" t="s">
        <v>2068</v>
      </c>
      <c r="J766" t="s">
        <v>70</v>
      </c>
      <c r="L766">
        <v>1</v>
      </c>
      <c r="M766" t="b">
        <v>0</v>
      </c>
      <c r="N766">
        <v>4</v>
      </c>
      <c r="O766">
        <v>1</v>
      </c>
      <c r="P766">
        <v>2</v>
      </c>
      <c r="Q766">
        <v>1</v>
      </c>
      <c r="R766">
        <v>1</v>
      </c>
      <c r="S766">
        <v>3</v>
      </c>
      <c r="T766">
        <v>19</v>
      </c>
      <c r="U766">
        <v>64</v>
      </c>
      <c r="V766">
        <v>50</v>
      </c>
      <c r="W766">
        <v>12</v>
      </c>
      <c r="X766">
        <v>4.166666666666667</v>
      </c>
      <c r="Y766">
        <v>2</v>
      </c>
      <c r="Z766">
        <v>2</v>
      </c>
      <c r="AA766">
        <v>0</v>
      </c>
      <c r="AB766">
        <v>0</v>
      </c>
      <c r="AC766">
        <v>2</v>
      </c>
      <c r="AD766">
        <v>2</v>
      </c>
      <c r="AE766">
        <v>2</v>
      </c>
      <c r="AF766">
        <v>3</v>
      </c>
      <c r="AG766">
        <v>4</v>
      </c>
      <c r="AH766">
        <v>0</v>
      </c>
      <c r="AI766">
        <v>0</v>
      </c>
      <c r="AJ766">
        <v>1</v>
      </c>
      <c r="AK766">
        <v>1</v>
      </c>
      <c r="AL766">
        <v>1</v>
      </c>
      <c r="AM766">
        <v>1</v>
      </c>
      <c r="AN766">
        <v>5</v>
      </c>
      <c r="AO766">
        <v>6</v>
      </c>
      <c r="AP766">
        <v>4</v>
      </c>
      <c r="AQ766">
        <v>4</v>
      </c>
      <c r="AR766">
        <v>3.125E-2</v>
      </c>
      <c r="AS766">
        <v>0</v>
      </c>
      <c r="AT766">
        <v>3.125E-2</v>
      </c>
      <c r="AU766">
        <v>6.25E-2</v>
      </c>
      <c r="AV766">
        <v>0</v>
      </c>
      <c r="AW766">
        <v>1.5625E-2</v>
      </c>
      <c r="AX766">
        <v>9.375E-2</v>
      </c>
      <c r="AY766">
        <v>6.25E-2</v>
      </c>
      <c r="AZ766">
        <v>7.8125E-2</v>
      </c>
      <c r="BA766">
        <v>0.33333333333333331</v>
      </c>
      <c r="BB766">
        <v>0.52777777777777779</v>
      </c>
      <c r="BC766">
        <v>0.26666666666666672</v>
      </c>
      <c r="BD766">
        <v>0.673828125</v>
      </c>
      <c r="BE766">
        <v>4</v>
      </c>
      <c r="BF766">
        <v>0.45040147569444439</v>
      </c>
      <c r="BG766">
        <v>0.45</v>
      </c>
      <c r="BH766" t="s">
        <v>71</v>
      </c>
      <c r="BI766">
        <v>0.45</v>
      </c>
      <c r="BJ766" t="s">
        <v>71</v>
      </c>
      <c r="BK766" s="2">
        <f t="shared" si="23"/>
        <v>0</v>
      </c>
      <c r="BL766" t="b">
        <f t="shared" si="24"/>
        <v>1</v>
      </c>
    </row>
    <row r="767" spans="1:64" x14ac:dyDescent="0.35">
      <c r="A767" t="s">
        <v>2069</v>
      </c>
      <c r="B767" t="s">
        <v>2070</v>
      </c>
      <c r="C767">
        <v>2020</v>
      </c>
      <c r="D767" t="s">
        <v>2071</v>
      </c>
      <c r="E767" t="s">
        <v>2072</v>
      </c>
      <c r="F767" t="s">
        <v>66</v>
      </c>
      <c r="G767" t="s">
        <v>67</v>
      </c>
      <c r="H767" t="s">
        <v>84</v>
      </c>
      <c r="I767" t="s">
        <v>1080</v>
      </c>
      <c r="J767" t="s">
        <v>70</v>
      </c>
      <c r="L767">
        <v>3</v>
      </c>
      <c r="M767" t="b">
        <v>0</v>
      </c>
      <c r="N767">
        <v>3</v>
      </c>
      <c r="O767">
        <v>3</v>
      </c>
      <c r="P767">
        <v>6</v>
      </c>
      <c r="Q767">
        <v>3</v>
      </c>
      <c r="R767">
        <v>3</v>
      </c>
      <c r="S767">
        <v>4</v>
      </c>
      <c r="T767">
        <v>25</v>
      </c>
      <c r="U767">
        <v>141</v>
      </c>
      <c r="V767">
        <v>106</v>
      </c>
      <c r="W767">
        <v>21</v>
      </c>
      <c r="X767">
        <v>5.0476190476190466</v>
      </c>
      <c r="Y767">
        <v>2</v>
      </c>
      <c r="Z767">
        <v>6</v>
      </c>
      <c r="AA767">
        <v>0</v>
      </c>
      <c r="AB767">
        <v>0</v>
      </c>
      <c r="AC767">
        <v>2</v>
      </c>
      <c r="AD767">
        <v>2</v>
      </c>
      <c r="AE767">
        <v>13</v>
      </c>
      <c r="AF767">
        <v>3</v>
      </c>
      <c r="AG767">
        <v>5</v>
      </c>
      <c r="AH767">
        <v>2</v>
      </c>
      <c r="AI767">
        <v>59</v>
      </c>
      <c r="AJ767">
        <v>3</v>
      </c>
      <c r="AK767">
        <v>14</v>
      </c>
      <c r="AL767">
        <v>5</v>
      </c>
      <c r="AM767">
        <v>73</v>
      </c>
      <c r="AN767">
        <v>5</v>
      </c>
      <c r="AO767">
        <v>11</v>
      </c>
      <c r="AP767">
        <v>4</v>
      </c>
      <c r="AQ767">
        <v>19</v>
      </c>
      <c r="AR767">
        <v>4.2553191489361701E-2</v>
      </c>
      <c r="AS767">
        <v>0</v>
      </c>
      <c r="AT767">
        <v>9.2198581560283682E-2</v>
      </c>
      <c r="AU767">
        <v>3.5460992907801421E-2</v>
      </c>
      <c r="AV767">
        <v>0.41843971631205668</v>
      </c>
      <c r="AW767">
        <v>0.51773049645390068</v>
      </c>
      <c r="AX767">
        <v>7.8014184397163122E-2</v>
      </c>
      <c r="AY767">
        <v>0.13475177304964539</v>
      </c>
      <c r="AZ767">
        <v>-0.43971631205673761</v>
      </c>
      <c r="BA767">
        <v>0.5</v>
      </c>
      <c r="BB767">
        <v>0.67460317460317443</v>
      </c>
      <c r="BC767">
        <v>0.26666666666666672</v>
      </c>
      <c r="BD767">
        <v>0.35017730496453903</v>
      </c>
      <c r="BE767">
        <v>4</v>
      </c>
      <c r="BF767">
        <v>0.44786178655859499</v>
      </c>
      <c r="BG767">
        <v>0.53</v>
      </c>
      <c r="BH767" t="s">
        <v>71</v>
      </c>
      <c r="BI767">
        <v>0.45</v>
      </c>
      <c r="BJ767" t="s">
        <v>71</v>
      </c>
      <c r="BK767" s="2">
        <f t="shared" si="23"/>
        <v>8.0000000000000016E-2</v>
      </c>
      <c r="BL767" t="b">
        <f t="shared" si="24"/>
        <v>1</v>
      </c>
    </row>
    <row r="768" spans="1:64" x14ac:dyDescent="0.35">
      <c r="A768" t="s">
        <v>2073</v>
      </c>
      <c r="B768" t="s">
        <v>2074</v>
      </c>
      <c r="C768">
        <v>2020</v>
      </c>
      <c r="D768" t="s">
        <v>2075</v>
      </c>
      <c r="E768" t="s">
        <v>2076</v>
      </c>
      <c r="F768" t="s">
        <v>66</v>
      </c>
      <c r="G768" t="s">
        <v>67</v>
      </c>
      <c r="H768" t="s">
        <v>84</v>
      </c>
      <c r="I768" t="s">
        <v>84</v>
      </c>
      <c r="J768" t="s">
        <v>70</v>
      </c>
      <c r="L768">
        <v>2</v>
      </c>
      <c r="M768" t="b">
        <v>0</v>
      </c>
      <c r="N768">
        <v>1</v>
      </c>
      <c r="O768">
        <v>1</v>
      </c>
      <c r="P768">
        <v>5</v>
      </c>
      <c r="Q768">
        <v>5</v>
      </c>
      <c r="R768">
        <v>0</v>
      </c>
      <c r="S768">
        <v>4</v>
      </c>
      <c r="T768">
        <v>21</v>
      </c>
      <c r="U768">
        <v>606</v>
      </c>
      <c r="V768">
        <v>107</v>
      </c>
      <c r="W768">
        <v>20</v>
      </c>
      <c r="X768">
        <v>5.35</v>
      </c>
      <c r="Y768">
        <v>2</v>
      </c>
      <c r="Z768">
        <v>13</v>
      </c>
      <c r="AA768">
        <v>0</v>
      </c>
      <c r="AB768">
        <v>0</v>
      </c>
      <c r="AC768">
        <v>1</v>
      </c>
      <c r="AD768">
        <v>1</v>
      </c>
      <c r="AE768">
        <v>21</v>
      </c>
      <c r="AF768">
        <v>0</v>
      </c>
      <c r="AG768">
        <v>0</v>
      </c>
      <c r="AH768">
        <v>1</v>
      </c>
      <c r="AI768">
        <v>1</v>
      </c>
      <c r="AJ768">
        <v>2</v>
      </c>
      <c r="AK768">
        <v>9</v>
      </c>
      <c r="AL768">
        <v>3</v>
      </c>
      <c r="AM768">
        <v>10</v>
      </c>
      <c r="AN768">
        <v>2</v>
      </c>
      <c r="AO768">
        <v>13</v>
      </c>
      <c r="AP768">
        <v>3</v>
      </c>
      <c r="AQ768">
        <v>34</v>
      </c>
      <c r="AR768">
        <v>2.1452145214521452E-2</v>
      </c>
      <c r="AS768">
        <v>0</v>
      </c>
      <c r="AT768">
        <v>3.4653465346534663E-2</v>
      </c>
      <c r="AU768">
        <v>0</v>
      </c>
      <c r="AV768">
        <v>1.65016501650165E-3</v>
      </c>
      <c r="AW768">
        <v>1.65016501650165E-2</v>
      </c>
      <c r="AX768">
        <v>2.1452145214521452E-2</v>
      </c>
      <c r="AY768">
        <v>5.6105610561056098E-2</v>
      </c>
      <c r="AZ768">
        <v>4.9504950495049514E-3</v>
      </c>
      <c r="BA768">
        <v>0.5</v>
      </c>
      <c r="BB768">
        <v>0.72499999999999998</v>
      </c>
      <c r="BC768">
        <v>0.2</v>
      </c>
      <c r="BD768">
        <v>0.62809405940594054</v>
      </c>
      <c r="BE768">
        <v>4</v>
      </c>
      <c r="BF768">
        <v>0.51327351485148509</v>
      </c>
      <c r="BG768">
        <v>0.51</v>
      </c>
      <c r="BH768" t="s">
        <v>71</v>
      </c>
      <c r="BI768">
        <v>0.51</v>
      </c>
      <c r="BJ768" t="s">
        <v>71</v>
      </c>
      <c r="BK768" s="2">
        <f t="shared" si="23"/>
        <v>0</v>
      </c>
      <c r="BL768" t="b">
        <f t="shared" si="24"/>
        <v>1</v>
      </c>
    </row>
    <row r="769" spans="1:64" x14ac:dyDescent="0.35">
      <c r="A769" t="s">
        <v>2077</v>
      </c>
      <c r="B769" t="s">
        <v>2078</v>
      </c>
      <c r="C769">
        <v>2014</v>
      </c>
      <c r="D769" t="s">
        <v>2079</v>
      </c>
      <c r="E769" t="s">
        <v>2080</v>
      </c>
      <c r="F769" t="s">
        <v>66</v>
      </c>
      <c r="G769" t="s">
        <v>101</v>
      </c>
      <c r="H769" t="s">
        <v>184</v>
      </c>
      <c r="I769" t="s">
        <v>2081</v>
      </c>
      <c r="J769" t="s">
        <v>70</v>
      </c>
      <c r="L769">
        <v>3</v>
      </c>
      <c r="M769" t="b">
        <v>0</v>
      </c>
      <c r="N769">
        <v>1</v>
      </c>
      <c r="O769">
        <v>4</v>
      </c>
      <c r="P769">
        <v>13</v>
      </c>
      <c r="Q769">
        <v>5</v>
      </c>
      <c r="R769">
        <v>8</v>
      </c>
      <c r="S769">
        <v>6</v>
      </c>
      <c r="T769">
        <v>37</v>
      </c>
      <c r="U769">
        <v>4204</v>
      </c>
      <c r="V769">
        <v>160</v>
      </c>
      <c r="W769">
        <v>27</v>
      </c>
      <c r="X769">
        <v>5.9259259259259256</v>
      </c>
      <c r="Y769">
        <v>4</v>
      </c>
      <c r="Z769">
        <v>352</v>
      </c>
      <c r="AA769">
        <v>2</v>
      </c>
      <c r="AB769">
        <v>112</v>
      </c>
      <c r="AC769">
        <v>4</v>
      </c>
      <c r="AD769">
        <v>3</v>
      </c>
      <c r="AE769">
        <v>450</v>
      </c>
      <c r="AF769">
        <v>2</v>
      </c>
      <c r="AG769">
        <v>101</v>
      </c>
      <c r="AH769">
        <v>0</v>
      </c>
      <c r="AI769">
        <v>0</v>
      </c>
      <c r="AJ769">
        <v>2</v>
      </c>
      <c r="AK769">
        <v>65</v>
      </c>
      <c r="AL769">
        <v>2</v>
      </c>
      <c r="AM769">
        <v>65</v>
      </c>
      <c r="AN769">
        <v>8</v>
      </c>
      <c r="AO769">
        <v>565</v>
      </c>
      <c r="AP769">
        <v>9</v>
      </c>
      <c r="AQ769">
        <v>914</v>
      </c>
      <c r="AR769">
        <v>8.3729781160799238E-2</v>
      </c>
      <c r="AS769">
        <v>2.6641294005708849E-2</v>
      </c>
      <c r="AT769">
        <v>0.1070409134157945</v>
      </c>
      <c r="AU769">
        <v>2.4024738344433871E-2</v>
      </c>
      <c r="AV769">
        <v>0</v>
      </c>
      <c r="AW769">
        <v>1.5461465271170311E-2</v>
      </c>
      <c r="AX769">
        <v>0.13439581351094201</v>
      </c>
      <c r="AY769">
        <v>0.2174119885823026</v>
      </c>
      <c r="AZ769">
        <v>0.1189343482397716</v>
      </c>
      <c r="BA769">
        <v>0.83333333333333337</v>
      </c>
      <c r="BB769">
        <v>0.82098765432098764</v>
      </c>
      <c r="BC769">
        <v>0.6</v>
      </c>
      <c r="BD769">
        <v>0.69933396764985722</v>
      </c>
      <c r="BE769">
        <v>4</v>
      </c>
      <c r="BF769">
        <v>0.73841373882604455</v>
      </c>
      <c r="BG769">
        <v>0.74</v>
      </c>
      <c r="BH769" t="s">
        <v>86</v>
      </c>
      <c r="BI769">
        <v>0.74</v>
      </c>
      <c r="BJ769" t="s">
        <v>86</v>
      </c>
      <c r="BK769" s="2">
        <f t="shared" si="23"/>
        <v>0</v>
      </c>
      <c r="BL769" t="b">
        <f t="shared" si="24"/>
        <v>1</v>
      </c>
    </row>
    <row r="770" spans="1:64" x14ac:dyDescent="0.35">
      <c r="A770" t="s">
        <v>2082</v>
      </c>
      <c r="B770" t="s">
        <v>2078</v>
      </c>
      <c r="C770">
        <v>2020</v>
      </c>
      <c r="D770" t="s">
        <v>2079</v>
      </c>
      <c r="E770" t="s">
        <v>2080</v>
      </c>
      <c r="F770" t="s">
        <v>66</v>
      </c>
      <c r="G770" t="s">
        <v>101</v>
      </c>
      <c r="H770" t="s">
        <v>184</v>
      </c>
      <c r="I770" t="s">
        <v>2081</v>
      </c>
      <c r="J770" t="s">
        <v>70</v>
      </c>
      <c r="L770">
        <v>3</v>
      </c>
      <c r="M770" t="b">
        <v>0</v>
      </c>
      <c r="N770">
        <v>1</v>
      </c>
      <c r="O770">
        <v>4</v>
      </c>
      <c r="P770">
        <v>14</v>
      </c>
      <c r="Q770">
        <v>6</v>
      </c>
      <c r="R770">
        <v>8</v>
      </c>
      <c r="S770">
        <v>6</v>
      </c>
      <c r="T770">
        <v>52</v>
      </c>
      <c r="U770">
        <v>1185</v>
      </c>
      <c r="V770">
        <v>213</v>
      </c>
      <c r="W770">
        <v>34</v>
      </c>
      <c r="X770">
        <v>6.2647058823529411</v>
      </c>
      <c r="Y770">
        <v>6</v>
      </c>
      <c r="Z770">
        <v>145</v>
      </c>
      <c r="AA770">
        <v>3</v>
      </c>
      <c r="AB770">
        <v>71</v>
      </c>
      <c r="AC770">
        <v>4</v>
      </c>
      <c r="AD770">
        <v>3</v>
      </c>
      <c r="AE770">
        <v>179</v>
      </c>
      <c r="AF770">
        <v>2</v>
      </c>
      <c r="AG770">
        <v>79</v>
      </c>
      <c r="AH770">
        <v>1</v>
      </c>
      <c r="AI770">
        <v>4</v>
      </c>
      <c r="AJ770">
        <v>3</v>
      </c>
      <c r="AK770">
        <v>16</v>
      </c>
      <c r="AL770">
        <v>5</v>
      </c>
      <c r="AM770">
        <v>88</v>
      </c>
      <c r="AN770">
        <v>11</v>
      </c>
      <c r="AO770">
        <v>295</v>
      </c>
      <c r="AP770">
        <v>12</v>
      </c>
      <c r="AQ770">
        <v>395</v>
      </c>
      <c r="AR770">
        <v>0.1223628691983122</v>
      </c>
      <c r="AS770">
        <v>5.9915611814345987E-2</v>
      </c>
      <c r="AT770">
        <v>0.15105485232067509</v>
      </c>
      <c r="AU770">
        <v>6.6666666666666666E-2</v>
      </c>
      <c r="AV770">
        <v>3.375527426160338E-3</v>
      </c>
      <c r="AW770">
        <v>7.4261603375527424E-2</v>
      </c>
      <c r="AX770">
        <v>0.24894514767932491</v>
      </c>
      <c r="AY770">
        <v>0.33333333333333331</v>
      </c>
      <c r="AZ770">
        <v>0.17468354430379751</v>
      </c>
      <c r="BA770">
        <v>0.83333333333333337</v>
      </c>
      <c r="BB770">
        <v>0.87745098039215685</v>
      </c>
      <c r="BC770">
        <v>0.8</v>
      </c>
      <c r="BD770">
        <v>0.73417721518987344</v>
      </c>
      <c r="BE770">
        <v>4</v>
      </c>
      <c r="BF770">
        <v>0.81124038222884098</v>
      </c>
      <c r="BG770">
        <v>0.85</v>
      </c>
      <c r="BH770" t="s">
        <v>164</v>
      </c>
      <c r="BI770">
        <v>0.81</v>
      </c>
      <c r="BJ770" t="s">
        <v>164</v>
      </c>
      <c r="BK770" s="2">
        <f t="shared" si="23"/>
        <v>3.9999999999999925E-2</v>
      </c>
      <c r="BL770" t="b">
        <f t="shared" si="24"/>
        <v>1</v>
      </c>
    </row>
    <row r="771" spans="1:64" x14ac:dyDescent="0.35">
      <c r="A771" t="s">
        <v>2083</v>
      </c>
      <c r="B771" t="s">
        <v>2084</v>
      </c>
      <c r="C771">
        <v>2014</v>
      </c>
      <c r="D771" t="s">
        <v>2085</v>
      </c>
      <c r="E771" t="s">
        <v>2086</v>
      </c>
      <c r="F771" t="s">
        <v>66</v>
      </c>
      <c r="G771" t="s">
        <v>101</v>
      </c>
      <c r="H771" t="s">
        <v>348</v>
      </c>
      <c r="I771" t="s">
        <v>349</v>
      </c>
      <c r="J771" t="s">
        <v>70</v>
      </c>
      <c r="L771">
        <v>5</v>
      </c>
      <c r="M771" t="b">
        <v>0</v>
      </c>
      <c r="N771">
        <v>1</v>
      </c>
      <c r="O771">
        <v>2</v>
      </c>
      <c r="P771">
        <v>5</v>
      </c>
      <c r="Q771">
        <v>4</v>
      </c>
      <c r="R771">
        <v>1</v>
      </c>
      <c r="S771">
        <v>5</v>
      </c>
      <c r="T771">
        <v>22</v>
      </c>
      <c r="U771">
        <v>491</v>
      </c>
      <c r="V771">
        <v>95</v>
      </c>
      <c r="W771">
        <v>18</v>
      </c>
      <c r="X771">
        <v>5.2777777777777777</v>
      </c>
      <c r="Y771">
        <v>2</v>
      </c>
      <c r="Z771">
        <v>31</v>
      </c>
      <c r="AA771">
        <v>0</v>
      </c>
      <c r="AB771">
        <v>0</v>
      </c>
      <c r="AC771">
        <v>1</v>
      </c>
      <c r="AD771">
        <v>1</v>
      </c>
      <c r="AE771">
        <v>56</v>
      </c>
      <c r="AF771">
        <v>2</v>
      </c>
      <c r="AG771">
        <v>9</v>
      </c>
      <c r="AH771">
        <v>2</v>
      </c>
      <c r="AI771">
        <v>73</v>
      </c>
      <c r="AJ771">
        <v>2</v>
      </c>
      <c r="AK771">
        <v>11</v>
      </c>
      <c r="AL771">
        <v>4</v>
      </c>
      <c r="AM771">
        <v>84</v>
      </c>
      <c r="AN771">
        <v>4</v>
      </c>
      <c r="AO771">
        <v>40</v>
      </c>
      <c r="AP771">
        <v>3</v>
      </c>
      <c r="AQ771">
        <v>87</v>
      </c>
      <c r="AR771">
        <v>6.313645621181263E-2</v>
      </c>
      <c r="AS771">
        <v>0</v>
      </c>
      <c r="AT771">
        <v>0.1140529531568228</v>
      </c>
      <c r="AU771">
        <v>1.8329938900203669E-2</v>
      </c>
      <c r="AV771">
        <v>0.14867617107942971</v>
      </c>
      <c r="AW771">
        <v>0.17107942973523421</v>
      </c>
      <c r="AX771">
        <v>8.1466395112016296E-2</v>
      </c>
      <c r="AY771">
        <v>0.17718940936863539</v>
      </c>
      <c r="AZ771">
        <v>-8.9613034623217916E-2</v>
      </c>
      <c r="BA771">
        <v>0.66666666666666663</v>
      </c>
      <c r="BB771">
        <v>0.71296296296296291</v>
      </c>
      <c r="BC771">
        <v>0.2</v>
      </c>
      <c r="BD771">
        <v>0.56899185336048874</v>
      </c>
      <c r="BE771">
        <v>4</v>
      </c>
      <c r="BF771">
        <v>0.53715537074752961</v>
      </c>
      <c r="BG771">
        <v>0.56000000000000005</v>
      </c>
      <c r="BH771" t="s">
        <v>71</v>
      </c>
      <c r="BI771">
        <v>0.54</v>
      </c>
      <c r="BJ771" t="s">
        <v>71</v>
      </c>
      <c r="BK771" s="2">
        <f t="shared" ref="BK771:BK834" si="25">BG771-BI771</f>
        <v>2.0000000000000018E-2</v>
      </c>
      <c r="BL771" t="b">
        <f t="shared" ref="BL771:BL834" si="26">EXACT(BH771,BJ771)</f>
        <v>1</v>
      </c>
    </row>
    <row r="772" spans="1:64" x14ac:dyDescent="0.35">
      <c r="A772" t="s">
        <v>2087</v>
      </c>
      <c r="B772" t="s">
        <v>2084</v>
      </c>
      <c r="C772">
        <v>2015</v>
      </c>
      <c r="D772" t="s">
        <v>2085</v>
      </c>
      <c r="E772" t="s">
        <v>2086</v>
      </c>
      <c r="F772" t="s">
        <v>66</v>
      </c>
      <c r="G772" t="s">
        <v>101</v>
      </c>
      <c r="H772" t="s">
        <v>348</v>
      </c>
      <c r="I772" t="s">
        <v>349</v>
      </c>
      <c r="J772" t="s">
        <v>70</v>
      </c>
      <c r="L772">
        <v>5</v>
      </c>
      <c r="M772" t="b">
        <v>0</v>
      </c>
      <c r="N772">
        <v>1</v>
      </c>
      <c r="O772">
        <v>1</v>
      </c>
      <c r="P772">
        <v>6</v>
      </c>
      <c r="Q772">
        <v>5</v>
      </c>
      <c r="R772">
        <v>1</v>
      </c>
      <c r="S772">
        <v>4</v>
      </c>
      <c r="T772">
        <v>28</v>
      </c>
      <c r="U772">
        <v>564</v>
      </c>
      <c r="V772">
        <v>119</v>
      </c>
      <c r="W772">
        <v>24</v>
      </c>
      <c r="X772">
        <v>4.958333333333333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</v>
      </c>
      <c r="AE772">
        <v>39</v>
      </c>
      <c r="AF772">
        <v>1</v>
      </c>
      <c r="AG772">
        <v>42</v>
      </c>
      <c r="AH772">
        <v>3</v>
      </c>
      <c r="AI772">
        <v>18</v>
      </c>
      <c r="AJ772">
        <v>3</v>
      </c>
      <c r="AK772">
        <v>12</v>
      </c>
      <c r="AL772">
        <v>6</v>
      </c>
      <c r="AM772">
        <v>30</v>
      </c>
      <c r="AN772">
        <v>1</v>
      </c>
      <c r="AO772">
        <v>42</v>
      </c>
      <c r="AP772">
        <v>1</v>
      </c>
      <c r="AQ772">
        <v>39</v>
      </c>
      <c r="AR772">
        <v>0</v>
      </c>
      <c r="AS772">
        <v>0</v>
      </c>
      <c r="AT772">
        <v>6.9148936170212769E-2</v>
      </c>
      <c r="AU772">
        <v>7.4468085106382975E-2</v>
      </c>
      <c r="AV772">
        <v>3.1914893617021267E-2</v>
      </c>
      <c r="AW772">
        <v>5.3191489361702128E-2</v>
      </c>
      <c r="AX772">
        <v>7.4468085106382975E-2</v>
      </c>
      <c r="AY772">
        <v>6.9148936170212769E-2</v>
      </c>
      <c r="AZ772">
        <v>2.1276595744680851E-2</v>
      </c>
      <c r="BA772">
        <v>0.5</v>
      </c>
      <c r="BB772">
        <v>0.65972222222222221</v>
      </c>
      <c r="BC772">
        <v>6.6666666666666666E-2</v>
      </c>
      <c r="BD772">
        <v>0.63829787234042545</v>
      </c>
      <c r="BE772">
        <v>4</v>
      </c>
      <c r="BF772">
        <v>0.46617169030732858</v>
      </c>
      <c r="BG772">
        <v>0.47</v>
      </c>
      <c r="BH772" t="s">
        <v>71</v>
      </c>
      <c r="BI772">
        <v>0.47</v>
      </c>
      <c r="BJ772" t="s">
        <v>71</v>
      </c>
      <c r="BK772" s="2">
        <f t="shared" si="25"/>
        <v>0</v>
      </c>
      <c r="BL772" t="b">
        <f t="shared" si="26"/>
        <v>1</v>
      </c>
    </row>
    <row r="773" spans="1:64" x14ac:dyDescent="0.35">
      <c r="A773" t="s">
        <v>2088</v>
      </c>
      <c r="B773" t="s">
        <v>2084</v>
      </c>
      <c r="C773">
        <v>2016</v>
      </c>
      <c r="D773" t="s">
        <v>2085</v>
      </c>
      <c r="E773" t="s">
        <v>2086</v>
      </c>
      <c r="F773" t="s">
        <v>66</v>
      </c>
      <c r="G773" t="s">
        <v>101</v>
      </c>
      <c r="H773" t="s">
        <v>348</v>
      </c>
      <c r="I773" t="s">
        <v>349</v>
      </c>
      <c r="J773" t="s">
        <v>70</v>
      </c>
      <c r="L773">
        <v>5</v>
      </c>
      <c r="M773" t="b">
        <v>0</v>
      </c>
      <c r="N773">
        <v>3</v>
      </c>
      <c r="O773">
        <v>1</v>
      </c>
      <c r="P773">
        <v>2</v>
      </c>
      <c r="Q773">
        <v>5</v>
      </c>
      <c r="R773">
        <v>-3</v>
      </c>
      <c r="S773">
        <v>3</v>
      </c>
      <c r="T773">
        <v>23</v>
      </c>
      <c r="U773">
        <v>809</v>
      </c>
      <c r="V773">
        <v>66</v>
      </c>
      <c r="W773">
        <v>17</v>
      </c>
      <c r="X773">
        <v>3.882352941176471</v>
      </c>
      <c r="Y773">
        <v>1</v>
      </c>
      <c r="Z773">
        <v>36</v>
      </c>
      <c r="AA773">
        <v>0</v>
      </c>
      <c r="AB773">
        <v>0</v>
      </c>
      <c r="AC773">
        <v>2</v>
      </c>
      <c r="AD773">
        <v>2</v>
      </c>
      <c r="AE773">
        <v>49</v>
      </c>
      <c r="AF773">
        <v>2</v>
      </c>
      <c r="AG773">
        <v>8</v>
      </c>
      <c r="AH773">
        <v>1</v>
      </c>
      <c r="AI773">
        <v>9</v>
      </c>
      <c r="AJ773">
        <v>3</v>
      </c>
      <c r="AK773">
        <v>29</v>
      </c>
      <c r="AL773">
        <v>4</v>
      </c>
      <c r="AM773">
        <v>38</v>
      </c>
      <c r="AN773">
        <v>3</v>
      </c>
      <c r="AO773">
        <v>44</v>
      </c>
      <c r="AP773">
        <v>3</v>
      </c>
      <c r="AQ773">
        <v>85</v>
      </c>
      <c r="AR773">
        <v>4.4499381953028432E-2</v>
      </c>
      <c r="AS773">
        <v>0</v>
      </c>
      <c r="AT773">
        <v>6.0568603213844253E-2</v>
      </c>
      <c r="AU773">
        <v>9.8887515451174281E-3</v>
      </c>
      <c r="AV773">
        <v>1.112484548825711E-2</v>
      </c>
      <c r="AW773">
        <v>4.6971569839307788E-2</v>
      </c>
      <c r="AX773">
        <v>5.4388133498145863E-2</v>
      </c>
      <c r="AY773">
        <v>0.1050679851668727</v>
      </c>
      <c r="AZ773">
        <v>7.4165636588380676E-3</v>
      </c>
      <c r="BA773">
        <v>0.33333333333333331</v>
      </c>
      <c r="BB773">
        <v>0.48039215686274522</v>
      </c>
      <c r="BC773">
        <v>0.2</v>
      </c>
      <c r="BD773">
        <v>0.62963535228677381</v>
      </c>
      <c r="BE773">
        <v>4</v>
      </c>
      <c r="BF773">
        <v>0.41084021062071308</v>
      </c>
      <c r="BG773">
        <v>0.37</v>
      </c>
      <c r="BH773" t="s">
        <v>104</v>
      </c>
      <c r="BI773">
        <v>0.41</v>
      </c>
      <c r="BJ773" t="s">
        <v>71</v>
      </c>
      <c r="BK773" s="2">
        <f t="shared" si="25"/>
        <v>-3.999999999999998E-2</v>
      </c>
      <c r="BL773" t="b">
        <f t="shared" si="26"/>
        <v>0</v>
      </c>
    </row>
    <row r="774" spans="1:64" x14ac:dyDescent="0.35">
      <c r="A774" t="s">
        <v>2089</v>
      </c>
      <c r="B774" t="s">
        <v>2084</v>
      </c>
      <c r="C774">
        <v>2017</v>
      </c>
      <c r="D774" t="s">
        <v>2085</v>
      </c>
      <c r="E774" t="s">
        <v>2086</v>
      </c>
      <c r="F774" t="s">
        <v>66</v>
      </c>
      <c r="G774" t="s">
        <v>101</v>
      </c>
      <c r="H774" t="s">
        <v>348</v>
      </c>
      <c r="I774" t="s">
        <v>349</v>
      </c>
      <c r="J774" t="s">
        <v>70</v>
      </c>
      <c r="L774">
        <v>5</v>
      </c>
      <c r="M774" t="b">
        <v>0</v>
      </c>
      <c r="N774">
        <v>1</v>
      </c>
      <c r="O774">
        <v>2</v>
      </c>
      <c r="P774">
        <v>5</v>
      </c>
      <c r="Q774">
        <v>4</v>
      </c>
      <c r="R774">
        <v>1</v>
      </c>
      <c r="S774">
        <v>5</v>
      </c>
      <c r="T774">
        <v>30</v>
      </c>
      <c r="U774">
        <v>406</v>
      </c>
      <c r="V774">
        <v>112</v>
      </c>
      <c r="W774">
        <v>22</v>
      </c>
      <c r="X774">
        <v>5.0909090909090908</v>
      </c>
      <c r="Y774">
        <v>3</v>
      </c>
      <c r="Z774">
        <v>40</v>
      </c>
      <c r="AA774">
        <v>0</v>
      </c>
      <c r="AB774">
        <v>0</v>
      </c>
      <c r="AC774">
        <v>1</v>
      </c>
      <c r="AD774">
        <v>1</v>
      </c>
      <c r="AE774">
        <v>19</v>
      </c>
      <c r="AF774">
        <v>3</v>
      </c>
      <c r="AG774">
        <v>24</v>
      </c>
      <c r="AH774">
        <v>2</v>
      </c>
      <c r="AI774">
        <v>24</v>
      </c>
      <c r="AJ774">
        <v>1</v>
      </c>
      <c r="AK774">
        <v>5</v>
      </c>
      <c r="AL774">
        <v>3</v>
      </c>
      <c r="AM774">
        <v>29</v>
      </c>
      <c r="AN774">
        <v>6</v>
      </c>
      <c r="AO774">
        <v>64</v>
      </c>
      <c r="AP774">
        <v>4</v>
      </c>
      <c r="AQ774">
        <v>59</v>
      </c>
      <c r="AR774">
        <v>9.8522167487684734E-2</v>
      </c>
      <c r="AS774">
        <v>0</v>
      </c>
      <c r="AT774">
        <v>4.6798029556650238E-2</v>
      </c>
      <c r="AU774">
        <v>5.9113300492610828E-2</v>
      </c>
      <c r="AV774">
        <v>5.9113300492610828E-2</v>
      </c>
      <c r="AW774">
        <v>7.1428571428571425E-2</v>
      </c>
      <c r="AX774">
        <v>0.1576354679802956</v>
      </c>
      <c r="AY774">
        <v>0.14532019704433499</v>
      </c>
      <c r="AZ774">
        <v>8.6206896551724144E-2</v>
      </c>
      <c r="BA774">
        <v>0.66666666666666663</v>
      </c>
      <c r="BB774">
        <v>0.68181818181818177</v>
      </c>
      <c r="BC774">
        <v>0.26666666666666672</v>
      </c>
      <c r="BD774">
        <v>0.67887931034482762</v>
      </c>
      <c r="BE774">
        <v>4</v>
      </c>
      <c r="BF774">
        <v>0.57350770637408566</v>
      </c>
      <c r="BG774">
        <v>0.57999999999999996</v>
      </c>
      <c r="BH774" t="s">
        <v>71</v>
      </c>
      <c r="BI774">
        <v>0.56999999999999995</v>
      </c>
      <c r="BJ774" t="s">
        <v>71</v>
      </c>
      <c r="BK774" s="2">
        <f t="shared" si="25"/>
        <v>1.0000000000000009E-2</v>
      </c>
      <c r="BL774" t="b">
        <f t="shared" si="26"/>
        <v>1</v>
      </c>
    </row>
    <row r="775" spans="1:64" x14ac:dyDescent="0.35">
      <c r="A775" t="s">
        <v>2090</v>
      </c>
      <c r="B775" t="s">
        <v>2084</v>
      </c>
      <c r="C775">
        <v>2020</v>
      </c>
      <c r="D775" t="s">
        <v>2085</v>
      </c>
      <c r="E775" t="s">
        <v>2086</v>
      </c>
      <c r="F775" t="s">
        <v>66</v>
      </c>
      <c r="G775" t="s">
        <v>101</v>
      </c>
      <c r="H775" t="s">
        <v>348</v>
      </c>
      <c r="I775" t="s">
        <v>349</v>
      </c>
      <c r="J775" t="s">
        <v>70</v>
      </c>
      <c r="L775">
        <v>5</v>
      </c>
      <c r="M775" t="b">
        <v>0</v>
      </c>
      <c r="N775">
        <v>3</v>
      </c>
      <c r="O775">
        <v>2</v>
      </c>
      <c r="P775">
        <v>1</v>
      </c>
      <c r="Q775">
        <v>3</v>
      </c>
      <c r="R775">
        <v>-2</v>
      </c>
      <c r="S775">
        <v>3</v>
      </c>
      <c r="T775">
        <v>24</v>
      </c>
      <c r="U775">
        <v>216</v>
      </c>
      <c r="V775">
        <v>86</v>
      </c>
      <c r="W775">
        <v>19</v>
      </c>
      <c r="X775">
        <v>4.5263157894736841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1</v>
      </c>
      <c r="AE775">
        <v>64</v>
      </c>
      <c r="AF775">
        <v>2</v>
      </c>
      <c r="AG775">
        <v>11</v>
      </c>
      <c r="AH775">
        <v>2</v>
      </c>
      <c r="AI775">
        <v>30</v>
      </c>
      <c r="AJ775">
        <v>2</v>
      </c>
      <c r="AK775">
        <v>7</v>
      </c>
      <c r="AL775">
        <v>4</v>
      </c>
      <c r="AM775">
        <v>37</v>
      </c>
      <c r="AN775">
        <v>2</v>
      </c>
      <c r="AO775">
        <v>11</v>
      </c>
      <c r="AP775">
        <v>1</v>
      </c>
      <c r="AQ775">
        <v>64</v>
      </c>
      <c r="AR775">
        <v>0</v>
      </c>
      <c r="AS775">
        <v>0</v>
      </c>
      <c r="AT775">
        <v>0.29629629629629628</v>
      </c>
      <c r="AU775">
        <v>5.0925925925925923E-2</v>
      </c>
      <c r="AV775">
        <v>0.1388888888888889</v>
      </c>
      <c r="AW775">
        <v>0.17129629629629631</v>
      </c>
      <c r="AX775">
        <v>5.0925925925925923E-2</v>
      </c>
      <c r="AY775">
        <v>0.29629629629629628</v>
      </c>
      <c r="AZ775">
        <v>-0.12037037037037041</v>
      </c>
      <c r="BA775">
        <v>0.33333333333333331</v>
      </c>
      <c r="BB775">
        <v>0.58771929824561397</v>
      </c>
      <c r="BC775">
        <v>6.6666666666666666E-2</v>
      </c>
      <c r="BD775">
        <v>0.54976851851851838</v>
      </c>
      <c r="BE775">
        <v>4</v>
      </c>
      <c r="BF775">
        <v>0.38437195419103309</v>
      </c>
      <c r="BG775">
        <v>0.4</v>
      </c>
      <c r="BH775" t="s">
        <v>71</v>
      </c>
      <c r="BI775">
        <v>0.38</v>
      </c>
      <c r="BJ775" t="s">
        <v>104</v>
      </c>
      <c r="BK775" s="2">
        <f t="shared" si="25"/>
        <v>2.0000000000000018E-2</v>
      </c>
      <c r="BL775" t="b">
        <f t="shared" si="26"/>
        <v>0</v>
      </c>
    </row>
    <row r="776" spans="1:64" x14ac:dyDescent="0.35">
      <c r="A776" t="s">
        <v>2091</v>
      </c>
      <c r="B776" t="s">
        <v>2092</v>
      </c>
      <c r="C776">
        <v>2018</v>
      </c>
      <c r="D776" t="s">
        <v>2093</v>
      </c>
      <c r="E776" t="s">
        <v>2094</v>
      </c>
      <c r="F776" t="s">
        <v>66</v>
      </c>
      <c r="G776" t="s">
        <v>101</v>
      </c>
      <c r="H776" t="s">
        <v>211</v>
      </c>
      <c r="I776" t="s">
        <v>244</v>
      </c>
      <c r="J776" t="s">
        <v>70</v>
      </c>
      <c r="L776">
        <v>1</v>
      </c>
      <c r="M776" t="b">
        <v>0</v>
      </c>
      <c r="N776">
        <v>1</v>
      </c>
      <c r="O776">
        <v>2</v>
      </c>
      <c r="P776">
        <v>10</v>
      </c>
      <c r="Q776">
        <v>2</v>
      </c>
      <c r="R776">
        <v>8</v>
      </c>
      <c r="S776">
        <v>6</v>
      </c>
      <c r="T776">
        <v>32</v>
      </c>
      <c r="U776">
        <v>734</v>
      </c>
      <c r="V776">
        <v>127</v>
      </c>
      <c r="W776">
        <v>21</v>
      </c>
      <c r="X776">
        <v>6.0476190476190466</v>
      </c>
      <c r="Y776">
        <v>6</v>
      </c>
      <c r="Z776">
        <v>145</v>
      </c>
      <c r="AA776">
        <v>0</v>
      </c>
      <c r="AB776">
        <v>0</v>
      </c>
      <c r="AC776">
        <v>3</v>
      </c>
      <c r="AD776">
        <v>3</v>
      </c>
      <c r="AE776">
        <v>140</v>
      </c>
      <c r="AF776">
        <v>2</v>
      </c>
      <c r="AG776">
        <v>29</v>
      </c>
      <c r="AH776">
        <v>1</v>
      </c>
      <c r="AI776">
        <v>6</v>
      </c>
      <c r="AJ776">
        <v>1</v>
      </c>
      <c r="AK776">
        <v>3</v>
      </c>
      <c r="AL776">
        <v>2</v>
      </c>
      <c r="AM776">
        <v>9</v>
      </c>
      <c r="AN776">
        <v>8</v>
      </c>
      <c r="AO776">
        <v>174</v>
      </c>
      <c r="AP776">
        <v>9</v>
      </c>
      <c r="AQ776">
        <v>285</v>
      </c>
      <c r="AR776">
        <v>0.1975476839237057</v>
      </c>
      <c r="AS776">
        <v>0</v>
      </c>
      <c r="AT776">
        <v>0.1907356948228883</v>
      </c>
      <c r="AU776">
        <v>3.9509536784741138E-2</v>
      </c>
      <c r="AV776">
        <v>8.1743869209809257E-3</v>
      </c>
      <c r="AW776">
        <v>1.226158038147139E-2</v>
      </c>
      <c r="AX776">
        <v>0.2370572207084469</v>
      </c>
      <c r="AY776">
        <v>0.38828337874659402</v>
      </c>
      <c r="AZ776">
        <v>0.22479564032697549</v>
      </c>
      <c r="BA776">
        <v>0.83333333333333337</v>
      </c>
      <c r="BB776">
        <v>0.84126984126984106</v>
      </c>
      <c r="BC776">
        <v>0.6</v>
      </c>
      <c r="BD776">
        <v>0.76549727520435962</v>
      </c>
      <c r="BE776">
        <v>4</v>
      </c>
      <c r="BF776">
        <v>0.76002511245188353</v>
      </c>
      <c r="BG776">
        <v>0.77</v>
      </c>
      <c r="BH776" t="s">
        <v>86</v>
      </c>
      <c r="BI776">
        <v>0.76</v>
      </c>
      <c r="BJ776" t="s">
        <v>86</v>
      </c>
      <c r="BK776" s="2">
        <f t="shared" si="25"/>
        <v>1.0000000000000009E-2</v>
      </c>
      <c r="BL776" t="b">
        <f t="shared" si="26"/>
        <v>1</v>
      </c>
    </row>
    <row r="777" spans="1:64" x14ac:dyDescent="0.35">
      <c r="A777" t="s">
        <v>2095</v>
      </c>
      <c r="B777" t="s">
        <v>2096</v>
      </c>
      <c r="C777">
        <v>2018</v>
      </c>
      <c r="D777" t="s">
        <v>2097</v>
      </c>
      <c r="E777" t="s">
        <v>2098</v>
      </c>
      <c r="F777" t="s">
        <v>66</v>
      </c>
      <c r="G777" t="s">
        <v>101</v>
      </c>
      <c r="H777" t="s">
        <v>211</v>
      </c>
      <c r="I777" t="s">
        <v>2099</v>
      </c>
      <c r="J777" t="s">
        <v>70</v>
      </c>
      <c r="L777">
        <v>1</v>
      </c>
      <c r="M777" t="b">
        <v>0</v>
      </c>
      <c r="N777">
        <v>1</v>
      </c>
      <c r="O777">
        <v>1</v>
      </c>
      <c r="P777">
        <v>10</v>
      </c>
      <c r="Q777">
        <v>5</v>
      </c>
      <c r="R777">
        <v>5</v>
      </c>
      <c r="S777">
        <v>5</v>
      </c>
      <c r="T777">
        <v>32</v>
      </c>
      <c r="U777">
        <v>626</v>
      </c>
      <c r="V777">
        <v>139</v>
      </c>
      <c r="W777">
        <v>24</v>
      </c>
      <c r="X777">
        <v>5.791666666666667</v>
      </c>
      <c r="Y777">
        <v>2</v>
      </c>
      <c r="Z777">
        <v>37</v>
      </c>
      <c r="AA777">
        <v>0</v>
      </c>
      <c r="AB777">
        <v>0</v>
      </c>
      <c r="AC777">
        <v>2</v>
      </c>
      <c r="AD777">
        <v>2</v>
      </c>
      <c r="AE777">
        <v>46</v>
      </c>
      <c r="AF777">
        <v>0</v>
      </c>
      <c r="AG777">
        <v>0</v>
      </c>
      <c r="AH777">
        <v>1</v>
      </c>
      <c r="AI777">
        <v>7</v>
      </c>
      <c r="AJ777">
        <v>2</v>
      </c>
      <c r="AK777">
        <v>4</v>
      </c>
      <c r="AL777">
        <v>3</v>
      </c>
      <c r="AM777">
        <v>11</v>
      </c>
      <c r="AN777">
        <v>2</v>
      </c>
      <c r="AO777">
        <v>37</v>
      </c>
      <c r="AP777">
        <v>4</v>
      </c>
      <c r="AQ777">
        <v>83</v>
      </c>
      <c r="AR777">
        <v>5.9105431309904151E-2</v>
      </c>
      <c r="AS777">
        <v>0</v>
      </c>
      <c r="AT777">
        <v>7.3482428115015971E-2</v>
      </c>
      <c r="AU777">
        <v>0</v>
      </c>
      <c r="AV777">
        <v>1.1182108626198081E-2</v>
      </c>
      <c r="AW777">
        <v>1.7571884984025558E-2</v>
      </c>
      <c r="AX777">
        <v>5.9105431309904151E-2</v>
      </c>
      <c r="AY777">
        <v>0.1325878594249201</v>
      </c>
      <c r="AZ777">
        <v>4.1533546325878593E-2</v>
      </c>
      <c r="BA777">
        <v>0.66666666666666663</v>
      </c>
      <c r="BB777">
        <v>0.79861111111111116</v>
      </c>
      <c r="BC777">
        <v>0.26666666666666672</v>
      </c>
      <c r="BD777">
        <v>0.65095846645367406</v>
      </c>
      <c r="BE777">
        <v>4</v>
      </c>
      <c r="BF777">
        <v>0.59572572772452959</v>
      </c>
      <c r="BG777">
        <v>0.6</v>
      </c>
      <c r="BH777" t="s">
        <v>86</v>
      </c>
      <c r="BI777">
        <v>0.6</v>
      </c>
      <c r="BJ777" t="s">
        <v>86</v>
      </c>
      <c r="BK777" s="2">
        <f t="shared" si="25"/>
        <v>0</v>
      </c>
      <c r="BL777" t="b">
        <f t="shared" si="26"/>
        <v>1</v>
      </c>
    </row>
    <row r="778" spans="1:64" x14ac:dyDescent="0.35">
      <c r="A778" t="s">
        <v>2100</v>
      </c>
      <c r="B778" t="s">
        <v>2101</v>
      </c>
      <c r="C778">
        <v>2016</v>
      </c>
      <c r="D778" t="s">
        <v>2102</v>
      </c>
      <c r="E778" t="s">
        <v>2103</v>
      </c>
      <c r="F778" t="s">
        <v>66</v>
      </c>
      <c r="G778" t="s">
        <v>101</v>
      </c>
      <c r="H778" t="s">
        <v>211</v>
      </c>
      <c r="I778" t="s">
        <v>2104</v>
      </c>
      <c r="J778" t="s">
        <v>70</v>
      </c>
      <c r="L778">
        <v>3</v>
      </c>
      <c r="M778" t="b">
        <v>0</v>
      </c>
      <c r="N778">
        <v>1</v>
      </c>
      <c r="O778">
        <v>1</v>
      </c>
      <c r="P778">
        <v>7</v>
      </c>
      <c r="Q778">
        <v>5</v>
      </c>
      <c r="R778">
        <v>2</v>
      </c>
      <c r="S778">
        <v>4</v>
      </c>
      <c r="T778">
        <v>26</v>
      </c>
      <c r="U778">
        <v>285</v>
      </c>
      <c r="V778">
        <v>104</v>
      </c>
      <c r="W778">
        <v>18</v>
      </c>
      <c r="X778">
        <v>5.7777777777777777</v>
      </c>
      <c r="Y778">
        <v>5</v>
      </c>
      <c r="Z778">
        <v>51</v>
      </c>
      <c r="AA778">
        <v>1</v>
      </c>
      <c r="AB778">
        <v>13</v>
      </c>
      <c r="AC778">
        <v>2</v>
      </c>
      <c r="AD778">
        <v>2</v>
      </c>
      <c r="AE778">
        <v>40</v>
      </c>
      <c r="AF778">
        <v>1</v>
      </c>
      <c r="AG778">
        <v>14</v>
      </c>
      <c r="AH778">
        <v>2</v>
      </c>
      <c r="AI778">
        <v>16</v>
      </c>
      <c r="AJ778">
        <v>1</v>
      </c>
      <c r="AK778">
        <v>6</v>
      </c>
      <c r="AL778">
        <v>3</v>
      </c>
      <c r="AM778">
        <v>22</v>
      </c>
      <c r="AN778">
        <v>7</v>
      </c>
      <c r="AO778">
        <v>78</v>
      </c>
      <c r="AP778">
        <v>8</v>
      </c>
      <c r="AQ778">
        <v>104</v>
      </c>
      <c r="AR778">
        <v>0.1789473684210526</v>
      </c>
      <c r="AS778">
        <v>4.5614035087719301E-2</v>
      </c>
      <c r="AT778">
        <v>0.14035087719298239</v>
      </c>
      <c r="AU778">
        <v>4.912280701754386E-2</v>
      </c>
      <c r="AV778">
        <v>5.6140350877192977E-2</v>
      </c>
      <c r="AW778">
        <v>7.7192982456140355E-2</v>
      </c>
      <c r="AX778">
        <v>0.27368421052631581</v>
      </c>
      <c r="AY778">
        <v>0.36491228070175441</v>
      </c>
      <c r="AZ778">
        <v>0.19649122807017541</v>
      </c>
      <c r="BA778">
        <v>0.5</v>
      </c>
      <c r="BB778">
        <v>0.79629629629629628</v>
      </c>
      <c r="BC778">
        <v>0.53333333333333333</v>
      </c>
      <c r="BD778">
        <v>0.74780701754385959</v>
      </c>
      <c r="BE778">
        <v>4</v>
      </c>
      <c r="BF778">
        <v>0.64435916179337227</v>
      </c>
      <c r="BG778">
        <v>0.66</v>
      </c>
      <c r="BH778" t="s">
        <v>86</v>
      </c>
      <c r="BI778">
        <v>0.64</v>
      </c>
      <c r="BJ778" t="s">
        <v>86</v>
      </c>
      <c r="BK778" s="2">
        <f t="shared" si="25"/>
        <v>2.0000000000000018E-2</v>
      </c>
      <c r="BL778" t="b">
        <f t="shared" si="26"/>
        <v>1</v>
      </c>
    </row>
    <row r="779" spans="1:64" x14ac:dyDescent="0.35">
      <c r="A779" t="s">
        <v>2105</v>
      </c>
      <c r="B779" t="s">
        <v>2101</v>
      </c>
      <c r="C779">
        <v>2022</v>
      </c>
      <c r="D779" t="s">
        <v>2102</v>
      </c>
      <c r="E779" t="s">
        <v>2103</v>
      </c>
      <c r="F779" t="s">
        <v>66</v>
      </c>
      <c r="G779" t="s">
        <v>101</v>
      </c>
      <c r="H779" t="s">
        <v>211</v>
      </c>
      <c r="I779" t="s">
        <v>2104</v>
      </c>
      <c r="J779" t="s">
        <v>70</v>
      </c>
      <c r="L779">
        <v>3</v>
      </c>
      <c r="M779" t="b">
        <v>0</v>
      </c>
      <c r="N779">
        <v>1</v>
      </c>
      <c r="O779">
        <v>1</v>
      </c>
      <c r="P779">
        <v>6</v>
      </c>
      <c r="Q779">
        <v>3</v>
      </c>
      <c r="R779">
        <v>3</v>
      </c>
      <c r="S779">
        <v>4</v>
      </c>
      <c r="T779">
        <v>28</v>
      </c>
      <c r="U779">
        <v>330</v>
      </c>
      <c r="V779">
        <v>115</v>
      </c>
      <c r="W779">
        <v>21</v>
      </c>
      <c r="X779">
        <v>5.4761904761904763</v>
      </c>
      <c r="Y779">
        <v>4</v>
      </c>
      <c r="Z779">
        <v>31</v>
      </c>
      <c r="AA779">
        <v>1</v>
      </c>
      <c r="AB779">
        <v>4</v>
      </c>
      <c r="AC779">
        <v>2</v>
      </c>
      <c r="AD779">
        <v>2</v>
      </c>
      <c r="AE779">
        <v>34</v>
      </c>
      <c r="AF779">
        <v>5</v>
      </c>
      <c r="AG779">
        <v>19</v>
      </c>
      <c r="AH779">
        <v>3</v>
      </c>
      <c r="AI779">
        <v>64</v>
      </c>
      <c r="AJ779">
        <v>1</v>
      </c>
      <c r="AK779">
        <v>8</v>
      </c>
      <c r="AL779">
        <v>4</v>
      </c>
      <c r="AM779">
        <v>72</v>
      </c>
      <c r="AN779">
        <v>10</v>
      </c>
      <c r="AO779">
        <v>54</v>
      </c>
      <c r="AP779">
        <v>7</v>
      </c>
      <c r="AQ779">
        <v>69</v>
      </c>
      <c r="AR779">
        <v>9.3939393939393934E-2</v>
      </c>
      <c r="AS779">
        <v>1.2121212121212119E-2</v>
      </c>
      <c r="AT779">
        <v>0.103030303030303</v>
      </c>
      <c r="AU779">
        <v>5.7575757575757579E-2</v>
      </c>
      <c r="AV779">
        <v>0.19393939393939391</v>
      </c>
      <c r="AW779">
        <v>0.2181818181818182</v>
      </c>
      <c r="AX779">
        <v>0.16363636363636361</v>
      </c>
      <c r="AY779">
        <v>0.20909090909090911</v>
      </c>
      <c r="AZ779">
        <v>-5.4545454545454543E-2</v>
      </c>
      <c r="BA779">
        <v>0.5</v>
      </c>
      <c r="BB779">
        <v>0.74603174603174605</v>
      </c>
      <c r="BC779">
        <v>0.46666666666666667</v>
      </c>
      <c r="BD779">
        <v>0.59090909090909083</v>
      </c>
      <c r="BE779">
        <v>4</v>
      </c>
      <c r="BF779">
        <v>0.57590187590187591</v>
      </c>
      <c r="BG779">
        <v>0.62</v>
      </c>
      <c r="BH779" t="s">
        <v>86</v>
      </c>
      <c r="BI779">
        <v>0.57999999999999996</v>
      </c>
      <c r="BJ779" t="s">
        <v>71</v>
      </c>
      <c r="BK779" s="2">
        <f t="shared" si="25"/>
        <v>4.0000000000000036E-2</v>
      </c>
      <c r="BL779" t="b">
        <f t="shared" si="26"/>
        <v>0</v>
      </c>
    </row>
    <row r="780" spans="1:64" x14ac:dyDescent="0.35">
      <c r="A780" t="s">
        <v>2106</v>
      </c>
      <c r="B780" t="s">
        <v>2107</v>
      </c>
      <c r="C780">
        <v>2014</v>
      </c>
      <c r="D780" t="s">
        <v>2108</v>
      </c>
      <c r="E780" t="s">
        <v>2109</v>
      </c>
      <c r="F780" t="s">
        <v>66</v>
      </c>
      <c r="G780" t="s">
        <v>101</v>
      </c>
      <c r="H780" t="s">
        <v>150</v>
      </c>
      <c r="I780" t="s">
        <v>1567</v>
      </c>
      <c r="J780" t="s">
        <v>70</v>
      </c>
      <c r="L780">
        <v>1</v>
      </c>
      <c r="M780" t="b">
        <v>0</v>
      </c>
      <c r="N780">
        <v>3</v>
      </c>
      <c r="O780">
        <v>3</v>
      </c>
      <c r="P780">
        <v>8</v>
      </c>
      <c r="Q780">
        <v>4</v>
      </c>
      <c r="R780">
        <v>4</v>
      </c>
      <c r="S780">
        <v>4</v>
      </c>
      <c r="T780">
        <v>30</v>
      </c>
      <c r="U780">
        <v>1478</v>
      </c>
      <c r="V780">
        <v>133</v>
      </c>
      <c r="W780">
        <v>25</v>
      </c>
      <c r="X780">
        <v>5.32</v>
      </c>
      <c r="Y780">
        <v>3</v>
      </c>
      <c r="Z780">
        <v>241</v>
      </c>
      <c r="AA780">
        <v>0</v>
      </c>
      <c r="AB780">
        <v>0</v>
      </c>
      <c r="AC780">
        <v>3</v>
      </c>
      <c r="AD780">
        <v>3</v>
      </c>
      <c r="AE780">
        <v>160</v>
      </c>
      <c r="AF780">
        <v>2</v>
      </c>
      <c r="AG780">
        <v>6</v>
      </c>
      <c r="AH780">
        <v>2</v>
      </c>
      <c r="AI780">
        <v>528</v>
      </c>
      <c r="AJ780">
        <v>2</v>
      </c>
      <c r="AK780">
        <v>19</v>
      </c>
      <c r="AL780">
        <v>4</v>
      </c>
      <c r="AM780">
        <v>547</v>
      </c>
      <c r="AN780">
        <v>5</v>
      </c>
      <c r="AO780">
        <v>247</v>
      </c>
      <c r="AP780">
        <v>6</v>
      </c>
      <c r="AQ780">
        <v>401</v>
      </c>
      <c r="AR780">
        <v>0.16305818673883629</v>
      </c>
      <c r="AS780">
        <v>0</v>
      </c>
      <c r="AT780">
        <v>0.108254397834912</v>
      </c>
      <c r="AU780">
        <v>4.0595399188092006E-3</v>
      </c>
      <c r="AV780">
        <v>0.35723951285520972</v>
      </c>
      <c r="AW780">
        <v>0.37009472259810561</v>
      </c>
      <c r="AX780">
        <v>0.16711772665764549</v>
      </c>
      <c r="AY780">
        <v>0.27131258457374829</v>
      </c>
      <c r="AZ780">
        <v>-0.20297699594046009</v>
      </c>
      <c r="BA780">
        <v>0.5</v>
      </c>
      <c r="BB780">
        <v>0.72000000000000008</v>
      </c>
      <c r="BC780">
        <v>0.4</v>
      </c>
      <c r="BD780">
        <v>0.49813937753721238</v>
      </c>
      <c r="BE780">
        <v>4</v>
      </c>
      <c r="BF780">
        <v>0.52953484438430309</v>
      </c>
      <c r="BG780">
        <v>0.62</v>
      </c>
      <c r="BH780" t="s">
        <v>86</v>
      </c>
      <c r="BI780">
        <v>0.53</v>
      </c>
      <c r="BJ780" t="s">
        <v>71</v>
      </c>
      <c r="BK780" s="2">
        <f t="shared" si="25"/>
        <v>8.9999999999999969E-2</v>
      </c>
      <c r="BL780" t="b">
        <f t="shared" si="26"/>
        <v>0</v>
      </c>
    </row>
    <row r="781" spans="1:64" x14ac:dyDescent="0.35">
      <c r="A781" t="s">
        <v>2110</v>
      </c>
      <c r="B781" t="s">
        <v>2111</v>
      </c>
      <c r="C781">
        <v>2015</v>
      </c>
      <c r="D781" t="s">
        <v>2112</v>
      </c>
      <c r="E781" t="s">
        <v>2113</v>
      </c>
      <c r="F781" t="s">
        <v>66</v>
      </c>
      <c r="G781" t="s">
        <v>101</v>
      </c>
      <c r="H781" t="s">
        <v>348</v>
      </c>
      <c r="I781" t="s">
        <v>2114</v>
      </c>
      <c r="J781" t="s">
        <v>70</v>
      </c>
      <c r="L781">
        <v>3</v>
      </c>
      <c r="M781" t="b">
        <v>0</v>
      </c>
      <c r="N781">
        <v>1</v>
      </c>
      <c r="O781">
        <v>3</v>
      </c>
      <c r="P781">
        <v>14</v>
      </c>
      <c r="Q781">
        <v>5</v>
      </c>
      <c r="R781">
        <v>9</v>
      </c>
      <c r="S781">
        <v>6</v>
      </c>
      <c r="T781">
        <v>39</v>
      </c>
      <c r="U781">
        <v>547</v>
      </c>
      <c r="V781">
        <v>182</v>
      </c>
      <c r="W781">
        <v>30</v>
      </c>
      <c r="X781">
        <v>6.0666666666666664</v>
      </c>
      <c r="Y781">
        <v>7</v>
      </c>
      <c r="Z781">
        <v>57</v>
      </c>
      <c r="AA781">
        <v>1</v>
      </c>
      <c r="AB781">
        <v>3</v>
      </c>
      <c r="AC781">
        <v>4</v>
      </c>
      <c r="AD781">
        <v>4</v>
      </c>
      <c r="AE781">
        <v>84</v>
      </c>
      <c r="AF781">
        <v>1</v>
      </c>
      <c r="AG781">
        <v>8</v>
      </c>
      <c r="AH781">
        <v>1</v>
      </c>
      <c r="AI781">
        <v>50</v>
      </c>
      <c r="AJ781">
        <v>2</v>
      </c>
      <c r="AK781">
        <v>50</v>
      </c>
      <c r="AL781">
        <v>3</v>
      </c>
      <c r="AM781">
        <v>100</v>
      </c>
      <c r="AN781">
        <v>9</v>
      </c>
      <c r="AO781">
        <v>68</v>
      </c>
      <c r="AP781">
        <v>12</v>
      </c>
      <c r="AQ781">
        <v>144</v>
      </c>
      <c r="AR781">
        <v>0.1042047531992687</v>
      </c>
      <c r="AS781">
        <v>5.4844606946983544E-3</v>
      </c>
      <c r="AT781">
        <v>0.15356489945155391</v>
      </c>
      <c r="AU781">
        <v>1.4625228519195611E-2</v>
      </c>
      <c r="AV781">
        <v>9.1407678244972576E-2</v>
      </c>
      <c r="AW781">
        <v>0.18281535648994521</v>
      </c>
      <c r="AX781">
        <v>0.1243144424131627</v>
      </c>
      <c r="AY781">
        <v>0.26325411334552101</v>
      </c>
      <c r="AZ781">
        <v>-5.8500914076782443E-2</v>
      </c>
      <c r="BA781">
        <v>0.83333333333333337</v>
      </c>
      <c r="BB781">
        <v>0.84444444444444444</v>
      </c>
      <c r="BC781">
        <v>0.8</v>
      </c>
      <c r="BD781">
        <v>0.58843692870201092</v>
      </c>
      <c r="BE781">
        <v>4</v>
      </c>
      <c r="BF781">
        <v>0.76655367661994722</v>
      </c>
      <c r="BG781">
        <v>0.78</v>
      </c>
      <c r="BH781" t="s">
        <v>86</v>
      </c>
      <c r="BI781">
        <v>0.77</v>
      </c>
      <c r="BJ781" t="s">
        <v>86</v>
      </c>
      <c r="BK781" s="2">
        <f t="shared" si="25"/>
        <v>1.0000000000000009E-2</v>
      </c>
      <c r="BL781" t="b">
        <f t="shared" si="26"/>
        <v>1</v>
      </c>
    </row>
    <row r="782" spans="1:64" x14ac:dyDescent="0.35">
      <c r="A782" t="s">
        <v>2115</v>
      </c>
      <c r="B782" t="s">
        <v>2111</v>
      </c>
      <c r="C782">
        <v>2019</v>
      </c>
      <c r="D782" t="s">
        <v>2112</v>
      </c>
      <c r="E782" t="s">
        <v>2113</v>
      </c>
      <c r="F782" t="s">
        <v>66</v>
      </c>
      <c r="G782" t="s">
        <v>101</v>
      </c>
      <c r="H782" t="s">
        <v>348</v>
      </c>
      <c r="I782" t="s">
        <v>2114</v>
      </c>
      <c r="J782" t="s">
        <v>70</v>
      </c>
      <c r="L782">
        <v>3</v>
      </c>
      <c r="M782" t="b">
        <v>0</v>
      </c>
      <c r="N782">
        <v>1</v>
      </c>
      <c r="O782">
        <v>2</v>
      </c>
      <c r="P782">
        <v>7</v>
      </c>
      <c r="Q782">
        <v>4</v>
      </c>
      <c r="R782">
        <v>3</v>
      </c>
      <c r="S782">
        <v>5</v>
      </c>
      <c r="T782">
        <v>26</v>
      </c>
      <c r="U782">
        <v>578</v>
      </c>
      <c r="V782">
        <v>113</v>
      </c>
      <c r="W782">
        <v>20</v>
      </c>
      <c r="X782">
        <v>5.65</v>
      </c>
      <c r="Y782">
        <v>5</v>
      </c>
      <c r="Z782">
        <v>95</v>
      </c>
      <c r="AA782">
        <v>0</v>
      </c>
      <c r="AB782">
        <v>0</v>
      </c>
      <c r="AC782">
        <v>2</v>
      </c>
      <c r="AD782">
        <v>2</v>
      </c>
      <c r="AE782">
        <v>53</v>
      </c>
      <c r="AF782">
        <v>1</v>
      </c>
      <c r="AG782">
        <v>6</v>
      </c>
      <c r="AH782">
        <v>1</v>
      </c>
      <c r="AI782">
        <v>1</v>
      </c>
      <c r="AJ782">
        <v>1</v>
      </c>
      <c r="AK782">
        <v>14</v>
      </c>
      <c r="AL782">
        <v>3</v>
      </c>
      <c r="AM782">
        <v>53</v>
      </c>
      <c r="AN782">
        <v>6</v>
      </c>
      <c r="AO782">
        <v>101</v>
      </c>
      <c r="AP782">
        <v>7</v>
      </c>
      <c r="AQ782">
        <v>148</v>
      </c>
      <c r="AR782">
        <v>0.16435986159169549</v>
      </c>
      <c r="AS782">
        <v>0</v>
      </c>
      <c r="AT782">
        <v>9.1695501730103809E-2</v>
      </c>
      <c r="AU782">
        <v>1.038062283737024E-2</v>
      </c>
      <c r="AV782">
        <v>1.730103806228374E-3</v>
      </c>
      <c r="AW782">
        <v>9.1695501730103809E-2</v>
      </c>
      <c r="AX782">
        <v>0.17474048442906581</v>
      </c>
      <c r="AY782">
        <v>0.25605536332179929</v>
      </c>
      <c r="AZ782">
        <v>8.3044982698961947E-2</v>
      </c>
      <c r="BA782">
        <v>0.66666666666666663</v>
      </c>
      <c r="BB782">
        <v>0.77500000000000002</v>
      </c>
      <c r="BC782">
        <v>0.46666666666666667</v>
      </c>
      <c r="BD782">
        <v>0.67690311418685112</v>
      </c>
      <c r="BE782">
        <v>4</v>
      </c>
      <c r="BF782">
        <v>0.64630911188004614</v>
      </c>
      <c r="BG782">
        <v>0.66</v>
      </c>
      <c r="BH782" t="s">
        <v>86</v>
      </c>
      <c r="BI782">
        <v>0.65</v>
      </c>
      <c r="BJ782" t="s">
        <v>86</v>
      </c>
      <c r="BK782" s="2">
        <f t="shared" si="25"/>
        <v>1.0000000000000009E-2</v>
      </c>
      <c r="BL782" t="b">
        <f t="shared" si="26"/>
        <v>1</v>
      </c>
    </row>
    <row r="783" spans="1:64" x14ac:dyDescent="0.35">
      <c r="A783" t="s">
        <v>2116</v>
      </c>
      <c r="B783" t="s">
        <v>2117</v>
      </c>
      <c r="C783">
        <v>2016</v>
      </c>
      <c r="D783" t="s">
        <v>2118</v>
      </c>
      <c r="E783" t="s">
        <v>2119</v>
      </c>
      <c r="F783" t="s">
        <v>66</v>
      </c>
      <c r="G783" t="s">
        <v>101</v>
      </c>
      <c r="H783" t="s">
        <v>365</v>
      </c>
      <c r="I783" t="s">
        <v>2120</v>
      </c>
      <c r="J783" t="s">
        <v>70</v>
      </c>
      <c r="L783">
        <v>1</v>
      </c>
      <c r="M783" t="b">
        <v>0</v>
      </c>
      <c r="N783">
        <v>3</v>
      </c>
      <c r="O783">
        <v>1</v>
      </c>
      <c r="P783">
        <v>2</v>
      </c>
      <c r="Q783">
        <v>3</v>
      </c>
      <c r="R783">
        <v>-1</v>
      </c>
      <c r="S783">
        <v>4</v>
      </c>
      <c r="T783">
        <v>24</v>
      </c>
      <c r="U783">
        <v>169</v>
      </c>
      <c r="V783">
        <v>90</v>
      </c>
      <c r="W783">
        <v>17</v>
      </c>
      <c r="X783">
        <v>5.2941176470588234</v>
      </c>
      <c r="Y783">
        <v>1</v>
      </c>
      <c r="Z783">
        <v>20</v>
      </c>
      <c r="AA783">
        <v>0</v>
      </c>
      <c r="AB783">
        <v>0</v>
      </c>
      <c r="AC783">
        <v>6</v>
      </c>
      <c r="AD783">
        <v>6</v>
      </c>
      <c r="AE783">
        <v>45</v>
      </c>
      <c r="AF783">
        <v>2</v>
      </c>
      <c r="AG783">
        <v>3</v>
      </c>
      <c r="AH783">
        <v>2</v>
      </c>
      <c r="AI783">
        <v>69</v>
      </c>
      <c r="AJ783">
        <v>1</v>
      </c>
      <c r="AK783">
        <v>3</v>
      </c>
      <c r="AL783">
        <v>3</v>
      </c>
      <c r="AM783">
        <v>72</v>
      </c>
      <c r="AN783">
        <v>3</v>
      </c>
      <c r="AO783">
        <v>23</v>
      </c>
      <c r="AP783">
        <v>7</v>
      </c>
      <c r="AQ783">
        <v>65</v>
      </c>
      <c r="AR783">
        <v>0.1183431952662722</v>
      </c>
      <c r="AS783">
        <v>0</v>
      </c>
      <c r="AT783">
        <v>0.26627218934911251</v>
      </c>
      <c r="AU783">
        <v>1.7751479289940829E-2</v>
      </c>
      <c r="AV783">
        <v>0.40828402366863897</v>
      </c>
      <c r="AW783">
        <v>0.42603550295857989</v>
      </c>
      <c r="AX783">
        <v>0.13609467455621299</v>
      </c>
      <c r="AY783">
        <v>0.38461538461538458</v>
      </c>
      <c r="AZ783">
        <v>-0.2899408284023669</v>
      </c>
      <c r="BA783">
        <v>0.5</v>
      </c>
      <c r="BB783">
        <v>0.71568627450980393</v>
      </c>
      <c r="BC783">
        <v>0.46666666666666667</v>
      </c>
      <c r="BD783">
        <v>0.44378698224852059</v>
      </c>
      <c r="BE783">
        <v>4</v>
      </c>
      <c r="BF783">
        <v>0.53153498085624784</v>
      </c>
      <c r="BG783">
        <v>0.6</v>
      </c>
      <c r="BH783" t="s">
        <v>86</v>
      </c>
      <c r="BI783">
        <v>0.53</v>
      </c>
      <c r="BJ783" t="s">
        <v>71</v>
      </c>
      <c r="BK783" s="2">
        <f t="shared" si="25"/>
        <v>6.9999999999999951E-2</v>
      </c>
      <c r="BL783" t="b">
        <f t="shared" si="26"/>
        <v>0</v>
      </c>
    </row>
    <row r="784" spans="1:64" x14ac:dyDescent="0.35">
      <c r="A784" t="s">
        <v>2121</v>
      </c>
      <c r="B784" t="s">
        <v>2117</v>
      </c>
      <c r="C784">
        <v>2021</v>
      </c>
      <c r="D784" t="s">
        <v>2118</v>
      </c>
      <c r="E784" t="s">
        <v>2119</v>
      </c>
      <c r="F784" t="s">
        <v>66</v>
      </c>
      <c r="G784" t="s">
        <v>101</v>
      </c>
      <c r="H784" t="s">
        <v>365</v>
      </c>
      <c r="I784" t="s">
        <v>2120</v>
      </c>
      <c r="J784" t="s">
        <v>70</v>
      </c>
      <c r="L784">
        <v>1</v>
      </c>
      <c r="M784" t="b">
        <v>0</v>
      </c>
      <c r="N784">
        <v>2</v>
      </c>
      <c r="O784">
        <v>1</v>
      </c>
      <c r="P784">
        <v>3</v>
      </c>
      <c r="Q784">
        <v>0</v>
      </c>
      <c r="R784">
        <v>3</v>
      </c>
      <c r="S784">
        <v>4</v>
      </c>
      <c r="T784">
        <v>16</v>
      </c>
      <c r="U784">
        <v>85</v>
      </c>
      <c r="V784">
        <v>73</v>
      </c>
      <c r="W784">
        <v>14</v>
      </c>
      <c r="X784">
        <v>5.2142857142857144</v>
      </c>
      <c r="Y784">
        <v>2</v>
      </c>
      <c r="Z784">
        <v>7</v>
      </c>
      <c r="AA784">
        <v>0</v>
      </c>
      <c r="AB784">
        <v>0</v>
      </c>
      <c r="AC784">
        <v>3</v>
      </c>
      <c r="AD784">
        <v>3</v>
      </c>
      <c r="AE784">
        <v>10</v>
      </c>
      <c r="AF784">
        <v>2</v>
      </c>
      <c r="AG784">
        <v>28</v>
      </c>
      <c r="AH784">
        <v>1</v>
      </c>
      <c r="AI784">
        <v>3</v>
      </c>
      <c r="AJ784">
        <v>0</v>
      </c>
      <c r="AK784">
        <v>0</v>
      </c>
      <c r="AL784">
        <v>1</v>
      </c>
      <c r="AM784">
        <v>3</v>
      </c>
      <c r="AN784">
        <v>4</v>
      </c>
      <c r="AO784">
        <v>35</v>
      </c>
      <c r="AP784">
        <v>5</v>
      </c>
      <c r="AQ784">
        <v>17</v>
      </c>
      <c r="AR784">
        <v>8.2352941176470587E-2</v>
      </c>
      <c r="AS784">
        <v>0</v>
      </c>
      <c r="AT784">
        <v>0.1176470588235294</v>
      </c>
      <c r="AU784">
        <v>0.32941176470588229</v>
      </c>
      <c r="AV784">
        <v>3.5294117647058823E-2</v>
      </c>
      <c r="AW784">
        <v>3.5294117647058823E-2</v>
      </c>
      <c r="AX784">
        <v>0.41176470588235292</v>
      </c>
      <c r="AY784">
        <v>0.2</v>
      </c>
      <c r="AZ784">
        <v>0.37647058823529411</v>
      </c>
      <c r="BA784">
        <v>0.5</v>
      </c>
      <c r="BB784">
        <v>0.70238095238095244</v>
      </c>
      <c r="BC784">
        <v>0.33333333333333331</v>
      </c>
      <c r="BD784">
        <v>0.86029411764705876</v>
      </c>
      <c r="BE784">
        <v>4</v>
      </c>
      <c r="BF784">
        <v>0.59900210084033612</v>
      </c>
      <c r="BG784">
        <v>0.6</v>
      </c>
      <c r="BH784" t="s">
        <v>86</v>
      </c>
      <c r="BI784">
        <v>0.6</v>
      </c>
      <c r="BJ784" t="s">
        <v>86</v>
      </c>
      <c r="BK784" s="2">
        <f t="shared" si="25"/>
        <v>0</v>
      </c>
      <c r="BL784" t="b">
        <f t="shared" si="26"/>
        <v>1</v>
      </c>
    </row>
    <row r="785" spans="1:64" x14ac:dyDescent="0.35">
      <c r="A785" t="s">
        <v>2122</v>
      </c>
      <c r="B785" t="s">
        <v>2123</v>
      </c>
      <c r="C785">
        <v>2015</v>
      </c>
      <c r="D785" t="s">
        <v>2124</v>
      </c>
      <c r="E785" t="s">
        <v>2125</v>
      </c>
      <c r="F785" t="s">
        <v>66</v>
      </c>
      <c r="G785" t="s">
        <v>101</v>
      </c>
      <c r="H785" t="s">
        <v>150</v>
      </c>
      <c r="I785" t="s">
        <v>116</v>
      </c>
      <c r="J785" t="s">
        <v>70</v>
      </c>
      <c r="L785">
        <v>3</v>
      </c>
      <c r="M785" t="b">
        <v>0</v>
      </c>
      <c r="N785">
        <v>1</v>
      </c>
      <c r="O785">
        <v>2</v>
      </c>
      <c r="P785">
        <v>11</v>
      </c>
      <c r="Q785">
        <v>2</v>
      </c>
      <c r="R785">
        <v>9</v>
      </c>
      <c r="S785">
        <v>6</v>
      </c>
      <c r="T785">
        <v>39</v>
      </c>
      <c r="U785">
        <v>419</v>
      </c>
      <c r="V785">
        <v>167</v>
      </c>
      <c r="W785">
        <v>26</v>
      </c>
      <c r="X785">
        <v>6.4230769230769234</v>
      </c>
      <c r="Y785">
        <v>6</v>
      </c>
      <c r="Z785">
        <v>41</v>
      </c>
      <c r="AA785">
        <v>1</v>
      </c>
      <c r="AB785">
        <v>4</v>
      </c>
      <c r="AC785">
        <v>7</v>
      </c>
      <c r="AD785">
        <v>6</v>
      </c>
      <c r="AE785">
        <v>34</v>
      </c>
      <c r="AF785">
        <v>2</v>
      </c>
      <c r="AG785">
        <v>209</v>
      </c>
      <c r="AH785">
        <v>0</v>
      </c>
      <c r="AI785">
        <v>0</v>
      </c>
      <c r="AJ785">
        <v>2</v>
      </c>
      <c r="AK785">
        <v>8</v>
      </c>
      <c r="AL785">
        <v>2</v>
      </c>
      <c r="AM785">
        <v>8</v>
      </c>
      <c r="AN785">
        <v>9</v>
      </c>
      <c r="AO785">
        <v>254</v>
      </c>
      <c r="AP785">
        <v>13</v>
      </c>
      <c r="AQ785">
        <v>79</v>
      </c>
      <c r="AR785">
        <v>9.7852028639618144E-2</v>
      </c>
      <c r="AS785">
        <v>9.5465393794749408E-3</v>
      </c>
      <c r="AT785">
        <v>8.1145584725536998E-2</v>
      </c>
      <c r="AU785">
        <v>0.49880668257756561</v>
      </c>
      <c r="AV785">
        <v>0</v>
      </c>
      <c r="AW785">
        <v>1.9093078758949882E-2</v>
      </c>
      <c r="AX785">
        <v>0.60620525059665875</v>
      </c>
      <c r="AY785">
        <v>0.1885441527446301</v>
      </c>
      <c r="AZ785">
        <v>0.58711217183770892</v>
      </c>
      <c r="BA785">
        <v>0.83333333333333337</v>
      </c>
      <c r="BB785">
        <v>0.90384615384615385</v>
      </c>
      <c r="BC785">
        <v>0.8666666666666667</v>
      </c>
      <c r="BD785">
        <v>0.991945107398568</v>
      </c>
      <c r="BE785">
        <v>4</v>
      </c>
      <c r="BF785">
        <v>0.89894781531118051</v>
      </c>
      <c r="BG785">
        <v>0.89</v>
      </c>
      <c r="BH785" t="s">
        <v>164</v>
      </c>
      <c r="BI785">
        <v>0.9</v>
      </c>
      <c r="BJ785" t="s">
        <v>164</v>
      </c>
      <c r="BK785" s="2">
        <f t="shared" si="25"/>
        <v>-1.0000000000000009E-2</v>
      </c>
      <c r="BL785" t="b">
        <f t="shared" si="26"/>
        <v>1</v>
      </c>
    </row>
    <row r="786" spans="1:64" x14ac:dyDescent="0.35">
      <c r="A786" t="s">
        <v>2126</v>
      </c>
      <c r="B786" t="s">
        <v>2127</v>
      </c>
      <c r="C786">
        <v>2017</v>
      </c>
      <c r="D786" t="s">
        <v>2128</v>
      </c>
      <c r="E786" t="s">
        <v>2129</v>
      </c>
      <c r="F786" t="s">
        <v>66</v>
      </c>
      <c r="G786" t="s">
        <v>101</v>
      </c>
      <c r="H786" t="s">
        <v>102</v>
      </c>
      <c r="I786" t="s">
        <v>2130</v>
      </c>
      <c r="J786" t="s">
        <v>70</v>
      </c>
      <c r="L786">
        <v>1</v>
      </c>
      <c r="M786" t="b">
        <v>0</v>
      </c>
      <c r="N786">
        <v>3</v>
      </c>
      <c r="O786">
        <v>1</v>
      </c>
      <c r="P786">
        <v>4</v>
      </c>
      <c r="Q786">
        <v>4</v>
      </c>
      <c r="R786">
        <v>0</v>
      </c>
      <c r="S786">
        <v>4</v>
      </c>
      <c r="T786">
        <v>24</v>
      </c>
      <c r="U786">
        <v>277</v>
      </c>
      <c r="V786">
        <v>89</v>
      </c>
      <c r="W786">
        <v>17</v>
      </c>
      <c r="X786">
        <v>5.2352941176470589</v>
      </c>
      <c r="Y786">
        <v>3</v>
      </c>
      <c r="Z786">
        <v>15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3</v>
      </c>
      <c r="AG786">
        <v>28</v>
      </c>
      <c r="AH786">
        <v>1</v>
      </c>
      <c r="AI786">
        <v>7</v>
      </c>
      <c r="AJ786">
        <v>1</v>
      </c>
      <c r="AK786">
        <v>5</v>
      </c>
      <c r="AL786">
        <v>2</v>
      </c>
      <c r="AM786">
        <v>12</v>
      </c>
      <c r="AN786">
        <v>6</v>
      </c>
      <c r="AO786">
        <v>43</v>
      </c>
      <c r="AP786">
        <v>3</v>
      </c>
      <c r="AQ786">
        <v>15</v>
      </c>
      <c r="AR786">
        <v>5.4151624548736461E-2</v>
      </c>
      <c r="AS786">
        <v>0</v>
      </c>
      <c r="AT786">
        <v>0</v>
      </c>
      <c r="AU786">
        <v>0.10108303249097469</v>
      </c>
      <c r="AV786">
        <v>2.5270758122743681E-2</v>
      </c>
      <c r="AW786">
        <v>4.3321299638989168E-2</v>
      </c>
      <c r="AX786">
        <v>0.1552346570397112</v>
      </c>
      <c r="AY786">
        <v>5.4151624548736461E-2</v>
      </c>
      <c r="AZ786">
        <v>0.111913357400722</v>
      </c>
      <c r="BA786">
        <v>0.5</v>
      </c>
      <c r="BB786">
        <v>0.70588235294117652</v>
      </c>
      <c r="BC786">
        <v>0.2</v>
      </c>
      <c r="BD786">
        <v>0.69494584837545126</v>
      </c>
      <c r="BE786">
        <v>4</v>
      </c>
      <c r="BF786">
        <v>0.52520705032915693</v>
      </c>
      <c r="BG786">
        <v>0.53</v>
      </c>
      <c r="BH786" t="s">
        <v>71</v>
      </c>
      <c r="BI786">
        <v>0.53</v>
      </c>
      <c r="BJ786" t="s">
        <v>71</v>
      </c>
      <c r="BK786" s="2">
        <f t="shared" si="25"/>
        <v>0</v>
      </c>
      <c r="BL786" t="b">
        <f t="shared" si="26"/>
        <v>1</v>
      </c>
    </row>
    <row r="787" spans="1:64" x14ac:dyDescent="0.35">
      <c r="A787" t="s">
        <v>2131</v>
      </c>
      <c r="B787" t="s">
        <v>2127</v>
      </c>
      <c r="C787">
        <v>2022</v>
      </c>
      <c r="D787" t="s">
        <v>2128</v>
      </c>
      <c r="E787" t="s">
        <v>2129</v>
      </c>
      <c r="F787" t="s">
        <v>66</v>
      </c>
      <c r="G787" t="s">
        <v>101</v>
      </c>
      <c r="H787" t="s">
        <v>102</v>
      </c>
      <c r="I787" t="s">
        <v>2130</v>
      </c>
      <c r="J787" t="s">
        <v>70</v>
      </c>
      <c r="L787">
        <v>1</v>
      </c>
      <c r="M787" t="b">
        <v>0</v>
      </c>
      <c r="N787">
        <v>4</v>
      </c>
      <c r="O787">
        <v>3</v>
      </c>
      <c r="P787">
        <v>3</v>
      </c>
      <c r="Q787">
        <v>4</v>
      </c>
      <c r="R787">
        <v>-1</v>
      </c>
      <c r="S787">
        <v>3</v>
      </c>
      <c r="T787">
        <v>22</v>
      </c>
      <c r="U787">
        <v>261</v>
      </c>
      <c r="V787">
        <v>78</v>
      </c>
      <c r="W787">
        <v>18</v>
      </c>
      <c r="X787">
        <v>4.333333333333333</v>
      </c>
      <c r="Y787">
        <v>2</v>
      </c>
      <c r="Z787">
        <v>38</v>
      </c>
      <c r="AA787">
        <v>0</v>
      </c>
      <c r="AB787">
        <v>0</v>
      </c>
      <c r="AC787">
        <v>3</v>
      </c>
      <c r="AD787">
        <v>3</v>
      </c>
      <c r="AE787">
        <v>21</v>
      </c>
      <c r="AF787">
        <v>1</v>
      </c>
      <c r="AG787">
        <v>5</v>
      </c>
      <c r="AH787">
        <v>1</v>
      </c>
      <c r="AI787">
        <v>105</v>
      </c>
      <c r="AJ787">
        <v>2</v>
      </c>
      <c r="AK787">
        <v>10</v>
      </c>
      <c r="AL787">
        <v>3</v>
      </c>
      <c r="AM787">
        <v>115</v>
      </c>
      <c r="AN787">
        <v>3</v>
      </c>
      <c r="AO787">
        <v>43</v>
      </c>
      <c r="AP787">
        <v>5</v>
      </c>
      <c r="AQ787">
        <v>59</v>
      </c>
      <c r="AR787">
        <v>0.1455938697318008</v>
      </c>
      <c r="AS787">
        <v>0</v>
      </c>
      <c r="AT787">
        <v>8.0459770114942528E-2</v>
      </c>
      <c r="AU787">
        <v>1.9157088122605359E-2</v>
      </c>
      <c r="AV787">
        <v>0.40229885057471271</v>
      </c>
      <c r="AW787">
        <v>0.44061302681992343</v>
      </c>
      <c r="AX787">
        <v>0.1647509578544061</v>
      </c>
      <c r="AY787">
        <v>0.22605363984674329</v>
      </c>
      <c r="AZ787">
        <v>-0.27586206896551718</v>
      </c>
      <c r="BA787">
        <v>0.33333333333333331</v>
      </c>
      <c r="BB787">
        <v>0.55555555555555547</v>
      </c>
      <c r="BC787">
        <v>0.33333333333333331</v>
      </c>
      <c r="BD787">
        <v>0.45258620689655182</v>
      </c>
      <c r="BE787">
        <v>4</v>
      </c>
      <c r="BF787">
        <v>0.41870210727969348</v>
      </c>
      <c r="BG787">
        <v>0.48</v>
      </c>
      <c r="BH787" t="s">
        <v>71</v>
      </c>
      <c r="BI787">
        <v>0.42</v>
      </c>
      <c r="BJ787" t="s">
        <v>71</v>
      </c>
      <c r="BK787" s="2">
        <f t="shared" si="25"/>
        <v>0.06</v>
      </c>
      <c r="BL787" t="b">
        <f t="shared" si="26"/>
        <v>1</v>
      </c>
    </row>
    <row r="788" spans="1:64" x14ac:dyDescent="0.35">
      <c r="A788" t="s">
        <v>2132</v>
      </c>
      <c r="B788" t="s">
        <v>2133</v>
      </c>
      <c r="C788">
        <v>2014</v>
      </c>
      <c r="D788" t="s">
        <v>2134</v>
      </c>
      <c r="E788" t="s">
        <v>2135</v>
      </c>
      <c r="F788" t="s">
        <v>66</v>
      </c>
      <c r="G788" t="s">
        <v>101</v>
      </c>
      <c r="H788" t="s">
        <v>150</v>
      </c>
      <c r="I788" t="s">
        <v>116</v>
      </c>
      <c r="J788" t="s">
        <v>70</v>
      </c>
      <c r="L788">
        <v>3</v>
      </c>
      <c r="M788" t="b">
        <v>0</v>
      </c>
      <c r="N788">
        <v>1</v>
      </c>
      <c r="O788">
        <v>2</v>
      </c>
      <c r="P788">
        <v>7</v>
      </c>
      <c r="Q788">
        <v>2</v>
      </c>
      <c r="R788">
        <v>5</v>
      </c>
      <c r="S788">
        <v>6</v>
      </c>
      <c r="T788">
        <v>27</v>
      </c>
      <c r="U788">
        <v>325</v>
      </c>
      <c r="V788">
        <v>124</v>
      </c>
      <c r="W788">
        <v>20</v>
      </c>
      <c r="X788">
        <v>6.2</v>
      </c>
      <c r="Y788">
        <v>5</v>
      </c>
      <c r="Z788">
        <v>52</v>
      </c>
      <c r="AA788">
        <v>1</v>
      </c>
      <c r="AB788">
        <v>2</v>
      </c>
      <c r="AC788">
        <v>4</v>
      </c>
      <c r="AD788">
        <v>4</v>
      </c>
      <c r="AE788">
        <v>27</v>
      </c>
      <c r="AF788">
        <v>5</v>
      </c>
      <c r="AG788">
        <v>111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11</v>
      </c>
      <c r="AO788">
        <v>165</v>
      </c>
      <c r="AP788">
        <v>10</v>
      </c>
      <c r="AQ788">
        <v>81</v>
      </c>
      <c r="AR788">
        <v>0.16</v>
      </c>
      <c r="AS788">
        <v>6.1538461538461538E-3</v>
      </c>
      <c r="AT788">
        <v>8.3076923076923076E-2</v>
      </c>
      <c r="AU788">
        <v>0.34153846153846151</v>
      </c>
      <c r="AV788">
        <v>0</v>
      </c>
      <c r="AW788">
        <v>0</v>
      </c>
      <c r="AX788">
        <v>0.50769230769230766</v>
      </c>
      <c r="AY788">
        <v>0.2492307692307692</v>
      </c>
      <c r="AZ788">
        <v>0.50769230769230766</v>
      </c>
      <c r="BA788">
        <v>0.83333333333333337</v>
      </c>
      <c r="BB788">
        <v>0.8666666666666667</v>
      </c>
      <c r="BC788">
        <v>0.66666666666666663</v>
      </c>
      <c r="BD788">
        <v>0.94230769230769229</v>
      </c>
      <c r="BE788">
        <v>4</v>
      </c>
      <c r="BF788">
        <v>0.82724358974358969</v>
      </c>
      <c r="BG788">
        <v>0.83</v>
      </c>
      <c r="BH788" t="s">
        <v>164</v>
      </c>
      <c r="BI788">
        <v>0.83</v>
      </c>
      <c r="BJ788" t="s">
        <v>164</v>
      </c>
      <c r="BK788" s="2">
        <f t="shared" si="25"/>
        <v>0</v>
      </c>
      <c r="BL788" t="b">
        <f t="shared" si="26"/>
        <v>1</v>
      </c>
    </row>
    <row r="789" spans="1:64" x14ac:dyDescent="0.35">
      <c r="A789" t="s">
        <v>2136</v>
      </c>
      <c r="B789" t="s">
        <v>2133</v>
      </c>
      <c r="C789">
        <v>2020</v>
      </c>
      <c r="D789" t="s">
        <v>2134</v>
      </c>
      <c r="E789" t="s">
        <v>2135</v>
      </c>
      <c r="F789" t="s">
        <v>66</v>
      </c>
      <c r="G789" t="s">
        <v>101</v>
      </c>
      <c r="H789" t="s">
        <v>150</v>
      </c>
      <c r="I789" t="s">
        <v>116</v>
      </c>
      <c r="J789" t="s">
        <v>70</v>
      </c>
      <c r="L789">
        <v>3</v>
      </c>
      <c r="M789" t="b">
        <v>0</v>
      </c>
      <c r="N789">
        <v>3</v>
      </c>
      <c r="O789">
        <v>1</v>
      </c>
      <c r="P789">
        <v>1</v>
      </c>
      <c r="Q789">
        <v>5</v>
      </c>
      <c r="R789">
        <v>-4</v>
      </c>
      <c r="S789">
        <v>3</v>
      </c>
      <c r="T789">
        <v>24</v>
      </c>
      <c r="U789">
        <v>393</v>
      </c>
      <c r="V789">
        <v>73</v>
      </c>
      <c r="W789">
        <v>17</v>
      </c>
      <c r="X789">
        <v>4.2941176470588234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1</v>
      </c>
      <c r="AE789">
        <v>54</v>
      </c>
      <c r="AF789">
        <v>3</v>
      </c>
      <c r="AG789">
        <v>43</v>
      </c>
      <c r="AH789">
        <v>0</v>
      </c>
      <c r="AI789">
        <v>0</v>
      </c>
      <c r="AJ789">
        <v>3</v>
      </c>
      <c r="AK789">
        <v>31</v>
      </c>
      <c r="AL789">
        <v>3</v>
      </c>
      <c r="AM789">
        <v>31</v>
      </c>
      <c r="AN789">
        <v>3</v>
      </c>
      <c r="AO789">
        <v>43</v>
      </c>
      <c r="AP789">
        <v>1</v>
      </c>
      <c r="AQ789">
        <v>54</v>
      </c>
      <c r="AR789">
        <v>0</v>
      </c>
      <c r="AS789">
        <v>0</v>
      </c>
      <c r="AT789">
        <v>0.13740458015267179</v>
      </c>
      <c r="AU789">
        <v>0.10941475826972009</v>
      </c>
      <c r="AV789">
        <v>0</v>
      </c>
      <c r="AW789">
        <v>7.8880407124681931E-2</v>
      </c>
      <c r="AX789">
        <v>0.10941475826972009</v>
      </c>
      <c r="AY789">
        <v>0.13740458015267179</v>
      </c>
      <c r="AZ789">
        <v>3.0534351145038181E-2</v>
      </c>
      <c r="BA789">
        <v>0.33333333333333331</v>
      </c>
      <c r="BB789">
        <v>0.54901960784313719</v>
      </c>
      <c r="BC789">
        <v>6.6666666666666666E-2</v>
      </c>
      <c r="BD789">
        <v>0.64408396946564883</v>
      </c>
      <c r="BE789">
        <v>4</v>
      </c>
      <c r="BF789">
        <v>0.39827589432719651</v>
      </c>
      <c r="BG789">
        <v>0.4</v>
      </c>
      <c r="BH789" t="s">
        <v>71</v>
      </c>
      <c r="BI789">
        <v>0.4</v>
      </c>
      <c r="BJ789" t="s">
        <v>71</v>
      </c>
      <c r="BK789" s="2">
        <f t="shared" si="25"/>
        <v>0</v>
      </c>
      <c r="BL789" t="b">
        <f t="shared" si="26"/>
        <v>1</v>
      </c>
    </row>
    <row r="790" spans="1:64" x14ac:dyDescent="0.35">
      <c r="A790" t="s">
        <v>2137</v>
      </c>
      <c r="B790" t="s">
        <v>2138</v>
      </c>
      <c r="C790">
        <v>2015</v>
      </c>
      <c r="D790" t="s">
        <v>2139</v>
      </c>
      <c r="E790" t="s">
        <v>2140</v>
      </c>
      <c r="F790" t="s">
        <v>66</v>
      </c>
      <c r="G790" t="s">
        <v>101</v>
      </c>
      <c r="H790" t="s">
        <v>195</v>
      </c>
      <c r="I790" t="s">
        <v>2141</v>
      </c>
      <c r="J790" t="s">
        <v>70</v>
      </c>
      <c r="L790">
        <v>1</v>
      </c>
      <c r="M790" t="b">
        <v>0</v>
      </c>
      <c r="N790">
        <v>1</v>
      </c>
      <c r="O790">
        <v>2</v>
      </c>
      <c r="P790">
        <v>4</v>
      </c>
      <c r="Q790">
        <v>3</v>
      </c>
      <c r="R790">
        <v>1</v>
      </c>
      <c r="S790">
        <v>5</v>
      </c>
      <c r="T790">
        <v>21</v>
      </c>
      <c r="U790">
        <v>224</v>
      </c>
      <c r="V790">
        <v>93</v>
      </c>
      <c r="W790">
        <v>19</v>
      </c>
      <c r="X790">
        <v>4.8947368421052628</v>
      </c>
      <c r="Y790">
        <v>3</v>
      </c>
      <c r="Z790">
        <v>32</v>
      </c>
      <c r="AA790">
        <v>0</v>
      </c>
      <c r="AB790">
        <v>0</v>
      </c>
      <c r="AC790">
        <v>2</v>
      </c>
      <c r="AD790">
        <v>2</v>
      </c>
      <c r="AE790">
        <v>36</v>
      </c>
      <c r="AF790">
        <v>2</v>
      </c>
      <c r="AG790">
        <v>2</v>
      </c>
      <c r="AH790">
        <v>1</v>
      </c>
      <c r="AI790">
        <v>3</v>
      </c>
      <c r="AJ790">
        <v>0</v>
      </c>
      <c r="AK790">
        <v>0</v>
      </c>
      <c r="AL790">
        <v>1</v>
      </c>
      <c r="AM790">
        <v>3</v>
      </c>
      <c r="AN790">
        <v>5</v>
      </c>
      <c r="AO790">
        <v>34</v>
      </c>
      <c r="AP790">
        <v>5</v>
      </c>
      <c r="AQ790">
        <v>68</v>
      </c>
      <c r="AR790">
        <v>0.14285714285714279</v>
      </c>
      <c r="AS790">
        <v>0</v>
      </c>
      <c r="AT790">
        <v>0.1607142857142857</v>
      </c>
      <c r="AU790">
        <v>8.9285714285714281E-3</v>
      </c>
      <c r="AV790">
        <v>1.339285714285714E-2</v>
      </c>
      <c r="AW790">
        <v>1.339285714285714E-2</v>
      </c>
      <c r="AX790">
        <v>0.1517857142857143</v>
      </c>
      <c r="AY790">
        <v>0.30357142857142849</v>
      </c>
      <c r="AZ790">
        <v>0.1383928571428571</v>
      </c>
      <c r="BA790">
        <v>0.66666666666666663</v>
      </c>
      <c r="BB790">
        <v>0.64912280701754377</v>
      </c>
      <c r="BC790">
        <v>0.33333333333333331</v>
      </c>
      <c r="BD790">
        <v>0.7114955357142857</v>
      </c>
      <c r="BE790">
        <v>4</v>
      </c>
      <c r="BF790">
        <v>0.59015458568295731</v>
      </c>
      <c r="BG790">
        <v>0.59</v>
      </c>
      <c r="BH790" t="s">
        <v>71</v>
      </c>
      <c r="BI790">
        <v>0.59</v>
      </c>
      <c r="BJ790" t="s">
        <v>71</v>
      </c>
      <c r="BK790" s="2">
        <f t="shared" si="25"/>
        <v>0</v>
      </c>
      <c r="BL790" t="b">
        <f t="shared" si="26"/>
        <v>1</v>
      </c>
    </row>
    <row r="791" spans="1:64" x14ac:dyDescent="0.35">
      <c r="A791" t="s">
        <v>2142</v>
      </c>
      <c r="B791" t="s">
        <v>2138</v>
      </c>
      <c r="C791">
        <v>2019</v>
      </c>
      <c r="D791" t="s">
        <v>2139</v>
      </c>
      <c r="E791" t="s">
        <v>2140</v>
      </c>
      <c r="F791" t="s">
        <v>66</v>
      </c>
      <c r="G791" t="s">
        <v>101</v>
      </c>
      <c r="H791" t="s">
        <v>195</v>
      </c>
      <c r="I791" t="s">
        <v>2141</v>
      </c>
      <c r="J791" t="s">
        <v>70</v>
      </c>
      <c r="L791">
        <v>1</v>
      </c>
      <c r="M791" t="b">
        <v>0</v>
      </c>
      <c r="N791">
        <v>4</v>
      </c>
      <c r="O791">
        <v>1</v>
      </c>
      <c r="P791">
        <v>1</v>
      </c>
      <c r="Q791">
        <v>3</v>
      </c>
      <c r="R791">
        <v>-2</v>
      </c>
      <c r="S791">
        <v>2</v>
      </c>
      <c r="T791">
        <v>9</v>
      </c>
      <c r="U791">
        <v>44</v>
      </c>
      <c r="V791">
        <v>36</v>
      </c>
      <c r="W791">
        <v>9</v>
      </c>
      <c r="X791">
        <v>4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  <c r="AE791">
        <v>10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1</v>
      </c>
      <c r="AL791">
        <v>1</v>
      </c>
      <c r="AM791">
        <v>1</v>
      </c>
      <c r="AN791">
        <v>0</v>
      </c>
      <c r="AO791">
        <v>0</v>
      </c>
      <c r="AP791">
        <v>1</v>
      </c>
      <c r="AQ791">
        <v>10</v>
      </c>
      <c r="AR791">
        <v>0</v>
      </c>
      <c r="AS791">
        <v>0</v>
      </c>
      <c r="AT791">
        <v>0.22727272727272729</v>
      </c>
      <c r="AU791">
        <v>0</v>
      </c>
      <c r="AV791">
        <v>0</v>
      </c>
      <c r="AW791">
        <v>2.2727272727272731E-2</v>
      </c>
      <c r="AX791">
        <v>0</v>
      </c>
      <c r="AY791">
        <v>0.22727272727272729</v>
      </c>
      <c r="AZ791">
        <v>-2.2727272727272731E-2</v>
      </c>
      <c r="BA791">
        <v>0.16666666666666671</v>
      </c>
      <c r="BB791">
        <v>0.5</v>
      </c>
      <c r="BC791">
        <v>6.6666666666666666E-2</v>
      </c>
      <c r="BD791">
        <v>0.61079545454545447</v>
      </c>
      <c r="BE791">
        <v>4</v>
      </c>
      <c r="BF791">
        <v>0.33603219696969688</v>
      </c>
      <c r="BG791">
        <v>0.34</v>
      </c>
      <c r="BH791" t="s">
        <v>104</v>
      </c>
      <c r="BI791">
        <v>0.34</v>
      </c>
      <c r="BJ791" t="s">
        <v>104</v>
      </c>
      <c r="BK791" s="2">
        <f t="shared" si="25"/>
        <v>0</v>
      </c>
      <c r="BL791" t="b">
        <f t="shared" si="26"/>
        <v>1</v>
      </c>
    </row>
    <row r="792" spans="1:64" x14ac:dyDescent="0.35">
      <c r="A792" t="s">
        <v>2143</v>
      </c>
      <c r="B792" t="s">
        <v>2144</v>
      </c>
      <c r="C792">
        <v>2015</v>
      </c>
      <c r="D792" t="s">
        <v>2145</v>
      </c>
      <c r="E792" t="s">
        <v>2146</v>
      </c>
      <c r="F792" t="s">
        <v>66</v>
      </c>
      <c r="G792" t="s">
        <v>101</v>
      </c>
      <c r="H792" t="s">
        <v>195</v>
      </c>
      <c r="I792" t="s">
        <v>2141</v>
      </c>
      <c r="J792" t="s">
        <v>70</v>
      </c>
      <c r="L792">
        <v>3</v>
      </c>
      <c r="M792" t="b">
        <v>0</v>
      </c>
      <c r="N792">
        <v>1</v>
      </c>
      <c r="O792">
        <v>1</v>
      </c>
      <c r="P792">
        <v>4</v>
      </c>
      <c r="Q792">
        <v>4</v>
      </c>
      <c r="R792">
        <v>0</v>
      </c>
      <c r="S792">
        <v>4</v>
      </c>
      <c r="T792">
        <v>30</v>
      </c>
      <c r="U792">
        <v>481</v>
      </c>
      <c r="V792">
        <v>88</v>
      </c>
      <c r="W792">
        <v>19</v>
      </c>
      <c r="X792">
        <v>4.6315789473684212</v>
      </c>
      <c r="Y792">
        <v>4</v>
      </c>
      <c r="Z792">
        <v>76</v>
      </c>
      <c r="AA792">
        <v>0</v>
      </c>
      <c r="AB792">
        <v>0</v>
      </c>
      <c r="AC792">
        <v>3</v>
      </c>
      <c r="AD792">
        <v>3</v>
      </c>
      <c r="AE792">
        <v>52</v>
      </c>
      <c r="AF792">
        <v>1</v>
      </c>
      <c r="AG792">
        <v>9</v>
      </c>
      <c r="AH792">
        <v>1</v>
      </c>
      <c r="AI792">
        <v>37</v>
      </c>
      <c r="AJ792">
        <v>2</v>
      </c>
      <c r="AK792">
        <v>21</v>
      </c>
      <c r="AL792">
        <v>4</v>
      </c>
      <c r="AM792">
        <v>66</v>
      </c>
      <c r="AN792">
        <v>5</v>
      </c>
      <c r="AO792">
        <v>85</v>
      </c>
      <c r="AP792">
        <v>7</v>
      </c>
      <c r="AQ792">
        <v>128</v>
      </c>
      <c r="AR792">
        <v>0.15800415800415801</v>
      </c>
      <c r="AS792">
        <v>0</v>
      </c>
      <c r="AT792">
        <v>0.1081081081081081</v>
      </c>
      <c r="AU792">
        <v>1.8711018711018709E-2</v>
      </c>
      <c r="AV792">
        <v>7.6923076923076927E-2</v>
      </c>
      <c r="AW792">
        <v>0.13721413721413719</v>
      </c>
      <c r="AX792">
        <v>0.1767151767151767</v>
      </c>
      <c r="AY792">
        <v>0.26611226611226613</v>
      </c>
      <c r="AZ792">
        <v>3.9501039501039503E-2</v>
      </c>
      <c r="BA792">
        <v>0.5</v>
      </c>
      <c r="BB792">
        <v>0.60526315789473684</v>
      </c>
      <c r="BC792">
        <v>0.46666666666666667</v>
      </c>
      <c r="BD792">
        <v>0.6496881496881497</v>
      </c>
      <c r="BE792">
        <v>4</v>
      </c>
      <c r="BF792">
        <v>0.5554044935623883</v>
      </c>
      <c r="BG792">
        <v>0.56999999999999995</v>
      </c>
      <c r="BH792" t="s">
        <v>71</v>
      </c>
      <c r="BI792">
        <v>0.56000000000000005</v>
      </c>
      <c r="BJ792" t="s">
        <v>71</v>
      </c>
      <c r="BK792" s="2">
        <f t="shared" si="25"/>
        <v>9.9999999999998979E-3</v>
      </c>
      <c r="BL792" t="b">
        <f t="shared" si="26"/>
        <v>1</v>
      </c>
    </row>
    <row r="793" spans="1:64" x14ac:dyDescent="0.35">
      <c r="A793" t="s">
        <v>2147</v>
      </c>
      <c r="B793" t="s">
        <v>2144</v>
      </c>
      <c r="C793">
        <v>2018</v>
      </c>
      <c r="D793" t="s">
        <v>2145</v>
      </c>
      <c r="E793" t="s">
        <v>2146</v>
      </c>
      <c r="F793" t="s">
        <v>66</v>
      </c>
      <c r="G793" t="s">
        <v>101</v>
      </c>
      <c r="H793" t="s">
        <v>195</v>
      </c>
      <c r="I793" t="s">
        <v>2141</v>
      </c>
      <c r="J793" t="s">
        <v>70</v>
      </c>
      <c r="L793">
        <v>3</v>
      </c>
      <c r="M793" t="b">
        <v>0</v>
      </c>
      <c r="N793">
        <v>3</v>
      </c>
      <c r="O793">
        <v>2</v>
      </c>
      <c r="P793">
        <v>4</v>
      </c>
      <c r="Q793">
        <v>3</v>
      </c>
      <c r="R793">
        <v>1</v>
      </c>
      <c r="S793">
        <v>4</v>
      </c>
      <c r="T793">
        <v>28</v>
      </c>
      <c r="U793">
        <v>226</v>
      </c>
      <c r="V793">
        <v>108</v>
      </c>
      <c r="W793">
        <v>20</v>
      </c>
      <c r="X793">
        <v>5.4</v>
      </c>
      <c r="Y793">
        <v>2</v>
      </c>
      <c r="Z793">
        <v>9</v>
      </c>
      <c r="AA793">
        <v>0</v>
      </c>
      <c r="AB793">
        <v>0</v>
      </c>
      <c r="AC793">
        <v>3</v>
      </c>
      <c r="AD793">
        <v>3</v>
      </c>
      <c r="AE793">
        <v>89</v>
      </c>
      <c r="AF793">
        <v>4</v>
      </c>
      <c r="AG793">
        <v>5</v>
      </c>
      <c r="AH793">
        <v>1</v>
      </c>
      <c r="AI793">
        <v>9</v>
      </c>
      <c r="AJ793">
        <v>1</v>
      </c>
      <c r="AK793">
        <v>4</v>
      </c>
      <c r="AL793">
        <v>2</v>
      </c>
      <c r="AM793">
        <v>13</v>
      </c>
      <c r="AN793">
        <v>6</v>
      </c>
      <c r="AO793">
        <v>14</v>
      </c>
      <c r="AP793">
        <v>5</v>
      </c>
      <c r="AQ793">
        <v>98</v>
      </c>
      <c r="AR793">
        <v>3.9823008849557522E-2</v>
      </c>
      <c r="AS793">
        <v>0</v>
      </c>
      <c r="AT793">
        <v>0.39380530973451328</v>
      </c>
      <c r="AU793">
        <v>2.2123893805309731E-2</v>
      </c>
      <c r="AV793">
        <v>3.9823008849557522E-2</v>
      </c>
      <c r="AW793">
        <v>5.7522123893805309E-2</v>
      </c>
      <c r="AX793">
        <v>6.1946902654867263E-2</v>
      </c>
      <c r="AY793">
        <v>0.4336283185840708</v>
      </c>
      <c r="AZ793">
        <v>4.4247787610619468E-3</v>
      </c>
      <c r="BA793">
        <v>0.5</v>
      </c>
      <c r="BB793">
        <v>0.73333333333333339</v>
      </c>
      <c r="BC793">
        <v>0.33333333333333331</v>
      </c>
      <c r="BD793">
        <v>0.62776548672566357</v>
      </c>
      <c r="BE793">
        <v>4</v>
      </c>
      <c r="BF793">
        <v>0.54860803834808258</v>
      </c>
      <c r="BG793">
        <v>0.55000000000000004</v>
      </c>
      <c r="BH793" t="s">
        <v>71</v>
      </c>
      <c r="BI793">
        <v>0.55000000000000004</v>
      </c>
      <c r="BJ793" t="s">
        <v>71</v>
      </c>
      <c r="BK793" s="2">
        <f t="shared" si="25"/>
        <v>0</v>
      </c>
      <c r="BL793" t="b">
        <f t="shared" si="26"/>
        <v>1</v>
      </c>
    </row>
    <row r="794" spans="1:64" x14ac:dyDescent="0.35">
      <c r="A794" t="s">
        <v>2148</v>
      </c>
      <c r="B794" t="s">
        <v>2149</v>
      </c>
      <c r="C794">
        <v>2018</v>
      </c>
      <c r="D794" t="s">
        <v>2150</v>
      </c>
      <c r="E794" t="s">
        <v>2151</v>
      </c>
      <c r="F794" t="s">
        <v>66</v>
      </c>
      <c r="G794" t="s">
        <v>101</v>
      </c>
      <c r="H794" t="s">
        <v>162</v>
      </c>
      <c r="I794" t="s">
        <v>2152</v>
      </c>
      <c r="J794" t="s">
        <v>70</v>
      </c>
      <c r="L794">
        <v>1</v>
      </c>
      <c r="M794" t="b">
        <v>0</v>
      </c>
      <c r="N794">
        <v>1</v>
      </c>
      <c r="O794">
        <v>2</v>
      </c>
      <c r="P794">
        <v>4</v>
      </c>
      <c r="Q794">
        <v>3</v>
      </c>
      <c r="R794">
        <v>1</v>
      </c>
      <c r="S794">
        <v>5</v>
      </c>
      <c r="T794">
        <v>20</v>
      </c>
      <c r="U794">
        <v>152</v>
      </c>
      <c r="V794">
        <v>42</v>
      </c>
      <c r="W794">
        <v>10</v>
      </c>
      <c r="X794">
        <v>4.2</v>
      </c>
      <c r="Y794">
        <v>3</v>
      </c>
      <c r="Z794">
        <v>26</v>
      </c>
      <c r="AA794">
        <v>0</v>
      </c>
      <c r="AB794">
        <v>0</v>
      </c>
      <c r="AC794">
        <v>5</v>
      </c>
      <c r="AD794">
        <v>5</v>
      </c>
      <c r="AE794">
        <v>56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3</v>
      </c>
      <c r="AO794">
        <v>26</v>
      </c>
      <c r="AP794">
        <v>8</v>
      </c>
      <c r="AQ794">
        <v>82</v>
      </c>
      <c r="AR794">
        <v>0.1710526315789474</v>
      </c>
      <c r="AS794">
        <v>0</v>
      </c>
      <c r="AT794">
        <v>0.36842105263157893</v>
      </c>
      <c r="AU794">
        <v>0</v>
      </c>
      <c r="AV794">
        <v>0</v>
      </c>
      <c r="AW794">
        <v>0</v>
      </c>
      <c r="AX794">
        <v>0.1710526315789474</v>
      </c>
      <c r="AY794">
        <v>0.53947368421052633</v>
      </c>
      <c r="AZ794">
        <v>0.1710526315789474</v>
      </c>
      <c r="BA794">
        <v>0.66666666666666663</v>
      </c>
      <c r="BB794">
        <v>0.53333333333333333</v>
      </c>
      <c r="BC794">
        <v>0.53333333333333333</v>
      </c>
      <c r="BD794">
        <v>0.73190789473684204</v>
      </c>
      <c r="BE794">
        <v>4</v>
      </c>
      <c r="BF794">
        <v>0.61631030701754386</v>
      </c>
      <c r="BG794">
        <v>0.63</v>
      </c>
      <c r="BH794" t="s">
        <v>86</v>
      </c>
      <c r="BI794">
        <v>0.62</v>
      </c>
      <c r="BJ794" t="s">
        <v>86</v>
      </c>
      <c r="BK794" s="2">
        <f t="shared" si="25"/>
        <v>1.0000000000000009E-2</v>
      </c>
      <c r="BL794" t="b">
        <f t="shared" si="26"/>
        <v>1</v>
      </c>
    </row>
    <row r="795" spans="1:64" x14ac:dyDescent="0.35">
      <c r="A795" t="s">
        <v>2153</v>
      </c>
      <c r="B795" t="s">
        <v>2149</v>
      </c>
      <c r="C795">
        <v>2021</v>
      </c>
      <c r="D795" t="s">
        <v>2150</v>
      </c>
      <c r="E795" t="s">
        <v>2151</v>
      </c>
      <c r="F795" t="s">
        <v>66</v>
      </c>
      <c r="G795" t="s">
        <v>101</v>
      </c>
      <c r="H795" t="s">
        <v>162</v>
      </c>
      <c r="I795" t="s">
        <v>2152</v>
      </c>
      <c r="J795" t="s">
        <v>70</v>
      </c>
      <c r="L795">
        <v>1</v>
      </c>
      <c r="M795" t="b">
        <v>0</v>
      </c>
      <c r="N795">
        <v>1</v>
      </c>
      <c r="O795">
        <v>2</v>
      </c>
      <c r="P795">
        <v>12</v>
      </c>
      <c r="Q795">
        <v>1</v>
      </c>
      <c r="R795">
        <v>11</v>
      </c>
      <c r="S795">
        <v>7</v>
      </c>
      <c r="T795">
        <v>38</v>
      </c>
      <c r="U795">
        <v>258</v>
      </c>
      <c r="V795">
        <v>172</v>
      </c>
      <c r="W795">
        <v>28</v>
      </c>
      <c r="X795">
        <v>6.1428571428571432</v>
      </c>
      <c r="Y795">
        <v>5</v>
      </c>
      <c r="Z795">
        <v>44</v>
      </c>
      <c r="AA795">
        <v>1</v>
      </c>
      <c r="AB795">
        <v>2</v>
      </c>
      <c r="AC795">
        <v>6</v>
      </c>
      <c r="AD795">
        <v>6</v>
      </c>
      <c r="AE795">
        <v>23</v>
      </c>
      <c r="AF795">
        <v>4</v>
      </c>
      <c r="AG795">
        <v>67</v>
      </c>
      <c r="AH795">
        <v>0</v>
      </c>
      <c r="AI795">
        <v>0</v>
      </c>
      <c r="AJ795">
        <v>1</v>
      </c>
      <c r="AK795">
        <v>7</v>
      </c>
      <c r="AL795">
        <v>1</v>
      </c>
      <c r="AM795">
        <v>7</v>
      </c>
      <c r="AN795">
        <v>10</v>
      </c>
      <c r="AO795">
        <v>113</v>
      </c>
      <c r="AP795">
        <v>12</v>
      </c>
      <c r="AQ795">
        <v>69</v>
      </c>
      <c r="AR795">
        <v>0.1705426356589147</v>
      </c>
      <c r="AS795">
        <v>7.7519379844961239E-3</v>
      </c>
      <c r="AT795">
        <v>8.9147286821705432E-2</v>
      </c>
      <c r="AU795">
        <v>0.25968992248062017</v>
      </c>
      <c r="AV795">
        <v>0</v>
      </c>
      <c r="AW795">
        <v>2.713178294573643E-2</v>
      </c>
      <c r="AX795">
        <v>0.43798449612403101</v>
      </c>
      <c r="AY795">
        <v>0.26744186046511631</v>
      </c>
      <c r="AZ795">
        <v>0.41085271317829458</v>
      </c>
      <c r="BA795">
        <v>1</v>
      </c>
      <c r="BB795">
        <v>0.85714285714285721</v>
      </c>
      <c r="BC795">
        <v>0.8</v>
      </c>
      <c r="BD795">
        <v>0.88178294573643412</v>
      </c>
      <c r="BE795">
        <v>4</v>
      </c>
      <c r="BF795">
        <v>0.88473145071982284</v>
      </c>
      <c r="BG795">
        <v>0.85</v>
      </c>
      <c r="BH795" t="s">
        <v>164</v>
      </c>
      <c r="BI795">
        <v>0.88</v>
      </c>
      <c r="BJ795" t="s">
        <v>164</v>
      </c>
      <c r="BK795" s="2">
        <f t="shared" si="25"/>
        <v>-3.0000000000000027E-2</v>
      </c>
      <c r="BL795" t="b">
        <f t="shared" si="26"/>
        <v>1</v>
      </c>
    </row>
    <row r="796" spans="1:64" x14ac:dyDescent="0.35">
      <c r="A796" t="s">
        <v>2154</v>
      </c>
      <c r="B796" t="s">
        <v>2155</v>
      </c>
      <c r="C796">
        <v>2015</v>
      </c>
      <c r="D796" t="s">
        <v>2156</v>
      </c>
      <c r="E796" t="s">
        <v>2157</v>
      </c>
      <c r="F796" t="s">
        <v>66</v>
      </c>
      <c r="G796" t="s">
        <v>101</v>
      </c>
      <c r="H796" t="s">
        <v>162</v>
      </c>
      <c r="I796" t="s">
        <v>656</v>
      </c>
      <c r="J796" t="s">
        <v>70</v>
      </c>
      <c r="L796">
        <v>2</v>
      </c>
      <c r="M796" t="b">
        <v>0</v>
      </c>
      <c r="N796">
        <v>1</v>
      </c>
      <c r="O796">
        <v>2</v>
      </c>
      <c r="P796">
        <v>7</v>
      </c>
      <c r="Q796">
        <v>3</v>
      </c>
      <c r="R796">
        <v>4</v>
      </c>
      <c r="S796">
        <v>6</v>
      </c>
      <c r="T796">
        <v>27</v>
      </c>
      <c r="U796">
        <v>577</v>
      </c>
      <c r="V796">
        <v>118</v>
      </c>
      <c r="W796">
        <v>21</v>
      </c>
      <c r="X796">
        <v>5.6190476190476186</v>
      </c>
      <c r="Y796">
        <v>6</v>
      </c>
      <c r="Z796">
        <v>101</v>
      </c>
      <c r="AA796">
        <v>0</v>
      </c>
      <c r="AB796">
        <v>0</v>
      </c>
      <c r="AC796">
        <v>1</v>
      </c>
      <c r="AD796">
        <v>1</v>
      </c>
      <c r="AE796">
        <v>13</v>
      </c>
      <c r="AF796">
        <v>2</v>
      </c>
      <c r="AG796">
        <v>9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8</v>
      </c>
      <c r="AO796">
        <v>110</v>
      </c>
      <c r="AP796">
        <v>7</v>
      </c>
      <c r="AQ796">
        <v>114</v>
      </c>
      <c r="AR796">
        <v>0.17504332755632579</v>
      </c>
      <c r="AS796">
        <v>0</v>
      </c>
      <c r="AT796">
        <v>2.253032928942808E-2</v>
      </c>
      <c r="AU796">
        <v>1.5597920277296361E-2</v>
      </c>
      <c r="AV796">
        <v>0</v>
      </c>
      <c r="AW796">
        <v>0</v>
      </c>
      <c r="AX796">
        <v>0.19064124783362221</v>
      </c>
      <c r="AY796">
        <v>0.1975736568457539</v>
      </c>
      <c r="AZ796">
        <v>0.19064124783362221</v>
      </c>
      <c r="BA796">
        <v>0.83333333333333337</v>
      </c>
      <c r="BB796">
        <v>0.76984126984126977</v>
      </c>
      <c r="BC796">
        <v>0.46666666666666667</v>
      </c>
      <c r="BD796">
        <v>0.74415077989601375</v>
      </c>
      <c r="BE796">
        <v>4</v>
      </c>
      <c r="BF796">
        <v>0.70349801243432086</v>
      </c>
      <c r="BG796">
        <v>0.7</v>
      </c>
      <c r="BH796" t="s">
        <v>86</v>
      </c>
      <c r="BI796">
        <v>0.7</v>
      </c>
      <c r="BJ796" t="s">
        <v>86</v>
      </c>
      <c r="BK796" s="2">
        <f t="shared" si="25"/>
        <v>0</v>
      </c>
      <c r="BL796" t="b">
        <f t="shared" si="26"/>
        <v>1</v>
      </c>
    </row>
    <row r="797" spans="1:64" x14ac:dyDescent="0.35">
      <c r="A797" t="s">
        <v>2158</v>
      </c>
      <c r="B797" t="s">
        <v>2155</v>
      </c>
      <c r="C797">
        <v>2019</v>
      </c>
      <c r="D797" t="s">
        <v>2156</v>
      </c>
      <c r="E797" t="s">
        <v>2157</v>
      </c>
      <c r="F797" t="s">
        <v>66</v>
      </c>
      <c r="G797" t="s">
        <v>101</v>
      </c>
      <c r="H797" t="s">
        <v>162</v>
      </c>
      <c r="I797" t="s">
        <v>656</v>
      </c>
      <c r="J797" t="s">
        <v>70</v>
      </c>
      <c r="L797">
        <v>2</v>
      </c>
      <c r="M797" t="b">
        <v>0</v>
      </c>
      <c r="N797">
        <v>3</v>
      </c>
      <c r="O797">
        <v>1</v>
      </c>
      <c r="P797">
        <v>3</v>
      </c>
      <c r="Q797">
        <v>1</v>
      </c>
      <c r="R797">
        <v>2</v>
      </c>
      <c r="S797">
        <v>4</v>
      </c>
      <c r="T797">
        <v>15</v>
      </c>
      <c r="U797">
        <v>145</v>
      </c>
      <c r="V797">
        <v>69</v>
      </c>
      <c r="W797">
        <v>13</v>
      </c>
      <c r="X797">
        <v>5.3076923076923066</v>
      </c>
      <c r="Y797">
        <v>1</v>
      </c>
      <c r="Z797">
        <v>1</v>
      </c>
      <c r="AA797">
        <v>0</v>
      </c>
      <c r="AB797">
        <v>0</v>
      </c>
      <c r="AC797">
        <v>1</v>
      </c>
      <c r="AD797">
        <v>1</v>
      </c>
      <c r="AE797">
        <v>11</v>
      </c>
      <c r="AF797">
        <v>1</v>
      </c>
      <c r="AG797">
        <v>11</v>
      </c>
      <c r="AH797">
        <v>0</v>
      </c>
      <c r="AI797">
        <v>0</v>
      </c>
      <c r="AJ797">
        <v>1</v>
      </c>
      <c r="AK797">
        <v>1</v>
      </c>
      <c r="AL797">
        <v>1</v>
      </c>
      <c r="AM797">
        <v>1</v>
      </c>
      <c r="AN797">
        <v>2</v>
      </c>
      <c r="AO797">
        <v>12</v>
      </c>
      <c r="AP797">
        <v>2</v>
      </c>
      <c r="AQ797">
        <v>12</v>
      </c>
      <c r="AR797">
        <v>6.8965517241379309E-3</v>
      </c>
      <c r="AS797">
        <v>0</v>
      </c>
      <c r="AT797">
        <v>7.586206896551724E-2</v>
      </c>
      <c r="AU797">
        <v>7.586206896551724E-2</v>
      </c>
      <c r="AV797">
        <v>0</v>
      </c>
      <c r="AW797">
        <v>6.8965517241379309E-3</v>
      </c>
      <c r="AX797">
        <v>8.2758620689655171E-2</v>
      </c>
      <c r="AY797">
        <v>8.2758620689655171E-2</v>
      </c>
      <c r="AZ797">
        <v>7.586206896551724E-2</v>
      </c>
      <c r="BA797">
        <v>0.5</v>
      </c>
      <c r="BB797">
        <v>0.71794871794871773</v>
      </c>
      <c r="BC797">
        <v>0.1333333333333333</v>
      </c>
      <c r="BD797">
        <v>0.67241379310344818</v>
      </c>
      <c r="BE797">
        <v>4</v>
      </c>
      <c r="BF797">
        <v>0.50592396109637483</v>
      </c>
      <c r="BG797">
        <v>0.5</v>
      </c>
      <c r="BH797" t="s">
        <v>71</v>
      </c>
      <c r="BI797">
        <v>0.51</v>
      </c>
      <c r="BJ797" t="s">
        <v>71</v>
      </c>
      <c r="BK797" s="2">
        <f t="shared" si="25"/>
        <v>-1.0000000000000009E-2</v>
      </c>
      <c r="BL797" t="b">
        <f t="shared" si="26"/>
        <v>1</v>
      </c>
    </row>
    <row r="798" spans="1:64" x14ac:dyDescent="0.35">
      <c r="A798" t="s">
        <v>2159</v>
      </c>
      <c r="B798" t="s">
        <v>2160</v>
      </c>
      <c r="C798">
        <v>2016</v>
      </c>
      <c r="D798" t="s">
        <v>2161</v>
      </c>
      <c r="E798" t="s">
        <v>2162</v>
      </c>
      <c r="F798" t="s">
        <v>66</v>
      </c>
      <c r="G798" t="s">
        <v>101</v>
      </c>
      <c r="H798" t="s">
        <v>184</v>
      </c>
      <c r="I798" t="s">
        <v>2163</v>
      </c>
      <c r="J798" t="s">
        <v>70</v>
      </c>
      <c r="L798">
        <v>1</v>
      </c>
      <c r="M798" t="b">
        <v>0</v>
      </c>
      <c r="N798">
        <v>1</v>
      </c>
      <c r="O798">
        <v>2</v>
      </c>
      <c r="P798">
        <v>10</v>
      </c>
      <c r="Q798">
        <v>1</v>
      </c>
      <c r="R798">
        <v>9</v>
      </c>
      <c r="S798">
        <v>6</v>
      </c>
      <c r="T798">
        <v>18</v>
      </c>
      <c r="U798">
        <v>48</v>
      </c>
      <c r="V798">
        <v>88</v>
      </c>
      <c r="W798">
        <v>15</v>
      </c>
      <c r="X798">
        <v>5.8666666666666663</v>
      </c>
      <c r="Y798">
        <v>5</v>
      </c>
      <c r="Z798">
        <v>18</v>
      </c>
      <c r="AA798">
        <v>0</v>
      </c>
      <c r="AB798">
        <v>0</v>
      </c>
      <c r="AC798">
        <v>3</v>
      </c>
      <c r="AD798">
        <v>3</v>
      </c>
      <c r="AE798">
        <v>14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5</v>
      </c>
      <c r="AO798">
        <v>18</v>
      </c>
      <c r="AP798">
        <v>8</v>
      </c>
      <c r="AQ798">
        <v>32</v>
      </c>
      <c r="AR798">
        <v>0.375</v>
      </c>
      <c r="AS798">
        <v>0</v>
      </c>
      <c r="AT798">
        <v>0.29166666666666669</v>
      </c>
      <c r="AU798">
        <v>0</v>
      </c>
      <c r="AV798">
        <v>0</v>
      </c>
      <c r="AW798">
        <v>0</v>
      </c>
      <c r="AX798">
        <v>0.375</v>
      </c>
      <c r="AY798">
        <v>0.66666666666666663</v>
      </c>
      <c r="AZ798">
        <v>0.375</v>
      </c>
      <c r="BA798">
        <v>0.83333333333333337</v>
      </c>
      <c r="BB798">
        <v>0.81111111111111101</v>
      </c>
      <c r="BC798">
        <v>0.53333333333333333</v>
      </c>
      <c r="BD798">
        <v>0.859375</v>
      </c>
      <c r="BE798">
        <v>4</v>
      </c>
      <c r="BF798">
        <v>0.7592881944444444</v>
      </c>
      <c r="BG798">
        <v>0.75</v>
      </c>
      <c r="BH798" t="s">
        <v>86</v>
      </c>
      <c r="BI798">
        <v>0.76</v>
      </c>
      <c r="BJ798" t="s">
        <v>86</v>
      </c>
      <c r="BK798" s="2">
        <f t="shared" si="25"/>
        <v>-1.0000000000000009E-2</v>
      </c>
      <c r="BL798" t="b">
        <f t="shared" si="26"/>
        <v>1</v>
      </c>
    </row>
    <row r="799" spans="1:64" x14ac:dyDescent="0.35">
      <c r="A799" t="s">
        <v>2164</v>
      </c>
      <c r="B799" t="s">
        <v>2160</v>
      </c>
      <c r="C799">
        <v>2020</v>
      </c>
      <c r="D799" t="s">
        <v>2161</v>
      </c>
      <c r="E799" t="s">
        <v>2162</v>
      </c>
      <c r="F799" t="s">
        <v>66</v>
      </c>
      <c r="G799" t="s">
        <v>101</v>
      </c>
      <c r="H799" t="s">
        <v>184</v>
      </c>
      <c r="I799" t="s">
        <v>2163</v>
      </c>
      <c r="J799" t="s">
        <v>70</v>
      </c>
      <c r="L799">
        <v>1</v>
      </c>
      <c r="M799" t="b">
        <v>0</v>
      </c>
      <c r="N799">
        <v>1</v>
      </c>
      <c r="O799">
        <v>2</v>
      </c>
      <c r="P799">
        <v>3</v>
      </c>
      <c r="Q799">
        <v>0</v>
      </c>
      <c r="R799">
        <v>3</v>
      </c>
      <c r="S799">
        <v>5</v>
      </c>
      <c r="T799">
        <v>11</v>
      </c>
      <c r="U799">
        <v>84</v>
      </c>
      <c r="V799">
        <v>56</v>
      </c>
      <c r="W799">
        <v>9</v>
      </c>
      <c r="X799">
        <v>6.2222222222222223</v>
      </c>
      <c r="Y799">
        <v>1</v>
      </c>
      <c r="Z799">
        <v>9</v>
      </c>
      <c r="AA799">
        <v>0</v>
      </c>
      <c r="AB799">
        <v>0</v>
      </c>
      <c r="AC799">
        <v>2</v>
      </c>
      <c r="AD799">
        <v>2</v>
      </c>
      <c r="AE799">
        <v>5</v>
      </c>
      <c r="AF799">
        <v>1</v>
      </c>
      <c r="AG799">
        <v>1</v>
      </c>
      <c r="AH799">
        <v>0</v>
      </c>
      <c r="AI799">
        <v>0</v>
      </c>
      <c r="AJ799">
        <v>1</v>
      </c>
      <c r="AK799">
        <v>1</v>
      </c>
      <c r="AL799">
        <v>1</v>
      </c>
      <c r="AM799">
        <v>1</v>
      </c>
      <c r="AN799">
        <v>2</v>
      </c>
      <c r="AO799">
        <v>10</v>
      </c>
      <c r="AP799">
        <v>3</v>
      </c>
      <c r="AQ799">
        <v>14</v>
      </c>
      <c r="AR799">
        <v>0.1071428571428571</v>
      </c>
      <c r="AS799">
        <v>0</v>
      </c>
      <c r="AT799">
        <v>5.9523809523809521E-2</v>
      </c>
      <c r="AU799">
        <v>1.1904761904761901E-2</v>
      </c>
      <c r="AV799">
        <v>0</v>
      </c>
      <c r="AW799">
        <v>1.1904761904761901E-2</v>
      </c>
      <c r="AX799">
        <v>0.119047619047619</v>
      </c>
      <c r="AY799">
        <v>0.16666666666666671</v>
      </c>
      <c r="AZ799">
        <v>0.1071428571428571</v>
      </c>
      <c r="BA799">
        <v>0.66666666666666663</v>
      </c>
      <c r="BB799">
        <v>0.87037037037037035</v>
      </c>
      <c r="BC799">
        <v>0.2</v>
      </c>
      <c r="BD799">
        <v>0.6919642857142857</v>
      </c>
      <c r="BE799">
        <v>4</v>
      </c>
      <c r="BF799">
        <v>0.60725033068783063</v>
      </c>
      <c r="BG799">
        <v>0.6</v>
      </c>
      <c r="BH799" t="s">
        <v>86</v>
      </c>
      <c r="BI799">
        <v>0.61</v>
      </c>
      <c r="BJ799" t="s">
        <v>86</v>
      </c>
      <c r="BK799" s="2">
        <f t="shared" si="25"/>
        <v>-1.0000000000000009E-2</v>
      </c>
      <c r="BL799" t="b">
        <f t="shared" si="26"/>
        <v>1</v>
      </c>
    </row>
    <row r="800" spans="1:64" x14ac:dyDescent="0.35">
      <c r="A800" t="s">
        <v>2165</v>
      </c>
      <c r="B800" t="s">
        <v>2166</v>
      </c>
      <c r="C800">
        <v>2020</v>
      </c>
      <c r="D800" t="s">
        <v>2167</v>
      </c>
      <c r="E800" t="s">
        <v>2168</v>
      </c>
      <c r="F800" t="s">
        <v>66</v>
      </c>
      <c r="G800" t="s">
        <v>101</v>
      </c>
      <c r="H800" t="s">
        <v>150</v>
      </c>
      <c r="I800" t="s">
        <v>116</v>
      </c>
      <c r="J800" t="s">
        <v>70</v>
      </c>
      <c r="L800">
        <v>3</v>
      </c>
      <c r="M800" t="b">
        <v>0</v>
      </c>
      <c r="N800">
        <v>1</v>
      </c>
      <c r="O800">
        <v>1</v>
      </c>
      <c r="P800">
        <v>5</v>
      </c>
      <c r="Q800">
        <v>1</v>
      </c>
      <c r="R800">
        <v>4</v>
      </c>
      <c r="S800">
        <v>5</v>
      </c>
      <c r="T800">
        <v>19</v>
      </c>
      <c r="U800">
        <v>416</v>
      </c>
      <c r="V800">
        <v>112</v>
      </c>
      <c r="W800">
        <v>17</v>
      </c>
      <c r="X800">
        <v>6.5882352941176467</v>
      </c>
      <c r="Y800">
        <v>2</v>
      </c>
      <c r="Z800">
        <v>3</v>
      </c>
      <c r="AA800">
        <v>0</v>
      </c>
      <c r="AB800">
        <v>0</v>
      </c>
      <c r="AC800">
        <v>1</v>
      </c>
      <c r="AD800">
        <v>1</v>
      </c>
      <c r="AE800">
        <v>1</v>
      </c>
      <c r="AF800">
        <v>1</v>
      </c>
      <c r="AG800">
        <v>36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3</v>
      </c>
      <c r="AO800">
        <v>39</v>
      </c>
      <c r="AP800">
        <v>3</v>
      </c>
      <c r="AQ800">
        <v>4</v>
      </c>
      <c r="AR800">
        <v>7.2115384615384619E-3</v>
      </c>
      <c r="AS800">
        <v>0</v>
      </c>
      <c r="AT800">
        <v>2.403846153846154E-3</v>
      </c>
      <c r="AU800">
        <v>8.6538461538461536E-2</v>
      </c>
      <c r="AV800">
        <v>0</v>
      </c>
      <c r="AW800">
        <v>0</v>
      </c>
      <c r="AX800">
        <v>9.375E-2</v>
      </c>
      <c r="AY800">
        <v>9.6153846153846159E-3</v>
      </c>
      <c r="AZ800">
        <v>9.375E-2</v>
      </c>
      <c r="BA800">
        <v>0.66666666666666663</v>
      </c>
      <c r="BB800">
        <v>0.93137254901960775</v>
      </c>
      <c r="BC800">
        <v>0.2</v>
      </c>
      <c r="BD800">
        <v>0.68359375</v>
      </c>
      <c r="BE800">
        <v>4</v>
      </c>
      <c r="BF800">
        <v>0.62040824142156858</v>
      </c>
      <c r="BG800">
        <v>0.62</v>
      </c>
      <c r="BH800" t="s">
        <v>86</v>
      </c>
      <c r="BI800">
        <v>0.62</v>
      </c>
      <c r="BJ800" t="s">
        <v>86</v>
      </c>
      <c r="BK800" s="2">
        <f t="shared" si="25"/>
        <v>0</v>
      </c>
      <c r="BL800" t="b">
        <f t="shared" si="26"/>
        <v>1</v>
      </c>
    </row>
    <row r="801" spans="1:64" x14ac:dyDescent="0.35">
      <c r="A801" t="s">
        <v>2169</v>
      </c>
      <c r="B801" t="s">
        <v>2170</v>
      </c>
      <c r="C801">
        <v>2019</v>
      </c>
      <c r="D801" t="s">
        <v>2171</v>
      </c>
      <c r="E801" t="s">
        <v>2172</v>
      </c>
      <c r="F801" t="s">
        <v>66</v>
      </c>
      <c r="G801" t="s">
        <v>101</v>
      </c>
      <c r="H801" t="s">
        <v>184</v>
      </c>
      <c r="I801" t="s">
        <v>311</v>
      </c>
      <c r="J801" t="s">
        <v>70</v>
      </c>
      <c r="L801">
        <v>3</v>
      </c>
      <c r="M801" t="b">
        <v>0</v>
      </c>
      <c r="N801">
        <v>2</v>
      </c>
      <c r="O801">
        <v>1</v>
      </c>
      <c r="P801">
        <v>5</v>
      </c>
      <c r="Q801">
        <v>4</v>
      </c>
      <c r="R801">
        <v>1</v>
      </c>
      <c r="S801">
        <v>4</v>
      </c>
      <c r="T801">
        <v>22</v>
      </c>
      <c r="U801">
        <v>329</v>
      </c>
      <c r="V801">
        <v>83</v>
      </c>
      <c r="W801">
        <v>15</v>
      </c>
      <c r="X801">
        <v>5.5333333333333332</v>
      </c>
      <c r="Y801">
        <v>1</v>
      </c>
      <c r="Z801">
        <v>11</v>
      </c>
      <c r="AA801">
        <v>0</v>
      </c>
      <c r="AB801">
        <v>0</v>
      </c>
      <c r="AC801">
        <v>1</v>
      </c>
      <c r="AD801">
        <v>1</v>
      </c>
      <c r="AE801">
        <v>39</v>
      </c>
      <c r="AF801">
        <v>1</v>
      </c>
      <c r="AG801">
        <v>1</v>
      </c>
      <c r="AH801">
        <v>0</v>
      </c>
      <c r="AI801">
        <v>0</v>
      </c>
      <c r="AJ801">
        <v>1</v>
      </c>
      <c r="AK801">
        <v>1</v>
      </c>
      <c r="AL801">
        <v>1</v>
      </c>
      <c r="AM801">
        <v>1</v>
      </c>
      <c r="AN801">
        <v>2</v>
      </c>
      <c r="AO801">
        <v>12</v>
      </c>
      <c r="AP801">
        <v>2</v>
      </c>
      <c r="AQ801">
        <v>50</v>
      </c>
      <c r="AR801">
        <v>3.3434650455927049E-2</v>
      </c>
      <c r="AS801">
        <v>0</v>
      </c>
      <c r="AT801">
        <v>0.1185410334346505</v>
      </c>
      <c r="AU801">
        <v>3.0395136778115501E-3</v>
      </c>
      <c r="AV801">
        <v>0</v>
      </c>
      <c r="AW801">
        <v>3.0395136778115501E-3</v>
      </c>
      <c r="AX801">
        <v>3.64741641337386E-2</v>
      </c>
      <c r="AY801">
        <v>0.1519756838905775</v>
      </c>
      <c r="AZ801">
        <v>3.3434650455927049E-2</v>
      </c>
      <c r="BA801">
        <v>0.5</v>
      </c>
      <c r="BB801">
        <v>0.75555555555555554</v>
      </c>
      <c r="BC801">
        <v>0.1333333333333333</v>
      </c>
      <c r="BD801">
        <v>0.64589665653495443</v>
      </c>
      <c r="BE801">
        <v>4</v>
      </c>
      <c r="BF801">
        <v>0.50869638635596082</v>
      </c>
      <c r="BG801">
        <v>0.51</v>
      </c>
      <c r="BH801" t="s">
        <v>71</v>
      </c>
      <c r="BI801">
        <v>0.51</v>
      </c>
      <c r="BJ801" t="s">
        <v>71</v>
      </c>
      <c r="BK801" s="2">
        <f t="shared" si="25"/>
        <v>0</v>
      </c>
      <c r="BL801" t="b">
        <f t="shared" si="26"/>
        <v>1</v>
      </c>
    </row>
    <row r="802" spans="1:64" x14ac:dyDescent="0.35">
      <c r="A802" t="s">
        <v>2173</v>
      </c>
      <c r="B802" t="s">
        <v>2174</v>
      </c>
      <c r="C802">
        <v>2015</v>
      </c>
      <c r="D802" t="s">
        <v>2175</v>
      </c>
      <c r="E802" t="s">
        <v>2176</v>
      </c>
      <c r="F802" t="s">
        <v>66</v>
      </c>
      <c r="G802" t="s">
        <v>101</v>
      </c>
      <c r="H802" t="s">
        <v>170</v>
      </c>
      <c r="I802" t="s">
        <v>1673</v>
      </c>
      <c r="J802" t="s">
        <v>70</v>
      </c>
      <c r="L802">
        <v>3</v>
      </c>
      <c r="M802" t="b">
        <v>0</v>
      </c>
      <c r="N802">
        <v>1</v>
      </c>
      <c r="O802">
        <v>4</v>
      </c>
      <c r="P802">
        <v>13</v>
      </c>
      <c r="Q802">
        <v>4</v>
      </c>
      <c r="R802">
        <v>9</v>
      </c>
      <c r="S802">
        <v>6</v>
      </c>
      <c r="T802">
        <v>40</v>
      </c>
      <c r="U802">
        <v>745</v>
      </c>
      <c r="V802">
        <v>171</v>
      </c>
      <c r="W802">
        <v>28</v>
      </c>
      <c r="X802">
        <v>6.1071428571428568</v>
      </c>
      <c r="Y802">
        <v>4</v>
      </c>
      <c r="Z802">
        <v>84</v>
      </c>
      <c r="AA802">
        <v>2</v>
      </c>
      <c r="AB802">
        <v>15</v>
      </c>
      <c r="AC802">
        <v>1</v>
      </c>
      <c r="AD802">
        <v>1</v>
      </c>
      <c r="AE802">
        <v>28</v>
      </c>
      <c r="AF802">
        <v>1</v>
      </c>
      <c r="AG802">
        <v>9</v>
      </c>
      <c r="AH802">
        <v>1</v>
      </c>
      <c r="AI802">
        <v>17</v>
      </c>
      <c r="AJ802">
        <v>2</v>
      </c>
      <c r="AK802">
        <v>9</v>
      </c>
      <c r="AL802">
        <v>3</v>
      </c>
      <c r="AM802">
        <v>26</v>
      </c>
      <c r="AN802">
        <v>7</v>
      </c>
      <c r="AO802">
        <v>108</v>
      </c>
      <c r="AP802">
        <v>7</v>
      </c>
      <c r="AQ802">
        <v>127</v>
      </c>
      <c r="AR802">
        <v>0.11275167785234901</v>
      </c>
      <c r="AS802">
        <v>2.0134228187919458E-2</v>
      </c>
      <c r="AT802">
        <v>3.7583892617449662E-2</v>
      </c>
      <c r="AU802">
        <v>1.2080536912751679E-2</v>
      </c>
      <c r="AV802">
        <v>2.281879194630872E-2</v>
      </c>
      <c r="AW802">
        <v>3.4899328859060399E-2</v>
      </c>
      <c r="AX802">
        <v>0.14496644295302011</v>
      </c>
      <c r="AY802">
        <v>0.17046979865771811</v>
      </c>
      <c r="AZ802">
        <v>0.11006711409395969</v>
      </c>
      <c r="BA802">
        <v>0.83333333333333337</v>
      </c>
      <c r="BB802">
        <v>0.85119047619047616</v>
      </c>
      <c r="BC802">
        <v>0.46666666666666667</v>
      </c>
      <c r="BD802">
        <v>0.69379194630872476</v>
      </c>
      <c r="BE802">
        <v>4</v>
      </c>
      <c r="BF802">
        <v>0.71124560562480021</v>
      </c>
      <c r="BG802">
        <v>0.75</v>
      </c>
      <c r="BH802" t="s">
        <v>86</v>
      </c>
      <c r="BI802">
        <v>0.71</v>
      </c>
      <c r="BJ802" t="s">
        <v>86</v>
      </c>
      <c r="BK802" s="2">
        <f t="shared" si="25"/>
        <v>4.0000000000000036E-2</v>
      </c>
      <c r="BL802" t="b">
        <f t="shared" si="26"/>
        <v>1</v>
      </c>
    </row>
    <row r="803" spans="1:64" x14ac:dyDescent="0.35">
      <c r="A803" t="s">
        <v>2177</v>
      </c>
      <c r="B803" t="s">
        <v>2174</v>
      </c>
      <c r="C803">
        <v>2018</v>
      </c>
      <c r="D803" t="s">
        <v>2175</v>
      </c>
      <c r="E803" t="s">
        <v>2176</v>
      </c>
      <c r="F803" t="s">
        <v>66</v>
      </c>
      <c r="G803" t="s">
        <v>101</v>
      </c>
      <c r="H803" t="s">
        <v>170</v>
      </c>
      <c r="I803" t="s">
        <v>1673</v>
      </c>
      <c r="J803" t="s">
        <v>70</v>
      </c>
      <c r="L803">
        <v>3</v>
      </c>
      <c r="M803" t="b">
        <v>0</v>
      </c>
      <c r="N803">
        <v>1</v>
      </c>
      <c r="O803">
        <v>1</v>
      </c>
      <c r="P803">
        <v>4</v>
      </c>
      <c r="Q803">
        <v>3</v>
      </c>
      <c r="R803">
        <v>1</v>
      </c>
      <c r="S803">
        <v>4</v>
      </c>
      <c r="T803">
        <v>21</v>
      </c>
      <c r="U803">
        <v>170</v>
      </c>
      <c r="V803">
        <v>82</v>
      </c>
      <c r="W803">
        <v>18</v>
      </c>
      <c r="X803">
        <v>4.5555555555555554</v>
      </c>
      <c r="Y803">
        <v>2</v>
      </c>
      <c r="Z803">
        <v>23</v>
      </c>
      <c r="AA803">
        <v>0</v>
      </c>
      <c r="AB803">
        <v>0</v>
      </c>
      <c r="AC803">
        <v>3</v>
      </c>
      <c r="AD803">
        <v>3</v>
      </c>
      <c r="AE803">
        <v>19</v>
      </c>
      <c r="AF803">
        <v>1</v>
      </c>
      <c r="AG803">
        <v>7</v>
      </c>
      <c r="AH803">
        <v>2</v>
      </c>
      <c r="AI803">
        <v>22</v>
      </c>
      <c r="AJ803">
        <v>1</v>
      </c>
      <c r="AK803">
        <v>6</v>
      </c>
      <c r="AL803">
        <v>3</v>
      </c>
      <c r="AM803">
        <v>28</v>
      </c>
      <c r="AN803">
        <v>3</v>
      </c>
      <c r="AO803">
        <v>30</v>
      </c>
      <c r="AP803">
        <v>5</v>
      </c>
      <c r="AQ803">
        <v>42</v>
      </c>
      <c r="AR803">
        <v>0.13529411764705879</v>
      </c>
      <c r="AS803">
        <v>0</v>
      </c>
      <c r="AT803">
        <v>0.1117647058823529</v>
      </c>
      <c r="AU803">
        <v>4.1176470588235287E-2</v>
      </c>
      <c r="AV803">
        <v>0.12941176470588239</v>
      </c>
      <c r="AW803">
        <v>0.1647058823529412</v>
      </c>
      <c r="AX803">
        <v>0.1764705882352941</v>
      </c>
      <c r="AY803">
        <v>0.2470588235294118</v>
      </c>
      <c r="AZ803">
        <v>1.176470588235295E-2</v>
      </c>
      <c r="BA803">
        <v>0.5</v>
      </c>
      <c r="BB803">
        <v>0.59259259259259256</v>
      </c>
      <c r="BC803">
        <v>0.33333333333333331</v>
      </c>
      <c r="BD803">
        <v>0.63235294117647056</v>
      </c>
      <c r="BE803">
        <v>4</v>
      </c>
      <c r="BF803">
        <v>0.51456971677559915</v>
      </c>
      <c r="BG803">
        <v>0.53</v>
      </c>
      <c r="BH803" t="s">
        <v>71</v>
      </c>
      <c r="BI803">
        <v>0.51</v>
      </c>
      <c r="BJ803" t="s">
        <v>71</v>
      </c>
      <c r="BK803" s="2">
        <f t="shared" si="25"/>
        <v>2.0000000000000018E-2</v>
      </c>
      <c r="BL803" t="b">
        <f t="shared" si="26"/>
        <v>1</v>
      </c>
    </row>
    <row r="804" spans="1:64" x14ac:dyDescent="0.35">
      <c r="A804" t="s">
        <v>2178</v>
      </c>
      <c r="B804" t="s">
        <v>2174</v>
      </c>
      <c r="C804">
        <v>2021</v>
      </c>
      <c r="D804" t="s">
        <v>2175</v>
      </c>
      <c r="E804" t="s">
        <v>2176</v>
      </c>
      <c r="F804" t="s">
        <v>66</v>
      </c>
      <c r="G804" t="s">
        <v>101</v>
      </c>
      <c r="H804" t="s">
        <v>170</v>
      </c>
      <c r="I804" t="s">
        <v>1673</v>
      </c>
      <c r="J804" t="s">
        <v>70</v>
      </c>
      <c r="L804">
        <v>3</v>
      </c>
      <c r="M804" t="b">
        <v>0</v>
      </c>
      <c r="N804">
        <v>1</v>
      </c>
      <c r="O804">
        <v>1</v>
      </c>
      <c r="P804">
        <v>10</v>
      </c>
      <c r="Q804">
        <v>0</v>
      </c>
      <c r="R804">
        <v>10</v>
      </c>
      <c r="S804">
        <v>6</v>
      </c>
      <c r="T804">
        <v>29</v>
      </c>
      <c r="U804">
        <v>268</v>
      </c>
      <c r="V804">
        <v>154</v>
      </c>
      <c r="W804">
        <v>25</v>
      </c>
      <c r="X804">
        <v>6.16</v>
      </c>
      <c r="Y804">
        <v>4</v>
      </c>
      <c r="Z804">
        <v>63</v>
      </c>
      <c r="AA804">
        <v>0</v>
      </c>
      <c r="AB804">
        <v>0</v>
      </c>
      <c r="AC804">
        <v>4</v>
      </c>
      <c r="AD804">
        <v>4</v>
      </c>
      <c r="AE804">
        <v>50</v>
      </c>
      <c r="AF804">
        <v>1</v>
      </c>
      <c r="AG804">
        <v>11</v>
      </c>
      <c r="AH804">
        <v>1</v>
      </c>
      <c r="AI804">
        <v>1</v>
      </c>
      <c r="AJ804">
        <v>0</v>
      </c>
      <c r="AK804">
        <v>0</v>
      </c>
      <c r="AL804">
        <v>1</v>
      </c>
      <c r="AM804">
        <v>1</v>
      </c>
      <c r="AN804">
        <v>5</v>
      </c>
      <c r="AO804">
        <v>74</v>
      </c>
      <c r="AP804">
        <v>8</v>
      </c>
      <c r="AQ804">
        <v>113</v>
      </c>
      <c r="AR804">
        <v>0.23507462686567171</v>
      </c>
      <c r="AS804">
        <v>0</v>
      </c>
      <c r="AT804">
        <v>0.18656716417910449</v>
      </c>
      <c r="AU804">
        <v>4.1044776119402993E-2</v>
      </c>
      <c r="AV804">
        <v>3.731343283582089E-3</v>
      </c>
      <c r="AW804">
        <v>3.731343283582089E-3</v>
      </c>
      <c r="AX804">
        <v>0.27611940298507459</v>
      </c>
      <c r="AY804">
        <v>0.42164179104477612</v>
      </c>
      <c r="AZ804">
        <v>0.27238805970149249</v>
      </c>
      <c r="BA804">
        <v>0.83333333333333337</v>
      </c>
      <c r="BB804">
        <v>0.86</v>
      </c>
      <c r="BC804">
        <v>0.53333333333333333</v>
      </c>
      <c r="BD804">
        <v>0.79524253731343275</v>
      </c>
      <c r="BE804">
        <v>4</v>
      </c>
      <c r="BF804">
        <v>0.75547730099502486</v>
      </c>
      <c r="BG804">
        <v>0.71</v>
      </c>
      <c r="BH804" t="s">
        <v>86</v>
      </c>
      <c r="BI804">
        <v>0.76</v>
      </c>
      <c r="BJ804" t="s">
        <v>86</v>
      </c>
      <c r="BK804" s="2">
        <f t="shared" si="25"/>
        <v>-5.0000000000000044E-2</v>
      </c>
      <c r="BL804" t="b">
        <f t="shared" si="26"/>
        <v>1</v>
      </c>
    </row>
    <row r="805" spans="1:64" x14ac:dyDescent="0.35">
      <c r="A805" t="s">
        <v>2179</v>
      </c>
      <c r="B805" t="s">
        <v>2180</v>
      </c>
      <c r="C805">
        <v>2016</v>
      </c>
      <c r="D805" t="s">
        <v>2181</v>
      </c>
      <c r="E805" t="s">
        <v>2182</v>
      </c>
      <c r="F805" t="s">
        <v>66</v>
      </c>
      <c r="G805" t="s">
        <v>101</v>
      </c>
      <c r="H805" t="s">
        <v>184</v>
      </c>
      <c r="I805" t="s">
        <v>2183</v>
      </c>
      <c r="J805" t="s">
        <v>70</v>
      </c>
      <c r="L805">
        <v>1</v>
      </c>
      <c r="M805" t="b">
        <v>0</v>
      </c>
      <c r="N805">
        <v>3</v>
      </c>
      <c r="O805">
        <v>1</v>
      </c>
      <c r="P805">
        <v>2</v>
      </c>
      <c r="Q805">
        <v>2</v>
      </c>
      <c r="R805">
        <v>0</v>
      </c>
      <c r="S805">
        <v>4</v>
      </c>
      <c r="T805">
        <v>10</v>
      </c>
      <c r="U805">
        <v>137</v>
      </c>
      <c r="V805">
        <v>40</v>
      </c>
      <c r="W805">
        <v>8</v>
      </c>
      <c r="X805">
        <v>5</v>
      </c>
      <c r="Y805">
        <v>2</v>
      </c>
      <c r="Z805">
        <v>38</v>
      </c>
      <c r="AA805">
        <v>0</v>
      </c>
      <c r="AB805">
        <v>0</v>
      </c>
      <c r="AC805">
        <v>1</v>
      </c>
      <c r="AD805">
        <v>1</v>
      </c>
      <c r="AE805">
        <v>19</v>
      </c>
      <c r="AF805">
        <v>2</v>
      </c>
      <c r="AG805">
        <v>18</v>
      </c>
      <c r="AH805">
        <v>0</v>
      </c>
      <c r="AI805">
        <v>0</v>
      </c>
      <c r="AJ805">
        <v>1</v>
      </c>
      <c r="AK805">
        <v>10</v>
      </c>
      <c r="AL805">
        <v>1</v>
      </c>
      <c r="AM805">
        <v>10</v>
      </c>
      <c r="AN805">
        <v>4</v>
      </c>
      <c r="AO805">
        <v>56</v>
      </c>
      <c r="AP805">
        <v>3</v>
      </c>
      <c r="AQ805">
        <v>57</v>
      </c>
      <c r="AR805">
        <v>0.27737226277372262</v>
      </c>
      <c r="AS805">
        <v>0</v>
      </c>
      <c r="AT805">
        <v>0.13868613138686131</v>
      </c>
      <c r="AU805">
        <v>0.13138686131386859</v>
      </c>
      <c r="AV805">
        <v>0</v>
      </c>
      <c r="AW805">
        <v>7.2992700729927001E-2</v>
      </c>
      <c r="AX805">
        <v>0.40875912408759119</v>
      </c>
      <c r="AY805">
        <v>0.41605839416058388</v>
      </c>
      <c r="AZ805">
        <v>0.33576642335766432</v>
      </c>
      <c r="BA805">
        <v>0.5</v>
      </c>
      <c r="BB805">
        <v>0.66666666666666663</v>
      </c>
      <c r="BC805">
        <v>0.2</v>
      </c>
      <c r="BD805">
        <v>0.83485401459854014</v>
      </c>
      <c r="BE805">
        <v>4</v>
      </c>
      <c r="BF805">
        <v>0.55038017031630171</v>
      </c>
      <c r="BG805">
        <v>0.55000000000000004</v>
      </c>
      <c r="BH805" t="s">
        <v>71</v>
      </c>
      <c r="BI805">
        <v>0.55000000000000004</v>
      </c>
      <c r="BJ805" t="s">
        <v>71</v>
      </c>
      <c r="BK805" s="2">
        <f t="shared" si="25"/>
        <v>0</v>
      </c>
      <c r="BL805" t="b">
        <f t="shared" si="26"/>
        <v>1</v>
      </c>
    </row>
    <row r="806" spans="1:64" x14ac:dyDescent="0.35">
      <c r="A806" t="s">
        <v>2184</v>
      </c>
      <c r="B806" t="s">
        <v>2180</v>
      </c>
      <c r="C806">
        <v>2019</v>
      </c>
      <c r="D806" t="s">
        <v>2181</v>
      </c>
      <c r="E806" t="s">
        <v>2182</v>
      </c>
      <c r="F806" t="s">
        <v>66</v>
      </c>
      <c r="G806" t="s">
        <v>101</v>
      </c>
      <c r="H806" t="s">
        <v>184</v>
      </c>
      <c r="I806" t="s">
        <v>2183</v>
      </c>
      <c r="J806" t="s">
        <v>70</v>
      </c>
      <c r="L806">
        <v>1</v>
      </c>
      <c r="M806" t="b">
        <v>0</v>
      </c>
      <c r="N806">
        <v>1</v>
      </c>
      <c r="O806">
        <v>2</v>
      </c>
      <c r="P806">
        <v>8</v>
      </c>
      <c r="Q806">
        <v>4</v>
      </c>
      <c r="R806">
        <v>4</v>
      </c>
      <c r="S806">
        <v>6</v>
      </c>
      <c r="T806">
        <v>25</v>
      </c>
      <c r="U806">
        <v>552</v>
      </c>
      <c r="V806">
        <v>93</v>
      </c>
      <c r="W806">
        <v>18</v>
      </c>
      <c r="X806">
        <v>5.166666666666667</v>
      </c>
      <c r="Y806">
        <v>4</v>
      </c>
      <c r="Z806">
        <v>137</v>
      </c>
      <c r="AA806">
        <v>0</v>
      </c>
      <c r="AB806">
        <v>0</v>
      </c>
      <c r="AC806">
        <v>2</v>
      </c>
      <c r="AD806">
        <v>2</v>
      </c>
      <c r="AE806">
        <v>76</v>
      </c>
      <c r="AF806">
        <v>1</v>
      </c>
      <c r="AG806">
        <v>6</v>
      </c>
      <c r="AH806">
        <v>3</v>
      </c>
      <c r="AI806">
        <v>53</v>
      </c>
      <c r="AJ806">
        <v>1</v>
      </c>
      <c r="AK806">
        <v>3</v>
      </c>
      <c r="AL806">
        <v>4</v>
      </c>
      <c r="AM806">
        <v>56</v>
      </c>
      <c r="AN806">
        <v>5</v>
      </c>
      <c r="AO806">
        <v>143</v>
      </c>
      <c r="AP806">
        <v>6</v>
      </c>
      <c r="AQ806">
        <v>213</v>
      </c>
      <c r="AR806">
        <v>0.24818840579710141</v>
      </c>
      <c r="AS806">
        <v>0</v>
      </c>
      <c r="AT806">
        <v>0.13768115942028991</v>
      </c>
      <c r="AU806">
        <v>1.0869565217391301E-2</v>
      </c>
      <c r="AV806">
        <v>9.6014492753623185E-2</v>
      </c>
      <c r="AW806">
        <v>0.10144927536231881</v>
      </c>
      <c r="AX806">
        <v>0.25905797101449268</v>
      </c>
      <c r="AY806">
        <v>0.3858695652173913</v>
      </c>
      <c r="AZ806">
        <v>0.15760869565217389</v>
      </c>
      <c r="BA806">
        <v>0.83333333333333337</v>
      </c>
      <c r="BB806">
        <v>0.69444444444444453</v>
      </c>
      <c r="BC806">
        <v>0.4</v>
      </c>
      <c r="BD806">
        <v>0.72350543478260865</v>
      </c>
      <c r="BE806">
        <v>4</v>
      </c>
      <c r="BF806">
        <v>0.66282080314009661</v>
      </c>
      <c r="BG806">
        <v>0.69</v>
      </c>
      <c r="BH806" t="s">
        <v>86</v>
      </c>
      <c r="BI806">
        <v>0.66</v>
      </c>
      <c r="BJ806" t="s">
        <v>86</v>
      </c>
      <c r="BK806" s="2">
        <f t="shared" si="25"/>
        <v>2.9999999999999916E-2</v>
      </c>
      <c r="BL806" t="b">
        <f t="shared" si="26"/>
        <v>1</v>
      </c>
    </row>
    <row r="807" spans="1:64" x14ac:dyDescent="0.35">
      <c r="A807" t="s">
        <v>2185</v>
      </c>
      <c r="B807" t="s">
        <v>2186</v>
      </c>
      <c r="C807">
        <v>2016</v>
      </c>
      <c r="D807" t="s">
        <v>2187</v>
      </c>
      <c r="E807" t="s">
        <v>2188</v>
      </c>
      <c r="F807" t="s">
        <v>66</v>
      </c>
      <c r="G807" t="s">
        <v>101</v>
      </c>
      <c r="H807" t="s">
        <v>348</v>
      </c>
      <c r="I807" t="s">
        <v>2189</v>
      </c>
      <c r="J807" t="s">
        <v>70</v>
      </c>
      <c r="L807">
        <v>1</v>
      </c>
      <c r="M807" t="b">
        <v>0</v>
      </c>
      <c r="N807">
        <v>1</v>
      </c>
      <c r="O807">
        <v>3</v>
      </c>
      <c r="P807">
        <v>10</v>
      </c>
      <c r="Q807">
        <v>1</v>
      </c>
      <c r="R807">
        <v>9</v>
      </c>
      <c r="S807">
        <v>6</v>
      </c>
      <c r="T807">
        <v>23</v>
      </c>
      <c r="U807">
        <v>402</v>
      </c>
      <c r="V807">
        <v>122</v>
      </c>
      <c r="W807">
        <v>18</v>
      </c>
      <c r="X807">
        <v>6.7777777777777777</v>
      </c>
      <c r="Y807">
        <v>3</v>
      </c>
      <c r="Z807">
        <v>52</v>
      </c>
      <c r="AA807">
        <v>1</v>
      </c>
      <c r="AB807">
        <v>15</v>
      </c>
      <c r="AC807">
        <v>4</v>
      </c>
      <c r="AD807">
        <v>4</v>
      </c>
      <c r="AE807">
        <v>73</v>
      </c>
      <c r="AF807">
        <v>1</v>
      </c>
      <c r="AG807">
        <v>6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5</v>
      </c>
      <c r="AO807">
        <v>73</v>
      </c>
      <c r="AP807">
        <v>8</v>
      </c>
      <c r="AQ807">
        <v>140</v>
      </c>
      <c r="AR807">
        <v>0.12935323383084579</v>
      </c>
      <c r="AS807">
        <v>3.7313432835820892E-2</v>
      </c>
      <c r="AT807">
        <v>0.181592039800995</v>
      </c>
      <c r="AU807">
        <v>1.492537313432836E-2</v>
      </c>
      <c r="AV807">
        <v>0</v>
      </c>
      <c r="AW807">
        <v>0</v>
      </c>
      <c r="AX807">
        <v>0.181592039800995</v>
      </c>
      <c r="AY807">
        <v>0.34825870646766172</v>
      </c>
      <c r="AZ807">
        <v>0.181592039800995</v>
      </c>
      <c r="BA807">
        <v>0.83333333333333337</v>
      </c>
      <c r="BB807">
        <v>0.96296296296296291</v>
      </c>
      <c r="BC807">
        <v>0.53333333333333333</v>
      </c>
      <c r="BD807">
        <v>0.7384950248756218</v>
      </c>
      <c r="BE807">
        <v>4</v>
      </c>
      <c r="BF807">
        <v>0.76703116362631285</v>
      </c>
      <c r="BG807">
        <v>0.76</v>
      </c>
      <c r="BH807" t="s">
        <v>86</v>
      </c>
      <c r="BI807">
        <v>0.77</v>
      </c>
      <c r="BJ807" t="s">
        <v>86</v>
      </c>
      <c r="BK807" s="2">
        <f t="shared" si="25"/>
        <v>-1.0000000000000009E-2</v>
      </c>
      <c r="BL807" t="b">
        <f t="shared" si="26"/>
        <v>1</v>
      </c>
    </row>
    <row r="808" spans="1:64" x14ac:dyDescent="0.35">
      <c r="A808" t="s">
        <v>2190</v>
      </c>
      <c r="B808" t="s">
        <v>2186</v>
      </c>
      <c r="C808">
        <v>2019</v>
      </c>
      <c r="D808" t="s">
        <v>2187</v>
      </c>
      <c r="E808" t="s">
        <v>2188</v>
      </c>
      <c r="F808" t="s">
        <v>66</v>
      </c>
      <c r="G808" t="s">
        <v>101</v>
      </c>
      <c r="H808" t="s">
        <v>348</v>
      </c>
      <c r="I808" t="s">
        <v>2189</v>
      </c>
      <c r="J808" t="s">
        <v>70</v>
      </c>
      <c r="L808">
        <v>1</v>
      </c>
      <c r="M808" t="b">
        <v>0</v>
      </c>
      <c r="N808">
        <v>3</v>
      </c>
      <c r="O808">
        <v>1</v>
      </c>
      <c r="P808">
        <v>1</v>
      </c>
      <c r="Q808">
        <v>2</v>
      </c>
      <c r="R808">
        <v>-1</v>
      </c>
      <c r="S808">
        <v>4</v>
      </c>
      <c r="T808">
        <v>17</v>
      </c>
      <c r="U808">
        <v>193</v>
      </c>
      <c r="V808">
        <v>60</v>
      </c>
      <c r="W808">
        <v>13</v>
      </c>
      <c r="X808">
        <v>4.615384615384615</v>
      </c>
      <c r="Y808">
        <v>0</v>
      </c>
      <c r="Z808">
        <v>0</v>
      </c>
      <c r="AA808">
        <v>0</v>
      </c>
      <c r="AB808">
        <v>0</v>
      </c>
      <c r="AC808">
        <v>2</v>
      </c>
      <c r="AD808">
        <v>2</v>
      </c>
      <c r="AE808">
        <v>32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3</v>
      </c>
      <c r="AL808">
        <v>1</v>
      </c>
      <c r="AM808">
        <v>3</v>
      </c>
      <c r="AN808">
        <v>0</v>
      </c>
      <c r="AO808">
        <v>0</v>
      </c>
      <c r="AP808">
        <v>2</v>
      </c>
      <c r="AQ808">
        <v>32</v>
      </c>
      <c r="AR808">
        <v>0</v>
      </c>
      <c r="AS808">
        <v>0</v>
      </c>
      <c r="AT808">
        <v>0.16580310880829019</v>
      </c>
      <c r="AU808">
        <v>0</v>
      </c>
      <c r="AV808">
        <v>0</v>
      </c>
      <c r="AW808">
        <v>1.55440414507772E-2</v>
      </c>
      <c r="AX808">
        <v>0</v>
      </c>
      <c r="AY808">
        <v>0.16580310880829019</v>
      </c>
      <c r="AZ808">
        <v>-1.55440414507772E-2</v>
      </c>
      <c r="BA808">
        <v>0.5</v>
      </c>
      <c r="BB808">
        <v>0.60256410256410253</v>
      </c>
      <c r="BC808">
        <v>0.1333333333333333</v>
      </c>
      <c r="BD808">
        <v>0.61528497409326421</v>
      </c>
      <c r="BE808">
        <v>4</v>
      </c>
      <c r="BF808">
        <v>0.46279560249767498</v>
      </c>
      <c r="BG808">
        <v>0.46</v>
      </c>
      <c r="BH808" t="s">
        <v>71</v>
      </c>
      <c r="BI808">
        <v>0.46</v>
      </c>
      <c r="BJ808" t="s">
        <v>71</v>
      </c>
      <c r="BK808" s="2">
        <f t="shared" si="25"/>
        <v>0</v>
      </c>
      <c r="BL808" t="b">
        <f t="shared" si="26"/>
        <v>1</v>
      </c>
    </row>
    <row r="809" spans="1:64" x14ac:dyDescent="0.35">
      <c r="A809" t="s">
        <v>2191</v>
      </c>
      <c r="B809" t="s">
        <v>2192</v>
      </c>
      <c r="C809">
        <v>2016</v>
      </c>
      <c r="D809" t="s">
        <v>2193</v>
      </c>
      <c r="E809" t="s">
        <v>2194</v>
      </c>
      <c r="F809" t="s">
        <v>66</v>
      </c>
      <c r="G809" t="s">
        <v>101</v>
      </c>
      <c r="H809" t="s">
        <v>348</v>
      </c>
      <c r="I809" t="s">
        <v>693</v>
      </c>
      <c r="J809" t="s">
        <v>70</v>
      </c>
      <c r="L809">
        <v>1</v>
      </c>
      <c r="M809" t="b">
        <v>0</v>
      </c>
      <c r="N809">
        <v>1</v>
      </c>
      <c r="O809">
        <v>2</v>
      </c>
      <c r="P809">
        <v>10</v>
      </c>
      <c r="Q809">
        <v>3</v>
      </c>
      <c r="R809">
        <v>7</v>
      </c>
      <c r="S809">
        <v>6</v>
      </c>
      <c r="T809">
        <v>25</v>
      </c>
      <c r="U809">
        <v>232</v>
      </c>
      <c r="V809">
        <v>110</v>
      </c>
      <c r="W809">
        <v>20</v>
      </c>
      <c r="X809">
        <v>5.5</v>
      </c>
      <c r="Y809">
        <v>6</v>
      </c>
      <c r="Z809">
        <v>57</v>
      </c>
      <c r="AA809">
        <v>0</v>
      </c>
      <c r="AB809">
        <v>0</v>
      </c>
      <c r="AC809">
        <v>1</v>
      </c>
      <c r="AD809">
        <v>1</v>
      </c>
      <c r="AE809">
        <v>33</v>
      </c>
      <c r="AF809">
        <v>1</v>
      </c>
      <c r="AG809">
        <v>1</v>
      </c>
      <c r="AH809">
        <v>3</v>
      </c>
      <c r="AI809">
        <v>12</v>
      </c>
      <c r="AJ809">
        <v>1</v>
      </c>
      <c r="AK809">
        <v>6</v>
      </c>
      <c r="AL809">
        <v>4</v>
      </c>
      <c r="AM809">
        <v>18</v>
      </c>
      <c r="AN809">
        <v>7</v>
      </c>
      <c r="AO809">
        <v>58</v>
      </c>
      <c r="AP809">
        <v>7</v>
      </c>
      <c r="AQ809">
        <v>90</v>
      </c>
      <c r="AR809">
        <v>0.24568965517241381</v>
      </c>
      <c r="AS809">
        <v>0</v>
      </c>
      <c r="AT809">
        <v>0.14224137931034481</v>
      </c>
      <c r="AU809">
        <v>4.3103448275862068E-3</v>
      </c>
      <c r="AV809">
        <v>5.1724137931034482E-2</v>
      </c>
      <c r="AW809">
        <v>7.7586206896551727E-2</v>
      </c>
      <c r="AX809">
        <v>0.25</v>
      </c>
      <c r="AY809">
        <v>0.38793103448275862</v>
      </c>
      <c r="AZ809">
        <v>0.17241379310344829</v>
      </c>
      <c r="BA809">
        <v>0.83333333333333337</v>
      </c>
      <c r="BB809">
        <v>0.75</v>
      </c>
      <c r="BC809">
        <v>0.46666666666666667</v>
      </c>
      <c r="BD809">
        <v>0.73275862068965525</v>
      </c>
      <c r="BE809">
        <v>4</v>
      </c>
      <c r="BF809">
        <v>0.69568965517241388</v>
      </c>
      <c r="BG809">
        <v>0.68</v>
      </c>
      <c r="BH809" t="s">
        <v>86</v>
      </c>
      <c r="BI809">
        <v>0.7</v>
      </c>
      <c r="BJ809" t="s">
        <v>86</v>
      </c>
      <c r="BK809" s="2">
        <f t="shared" si="25"/>
        <v>-1.9999999999999907E-2</v>
      </c>
      <c r="BL809" t="b">
        <f t="shared" si="26"/>
        <v>1</v>
      </c>
    </row>
    <row r="810" spans="1:64" x14ac:dyDescent="0.35">
      <c r="A810" t="s">
        <v>2195</v>
      </c>
      <c r="B810" t="s">
        <v>2192</v>
      </c>
      <c r="C810">
        <v>2021</v>
      </c>
      <c r="D810" t="s">
        <v>2193</v>
      </c>
      <c r="E810" t="s">
        <v>2194</v>
      </c>
      <c r="F810" t="s">
        <v>66</v>
      </c>
      <c r="G810" t="s">
        <v>101</v>
      </c>
      <c r="H810" t="s">
        <v>348</v>
      </c>
      <c r="I810" t="s">
        <v>693</v>
      </c>
      <c r="J810" t="s">
        <v>70</v>
      </c>
      <c r="L810">
        <v>1</v>
      </c>
      <c r="M810" t="b">
        <v>0</v>
      </c>
      <c r="N810">
        <v>1</v>
      </c>
      <c r="O810">
        <v>2</v>
      </c>
      <c r="P810">
        <v>10</v>
      </c>
      <c r="Q810">
        <v>1</v>
      </c>
      <c r="R810">
        <v>9</v>
      </c>
      <c r="S810">
        <v>6</v>
      </c>
      <c r="T810">
        <v>28</v>
      </c>
      <c r="U810">
        <v>346</v>
      </c>
      <c r="V810">
        <v>148</v>
      </c>
      <c r="W810">
        <v>22</v>
      </c>
      <c r="X810">
        <v>6.7272727272727284</v>
      </c>
      <c r="Y810">
        <v>4</v>
      </c>
      <c r="Z810">
        <v>71</v>
      </c>
      <c r="AA810">
        <v>2</v>
      </c>
      <c r="AB810">
        <v>3</v>
      </c>
      <c r="AC810">
        <v>3</v>
      </c>
      <c r="AD810">
        <v>3</v>
      </c>
      <c r="AE810">
        <v>8</v>
      </c>
      <c r="AF810">
        <v>1</v>
      </c>
      <c r="AG810">
        <v>3</v>
      </c>
      <c r="AH810">
        <v>0</v>
      </c>
      <c r="AI810">
        <v>0</v>
      </c>
      <c r="AJ810">
        <v>1</v>
      </c>
      <c r="AK810">
        <v>3</v>
      </c>
      <c r="AL810">
        <v>1</v>
      </c>
      <c r="AM810">
        <v>3</v>
      </c>
      <c r="AN810">
        <v>7</v>
      </c>
      <c r="AO810">
        <v>77</v>
      </c>
      <c r="AP810">
        <v>9</v>
      </c>
      <c r="AQ810">
        <v>82</v>
      </c>
      <c r="AR810">
        <v>0.2052023121387283</v>
      </c>
      <c r="AS810">
        <v>8.670520231213872E-3</v>
      </c>
      <c r="AT810">
        <v>2.312138728323699E-2</v>
      </c>
      <c r="AU810">
        <v>8.670520231213872E-3</v>
      </c>
      <c r="AV810">
        <v>0</v>
      </c>
      <c r="AW810">
        <v>8.670520231213872E-3</v>
      </c>
      <c r="AX810">
        <v>0.2225433526011561</v>
      </c>
      <c r="AY810">
        <v>0.23699421965317921</v>
      </c>
      <c r="AZ810">
        <v>0.2138728323699422</v>
      </c>
      <c r="BA810">
        <v>0.83333333333333337</v>
      </c>
      <c r="BB810">
        <v>0.9545454545454547</v>
      </c>
      <c r="BC810">
        <v>0.6</v>
      </c>
      <c r="BD810">
        <v>0.75867052023121384</v>
      </c>
      <c r="BE810">
        <v>4</v>
      </c>
      <c r="BF810">
        <v>0.78663732702750044</v>
      </c>
      <c r="BG810">
        <v>0.78</v>
      </c>
      <c r="BH810" t="s">
        <v>86</v>
      </c>
      <c r="BI810">
        <v>0.79</v>
      </c>
      <c r="BJ810" t="s">
        <v>86</v>
      </c>
      <c r="BK810" s="2">
        <f t="shared" si="25"/>
        <v>-1.0000000000000009E-2</v>
      </c>
      <c r="BL810" t="b">
        <f t="shared" si="26"/>
        <v>1</v>
      </c>
    </row>
    <row r="811" spans="1:64" x14ac:dyDescent="0.35">
      <c r="A811" t="s">
        <v>2196</v>
      </c>
      <c r="B811" t="s">
        <v>2197</v>
      </c>
      <c r="C811">
        <v>2017</v>
      </c>
      <c r="D811" t="s">
        <v>2198</v>
      </c>
      <c r="E811" t="s">
        <v>2199</v>
      </c>
      <c r="F811" t="s">
        <v>66</v>
      </c>
      <c r="G811" t="s">
        <v>101</v>
      </c>
      <c r="H811" t="s">
        <v>424</v>
      </c>
      <c r="I811" t="s">
        <v>2200</v>
      </c>
      <c r="J811" t="s">
        <v>70</v>
      </c>
      <c r="L811">
        <v>1</v>
      </c>
      <c r="M811" t="b">
        <v>0</v>
      </c>
      <c r="N811">
        <v>3</v>
      </c>
      <c r="O811">
        <v>1</v>
      </c>
      <c r="P811">
        <v>4</v>
      </c>
      <c r="Q811">
        <v>5</v>
      </c>
      <c r="R811">
        <v>-1</v>
      </c>
      <c r="S811">
        <v>4</v>
      </c>
      <c r="T811">
        <v>19</v>
      </c>
      <c r="U811">
        <v>1938</v>
      </c>
      <c r="V811">
        <v>74</v>
      </c>
      <c r="W811">
        <v>17</v>
      </c>
      <c r="X811">
        <v>4.3529411764705879</v>
      </c>
      <c r="Y811">
        <v>2</v>
      </c>
      <c r="Z811">
        <v>47</v>
      </c>
      <c r="AA811">
        <v>0</v>
      </c>
      <c r="AB811">
        <v>0</v>
      </c>
      <c r="AC811">
        <v>1</v>
      </c>
      <c r="AD811">
        <v>1</v>
      </c>
      <c r="AE811">
        <v>1</v>
      </c>
      <c r="AF811">
        <v>2</v>
      </c>
      <c r="AG811">
        <v>17</v>
      </c>
      <c r="AH811">
        <v>1</v>
      </c>
      <c r="AI811">
        <v>1401</v>
      </c>
      <c r="AJ811">
        <v>2</v>
      </c>
      <c r="AK811">
        <v>20</v>
      </c>
      <c r="AL811">
        <v>3</v>
      </c>
      <c r="AM811">
        <v>1421</v>
      </c>
      <c r="AN811">
        <v>4</v>
      </c>
      <c r="AO811">
        <v>64</v>
      </c>
      <c r="AP811">
        <v>3</v>
      </c>
      <c r="AQ811">
        <v>48</v>
      </c>
      <c r="AR811">
        <v>2.425180598555212E-2</v>
      </c>
      <c r="AS811">
        <v>0</v>
      </c>
      <c r="AT811">
        <v>5.1599587203302369E-4</v>
      </c>
      <c r="AU811">
        <v>8.771929824561403E-3</v>
      </c>
      <c r="AV811">
        <v>0.72291021671826627</v>
      </c>
      <c r="AW811">
        <v>0.73323013415892668</v>
      </c>
      <c r="AX811">
        <v>3.3023735810113523E-2</v>
      </c>
      <c r="AY811">
        <v>2.4767801857585141E-2</v>
      </c>
      <c r="AZ811">
        <v>-0.70020639834881315</v>
      </c>
      <c r="BA811">
        <v>0.5</v>
      </c>
      <c r="BB811">
        <v>0.55882352941176461</v>
      </c>
      <c r="BC811">
        <v>0.2</v>
      </c>
      <c r="BD811">
        <v>0.18737100103199181</v>
      </c>
      <c r="BE811">
        <v>4</v>
      </c>
      <c r="BF811">
        <v>0.36154863261093911</v>
      </c>
      <c r="BG811">
        <v>0.47</v>
      </c>
      <c r="BH811" t="s">
        <v>71</v>
      </c>
      <c r="BI811">
        <v>0.36</v>
      </c>
      <c r="BJ811" t="s">
        <v>104</v>
      </c>
      <c r="BK811" s="2">
        <f t="shared" si="25"/>
        <v>0.10999999999999999</v>
      </c>
      <c r="BL811" t="b">
        <f t="shared" si="26"/>
        <v>0</v>
      </c>
    </row>
    <row r="812" spans="1:64" x14ac:dyDescent="0.35">
      <c r="A812" t="s">
        <v>2201</v>
      </c>
      <c r="B812" t="s">
        <v>2197</v>
      </c>
      <c r="C812">
        <v>2022</v>
      </c>
      <c r="D812" t="s">
        <v>2198</v>
      </c>
      <c r="E812" t="s">
        <v>2199</v>
      </c>
      <c r="F812" t="s">
        <v>66</v>
      </c>
      <c r="G812" t="s">
        <v>101</v>
      </c>
      <c r="H812" t="s">
        <v>424</v>
      </c>
      <c r="I812" t="s">
        <v>2200</v>
      </c>
      <c r="J812" t="s">
        <v>70</v>
      </c>
      <c r="L812">
        <v>1</v>
      </c>
      <c r="M812" t="b">
        <v>0</v>
      </c>
      <c r="N812">
        <v>3</v>
      </c>
      <c r="O812">
        <v>1</v>
      </c>
      <c r="P812">
        <v>3</v>
      </c>
      <c r="Q812">
        <v>4</v>
      </c>
      <c r="R812">
        <v>-1</v>
      </c>
      <c r="S812">
        <v>4</v>
      </c>
      <c r="T812">
        <v>19</v>
      </c>
      <c r="U812">
        <v>480</v>
      </c>
      <c r="V812">
        <v>64</v>
      </c>
      <c r="W812">
        <v>15</v>
      </c>
      <c r="X812">
        <v>4.2666666666666666</v>
      </c>
      <c r="Y812">
        <v>3</v>
      </c>
      <c r="Z812">
        <v>226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2</v>
      </c>
      <c r="AH812">
        <v>2</v>
      </c>
      <c r="AI812">
        <v>76</v>
      </c>
      <c r="AJ812">
        <v>3</v>
      </c>
      <c r="AK812">
        <v>29</v>
      </c>
      <c r="AL812">
        <v>6</v>
      </c>
      <c r="AM812">
        <v>128</v>
      </c>
      <c r="AN812">
        <v>4</v>
      </c>
      <c r="AO812">
        <v>228</v>
      </c>
      <c r="AP812">
        <v>3</v>
      </c>
      <c r="AQ812">
        <v>226</v>
      </c>
      <c r="AR812">
        <v>0.47083333333333333</v>
      </c>
      <c r="AS812">
        <v>0</v>
      </c>
      <c r="AT812">
        <v>0</v>
      </c>
      <c r="AU812">
        <v>4.1666666666666666E-3</v>
      </c>
      <c r="AV812">
        <v>0.1583333333333333</v>
      </c>
      <c r="AW812">
        <v>0.26666666666666672</v>
      </c>
      <c r="AX812">
        <v>0.47499999999999998</v>
      </c>
      <c r="AY812">
        <v>0.47083333333333333</v>
      </c>
      <c r="AZ812">
        <v>0.20833333333333329</v>
      </c>
      <c r="BA812">
        <v>0.5</v>
      </c>
      <c r="BB812">
        <v>0.5444444444444444</v>
      </c>
      <c r="BC812">
        <v>0.2</v>
      </c>
      <c r="BD812">
        <v>0.75520833333333326</v>
      </c>
      <c r="BE812">
        <v>4</v>
      </c>
      <c r="BF812">
        <v>0.49991319444444438</v>
      </c>
      <c r="BG812">
        <v>0.53</v>
      </c>
      <c r="BH812" t="s">
        <v>71</v>
      </c>
      <c r="BI812">
        <v>0.5</v>
      </c>
      <c r="BJ812" t="s">
        <v>71</v>
      </c>
      <c r="BK812" s="2">
        <f t="shared" si="25"/>
        <v>3.0000000000000027E-2</v>
      </c>
      <c r="BL812" t="b">
        <f t="shared" si="26"/>
        <v>1</v>
      </c>
    </row>
    <row r="813" spans="1:64" x14ac:dyDescent="0.35">
      <c r="A813" t="s">
        <v>2202</v>
      </c>
      <c r="B813" t="s">
        <v>2203</v>
      </c>
      <c r="C813">
        <v>2015</v>
      </c>
      <c r="D813" t="s">
        <v>2204</v>
      </c>
      <c r="E813" t="s">
        <v>2205</v>
      </c>
      <c r="F813" t="s">
        <v>66</v>
      </c>
      <c r="G813" t="s">
        <v>144</v>
      </c>
      <c r="H813" t="s">
        <v>898</v>
      </c>
      <c r="I813" t="s">
        <v>2206</v>
      </c>
      <c r="J813" t="s">
        <v>70</v>
      </c>
      <c r="L813">
        <v>3</v>
      </c>
      <c r="M813" t="b">
        <v>0</v>
      </c>
      <c r="N813">
        <v>4</v>
      </c>
      <c r="O813">
        <v>2</v>
      </c>
      <c r="P813">
        <v>1</v>
      </c>
      <c r="Q813">
        <v>2</v>
      </c>
      <c r="R813">
        <v>-1</v>
      </c>
      <c r="S813">
        <v>3</v>
      </c>
      <c r="T813">
        <v>15</v>
      </c>
      <c r="U813">
        <v>103</v>
      </c>
      <c r="V813">
        <v>58</v>
      </c>
      <c r="W813">
        <v>13</v>
      </c>
      <c r="X813">
        <v>4.4615384615384617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2</v>
      </c>
      <c r="AF813">
        <v>2</v>
      </c>
      <c r="AG813">
        <v>2</v>
      </c>
      <c r="AH813">
        <v>1</v>
      </c>
      <c r="AI813">
        <v>1</v>
      </c>
      <c r="AJ813">
        <v>0</v>
      </c>
      <c r="AK813">
        <v>0</v>
      </c>
      <c r="AL813">
        <v>1</v>
      </c>
      <c r="AM813">
        <v>1</v>
      </c>
      <c r="AN813">
        <v>2</v>
      </c>
      <c r="AO813">
        <v>2</v>
      </c>
      <c r="AP813">
        <v>1</v>
      </c>
      <c r="AQ813">
        <v>2</v>
      </c>
      <c r="AR813">
        <v>0</v>
      </c>
      <c r="AS813">
        <v>0</v>
      </c>
      <c r="AT813">
        <v>1.9417475728155342E-2</v>
      </c>
      <c r="AU813">
        <v>1.9417475728155342E-2</v>
      </c>
      <c r="AV813">
        <v>9.7087378640776691E-3</v>
      </c>
      <c r="AW813">
        <v>9.7087378640776691E-3</v>
      </c>
      <c r="AX813">
        <v>1.9417475728155342E-2</v>
      </c>
      <c r="AY813">
        <v>1.9417475728155342E-2</v>
      </c>
      <c r="AZ813">
        <v>9.7087378640776691E-3</v>
      </c>
      <c r="BA813">
        <v>0.33333333333333331</v>
      </c>
      <c r="BB813">
        <v>0.57692307692307698</v>
      </c>
      <c r="BC813">
        <v>6.6666666666666666E-2</v>
      </c>
      <c r="BD813">
        <v>0.63106796116504849</v>
      </c>
      <c r="BE813">
        <v>4</v>
      </c>
      <c r="BF813">
        <v>0.40199775952203137</v>
      </c>
      <c r="BG813">
        <v>0.4</v>
      </c>
      <c r="BH813" t="s">
        <v>71</v>
      </c>
      <c r="BI813">
        <v>0.4</v>
      </c>
      <c r="BJ813" t="s">
        <v>71</v>
      </c>
      <c r="BK813" s="2">
        <f t="shared" si="25"/>
        <v>0</v>
      </c>
      <c r="BL813" t="b">
        <f t="shared" si="26"/>
        <v>1</v>
      </c>
    </row>
    <row r="814" spans="1:64" x14ac:dyDescent="0.35">
      <c r="A814" t="s">
        <v>2207</v>
      </c>
      <c r="B814" t="s">
        <v>2203</v>
      </c>
      <c r="C814">
        <v>2019</v>
      </c>
      <c r="D814" t="s">
        <v>2204</v>
      </c>
      <c r="E814" t="s">
        <v>2205</v>
      </c>
      <c r="F814" t="s">
        <v>66</v>
      </c>
      <c r="G814" t="s">
        <v>144</v>
      </c>
      <c r="H814" t="s">
        <v>898</v>
      </c>
      <c r="I814" t="s">
        <v>2206</v>
      </c>
      <c r="J814" t="s">
        <v>70</v>
      </c>
      <c r="L814">
        <v>3</v>
      </c>
      <c r="M814" t="b">
        <v>0</v>
      </c>
      <c r="N814">
        <v>1</v>
      </c>
      <c r="O814">
        <v>1</v>
      </c>
      <c r="P814">
        <v>14</v>
      </c>
      <c r="Q814">
        <v>3</v>
      </c>
      <c r="R814">
        <v>11</v>
      </c>
      <c r="S814">
        <v>6</v>
      </c>
      <c r="T814">
        <v>38</v>
      </c>
      <c r="U814">
        <v>1174</v>
      </c>
      <c r="V814">
        <v>187</v>
      </c>
      <c r="W814">
        <v>31</v>
      </c>
      <c r="X814">
        <v>6.032258064516129</v>
      </c>
      <c r="Y814">
        <v>3</v>
      </c>
      <c r="Z814">
        <v>120</v>
      </c>
      <c r="AA814">
        <v>0</v>
      </c>
      <c r="AB814">
        <v>0</v>
      </c>
      <c r="AC814">
        <v>3</v>
      </c>
      <c r="AD814">
        <v>3</v>
      </c>
      <c r="AE814">
        <v>112</v>
      </c>
      <c r="AF814">
        <v>3</v>
      </c>
      <c r="AG814">
        <v>51</v>
      </c>
      <c r="AH814">
        <v>1</v>
      </c>
      <c r="AI814">
        <v>23</v>
      </c>
      <c r="AJ814">
        <v>1</v>
      </c>
      <c r="AK814">
        <v>6</v>
      </c>
      <c r="AL814">
        <v>2</v>
      </c>
      <c r="AM814">
        <v>29</v>
      </c>
      <c r="AN814">
        <v>6</v>
      </c>
      <c r="AO814">
        <v>171</v>
      </c>
      <c r="AP814">
        <v>6</v>
      </c>
      <c r="AQ814">
        <v>232</v>
      </c>
      <c r="AR814">
        <v>0.1022146507666099</v>
      </c>
      <c r="AS814">
        <v>0</v>
      </c>
      <c r="AT814">
        <v>9.540034071550256E-2</v>
      </c>
      <c r="AU814">
        <v>4.3441226575809198E-2</v>
      </c>
      <c r="AV814">
        <v>1.9591141396933558E-2</v>
      </c>
      <c r="AW814">
        <v>2.4701873935264049E-2</v>
      </c>
      <c r="AX814">
        <v>0.14565587734241911</v>
      </c>
      <c r="AY814">
        <v>0.1976149914821124</v>
      </c>
      <c r="AZ814">
        <v>0.12095400340715499</v>
      </c>
      <c r="BA814">
        <v>0.83333333333333337</v>
      </c>
      <c r="BB814">
        <v>0.83870967741935487</v>
      </c>
      <c r="BC814">
        <v>0.4</v>
      </c>
      <c r="BD814">
        <v>0.70059625212947185</v>
      </c>
      <c r="BE814">
        <v>4</v>
      </c>
      <c r="BF814">
        <v>0.69315981572054008</v>
      </c>
      <c r="BG814">
        <v>0.69</v>
      </c>
      <c r="BH814" t="s">
        <v>86</v>
      </c>
      <c r="BI814">
        <v>0.69</v>
      </c>
      <c r="BJ814" t="s">
        <v>86</v>
      </c>
      <c r="BK814" s="2">
        <f t="shared" si="25"/>
        <v>0</v>
      </c>
      <c r="BL814" t="b">
        <f t="shared" si="26"/>
        <v>1</v>
      </c>
    </row>
    <row r="815" spans="1:64" x14ac:dyDescent="0.35">
      <c r="A815" t="s">
        <v>2208</v>
      </c>
      <c r="B815" t="s">
        <v>2203</v>
      </c>
      <c r="C815">
        <v>2022</v>
      </c>
      <c r="D815" t="s">
        <v>2204</v>
      </c>
      <c r="E815" t="s">
        <v>2205</v>
      </c>
      <c r="F815" t="s">
        <v>66</v>
      </c>
      <c r="G815" t="s">
        <v>144</v>
      </c>
      <c r="H815" t="s">
        <v>898</v>
      </c>
      <c r="I815" t="s">
        <v>2206</v>
      </c>
      <c r="J815" t="s">
        <v>70</v>
      </c>
      <c r="L815">
        <v>3</v>
      </c>
      <c r="M815" t="b">
        <v>0</v>
      </c>
      <c r="N815">
        <v>2</v>
      </c>
      <c r="O815">
        <v>2</v>
      </c>
      <c r="P815">
        <v>10</v>
      </c>
      <c r="Q815">
        <v>1</v>
      </c>
      <c r="R815">
        <v>9</v>
      </c>
      <c r="S815">
        <v>5</v>
      </c>
      <c r="T815">
        <v>49</v>
      </c>
      <c r="U815">
        <v>3686</v>
      </c>
      <c r="V815">
        <v>174</v>
      </c>
      <c r="W815">
        <v>30</v>
      </c>
      <c r="X815">
        <v>5.8</v>
      </c>
      <c r="Y815">
        <v>5</v>
      </c>
      <c r="Z815">
        <v>692</v>
      </c>
      <c r="AA815">
        <v>1</v>
      </c>
      <c r="AB815">
        <v>12</v>
      </c>
      <c r="AC815">
        <v>10</v>
      </c>
      <c r="AD815">
        <v>10</v>
      </c>
      <c r="AE815">
        <v>818</v>
      </c>
      <c r="AF815">
        <v>2</v>
      </c>
      <c r="AG815">
        <v>17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960</v>
      </c>
      <c r="AN815">
        <v>8</v>
      </c>
      <c r="AO815">
        <v>721</v>
      </c>
      <c r="AP815">
        <v>16</v>
      </c>
      <c r="AQ815">
        <v>1522</v>
      </c>
      <c r="AR815">
        <v>0.18773738469886059</v>
      </c>
      <c r="AS815">
        <v>3.2555615843733038E-3</v>
      </c>
      <c r="AT815">
        <v>0.22192078133478019</v>
      </c>
      <c r="AU815">
        <v>4.6120455778621812E-3</v>
      </c>
      <c r="AV815">
        <v>0</v>
      </c>
      <c r="AW815">
        <v>0.26044492674986441</v>
      </c>
      <c r="AX815">
        <v>0.19560499186109601</v>
      </c>
      <c r="AY815">
        <v>0.41291372761801409</v>
      </c>
      <c r="AZ815">
        <v>-6.4839934888768325E-2</v>
      </c>
      <c r="BA815">
        <v>0.66666666666666663</v>
      </c>
      <c r="BB815">
        <v>0.79999999999999993</v>
      </c>
      <c r="BC815">
        <v>1.0666666666666671</v>
      </c>
      <c r="BD815">
        <v>0.58447504069451983</v>
      </c>
      <c r="BE815">
        <v>4</v>
      </c>
      <c r="BF815">
        <v>0.77945209350696332</v>
      </c>
      <c r="BG815">
        <v>0.83</v>
      </c>
      <c r="BH815" t="s">
        <v>164</v>
      </c>
      <c r="BI815">
        <v>0.78</v>
      </c>
      <c r="BJ815" t="s">
        <v>86</v>
      </c>
      <c r="BK815" s="2">
        <f t="shared" si="25"/>
        <v>4.9999999999999933E-2</v>
      </c>
      <c r="BL815" t="b">
        <f t="shared" si="26"/>
        <v>0</v>
      </c>
    </row>
    <row r="816" spans="1:64" x14ac:dyDescent="0.35">
      <c r="A816" t="s">
        <v>2209</v>
      </c>
      <c r="B816" t="s">
        <v>2210</v>
      </c>
      <c r="C816">
        <v>2015</v>
      </c>
      <c r="D816" t="s">
        <v>2211</v>
      </c>
      <c r="E816" t="s">
        <v>2212</v>
      </c>
      <c r="F816" t="s">
        <v>66</v>
      </c>
      <c r="G816" t="s">
        <v>101</v>
      </c>
      <c r="H816" t="s">
        <v>184</v>
      </c>
      <c r="I816" t="s">
        <v>2213</v>
      </c>
      <c r="J816" t="s">
        <v>70</v>
      </c>
      <c r="L816">
        <v>1</v>
      </c>
      <c r="M816" t="b">
        <v>0</v>
      </c>
      <c r="N816">
        <v>6</v>
      </c>
      <c r="O816">
        <v>1</v>
      </c>
      <c r="P816">
        <v>0</v>
      </c>
      <c r="Q816">
        <v>2</v>
      </c>
      <c r="R816">
        <v>-2</v>
      </c>
      <c r="S816">
        <v>1</v>
      </c>
      <c r="T816">
        <v>14</v>
      </c>
      <c r="U816">
        <v>93</v>
      </c>
      <c r="V816">
        <v>52</v>
      </c>
      <c r="W816">
        <v>12</v>
      </c>
      <c r="X816">
        <v>4.333333333333333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3</v>
      </c>
      <c r="AG816">
        <v>3</v>
      </c>
      <c r="AH816">
        <v>0</v>
      </c>
      <c r="AI816">
        <v>0</v>
      </c>
      <c r="AJ816">
        <v>1</v>
      </c>
      <c r="AK816">
        <v>8</v>
      </c>
      <c r="AL816">
        <v>1</v>
      </c>
      <c r="AM816">
        <v>8</v>
      </c>
      <c r="AN816">
        <v>3</v>
      </c>
      <c r="AO816">
        <v>3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3.2258064516129031E-2</v>
      </c>
      <c r="AV816">
        <v>0</v>
      </c>
      <c r="AW816">
        <v>8.6021505376344093E-2</v>
      </c>
      <c r="AX816">
        <v>3.2258064516129031E-2</v>
      </c>
      <c r="AY816">
        <v>0</v>
      </c>
      <c r="AZ816">
        <v>-5.3763440860215062E-2</v>
      </c>
      <c r="BA816">
        <v>0</v>
      </c>
      <c r="BB816">
        <v>0.55555555555555547</v>
      </c>
      <c r="BC816">
        <v>0</v>
      </c>
      <c r="BD816">
        <v>0.59139784946236562</v>
      </c>
      <c r="BE816">
        <v>4</v>
      </c>
      <c r="BF816">
        <v>0.28673835125448027</v>
      </c>
      <c r="BG816">
        <v>0.28999999999999998</v>
      </c>
      <c r="BH816" t="s">
        <v>187</v>
      </c>
      <c r="BI816">
        <v>0.28999999999999998</v>
      </c>
      <c r="BJ816" t="s">
        <v>187</v>
      </c>
      <c r="BK816" s="2">
        <f t="shared" si="25"/>
        <v>0</v>
      </c>
      <c r="BL816" t="b">
        <f t="shared" si="26"/>
        <v>1</v>
      </c>
    </row>
    <row r="817" spans="1:64" x14ac:dyDescent="0.35">
      <c r="A817" t="s">
        <v>2214</v>
      </c>
      <c r="B817" t="s">
        <v>2215</v>
      </c>
      <c r="C817">
        <v>2014</v>
      </c>
      <c r="D817" t="s">
        <v>2216</v>
      </c>
      <c r="E817" t="s">
        <v>2217</v>
      </c>
      <c r="F817" t="s">
        <v>66</v>
      </c>
      <c r="G817" t="s">
        <v>101</v>
      </c>
      <c r="H817" t="s">
        <v>365</v>
      </c>
      <c r="I817" t="s">
        <v>365</v>
      </c>
      <c r="J817" t="s">
        <v>70</v>
      </c>
      <c r="L817">
        <v>2</v>
      </c>
      <c r="M817" t="b">
        <v>0</v>
      </c>
      <c r="N817">
        <v>1</v>
      </c>
      <c r="O817">
        <v>1</v>
      </c>
      <c r="P817">
        <v>7</v>
      </c>
      <c r="Q817">
        <v>2</v>
      </c>
      <c r="R817">
        <v>5</v>
      </c>
      <c r="S817">
        <v>5</v>
      </c>
      <c r="T817">
        <v>31</v>
      </c>
      <c r="U817">
        <v>244</v>
      </c>
      <c r="V817">
        <v>139</v>
      </c>
      <c r="W817">
        <v>24</v>
      </c>
      <c r="X817">
        <v>5.791666666666667</v>
      </c>
      <c r="Y817">
        <v>3</v>
      </c>
      <c r="Z817">
        <v>36</v>
      </c>
      <c r="AA817">
        <v>1</v>
      </c>
      <c r="AB817">
        <v>1</v>
      </c>
      <c r="AC817">
        <v>5</v>
      </c>
      <c r="AD817">
        <v>5</v>
      </c>
      <c r="AE817">
        <v>20</v>
      </c>
      <c r="AF817">
        <v>2</v>
      </c>
      <c r="AG817">
        <v>15</v>
      </c>
      <c r="AH817">
        <v>1</v>
      </c>
      <c r="AI817">
        <v>15</v>
      </c>
      <c r="AJ817">
        <v>1</v>
      </c>
      <c r="AK817">
        <v>1</v>
      </c>
      <c r="AL817">
        <v>2</v>
      </c>
      <c r="AM817">
        <v>16</v>
      </c>
      <c r="AN817">
        <v>6</v>
      </c>
      <c r="AO817">
        <v>52</v>
      </c>
      <c r="AP817">
        <v>9</v>
      </c>
      <c r="AQ817">
        <v>57</v>
      </c>
      <c r="AR817">
        <v>0.1475409836065574</v>
      </c>
      <c r="AS817">
        <v>4.0983606557377051E-3</v>
      </c>
      <c r="AT817">
        <v>8.1967213114754092E-2</v>
      </c>
      <c r="AU817">
        <v>6.1475409836065573E-2</v>
      </c>
      <c r="AV817">
        <v>6.1475409836065573E-2</v>
      </c>
      <c r="AW817">
        <v>6.5573770491803282E-2</v>
      </c>
      <c r="AX817">
        <v>0.21311475409836059</v>
      </c>
      <c r="AY817">
        <v>0.23360655737704919</v>
      </c>
      <c r="AZ817">
        <v>0.1475409836065574</v>
      </c>
      <c r="BA817">
        <v>0.66666666666666663</v>
      </c>
      <c r="BB817">
        <v>0.79861111111111116</v>
      </c>
      <c r="BC817">
        <v>0.6</v>
      </c>
      <c r="BD817">
        <v>0.71721311475409832</v>
      </c>
      <c r="BE817">
        <v>4</v>
      </c>
      <c r="BF817">
        <v>0.69562272313296902</v>
      </c>
      <c r="BG817">
        <v>0.71</v>
      </c>
      <c r="BH817" t="s">
        <v>86</v>
      </c>
      <c r="BI817">
        <v>0.7</v>
      </c>
      <c r="BJ817" t="s">
        <v>86</v>
      </c>
      <c r="BK817" s="2">
        <f t="shared" si="25"/>
        <v>1.0000000000000009E-2</v>
      </c>
      <c r="BL817" t="b">
        <f t="shared" si="26"/>
        <v>1</v>
      </c>
    </row>
    <row r="818" spans="1:64" x14ac:dyDescent="0.35">
      <c r="A818" t="s">
        <v>2218</v>
      </c>
      <c r="B818" t="s">
        <v>2215</v>
      </c>
      <c r="C818">
        <v>2015</v>
      </c>
      <c r="D818" t="s">
        <v>2216</v>
      </c>
      <c r="E818" t="s">
        <v>2217</v>
      </c>
      <c r="F818" t="s">
        <v>66</v>
      </c>
      <c r="G818" t="s">
        <v>101</v>
      </c>
      <c r="H818" t="s">
        <v>365</v>
      </c>
      <c r="I818" t="s">
        <v>365</v>
      </c>
      <c r="J818" t="s">
        <v>70</v>
      </c>
      <c r="L818">
        <v>2</v>
      </c>
      <c r="M818" t="b">
        <v>0</v>
      </c>
      <c r="N818">
        <v>1</v>
      </c>
      <c r="O818">
        <v>1</v>
      </c>
      <c r="P818">
        <v>8</v>
      </c>
      <c r="Q818">
        <v>3</v>
      </c>
      <c r="R818">
        <v>5</v>
      </c>
      <c r="S818">
        <v>5</v>
      </c>
      <c r="T818">
        <v>29</v>
      </c>
      <c r="U818">
        <v>259</v>
      </c>
      <c r="V818">
        <v>131</v>
      </c>
      <c r="W818">
        <v>22</v>
      </c>
      <c r="X818">
        <v>5.9545454545454541</v>
      </c>
      <c r="Y818">
        <v>3</v>
      </c>
      <c r="Z818">
        <v>18</v>
      </c>
      <c r="AA818">
        <v>1</v>
      </c>
      <c r="AB818">
        <v>1</v>
      </c>
      <c r="AC818">
        <v>4</v>
      </c>
      <c r="AD818">
        <v>4</v>
      </c>
      <c r="AE818">
        <v>24</v>
      </c>
      <c r="AF818">
        <v>1</v>
      </c>
      <c r="AG818">
        <v>17</v>
      </c>
      <c r="AH818">
        <v>0</v>
      </c>
      <c r="AI818">
        <v>0</v>
      </c>
      <c r="AJ818">
        <v>1</v>
      </c>
      <c r="AK818">
        <v>3</v>
      </c>
      <c r="AL818">
        <v>1</v>
      </c>
      <c r="AM818">
        <v>3</v>
      </c>
      <c r="AN818">
        <v>5</v>
      </c>
      <c r="AO818">
        <v>36</v>
      </c>
      <c r="AP818">
        <v>8</v>
      </c>
      <c r="AQ818">
        <v>43</v>
      </c>
      <c r="AR818">
        <v>6.9498069498069498E-2</v>
      </c>
      <c r="AS818">
        <v>3.8610038610038611E-3</v>
      </c>
      <c r="AT818">
        <v>9.2664092664092659E-2</v>
      </c>
      <c r="AU818">
        <v>6.5637065637065631E-2</v>
      </c>
      <c r="AV818">
        <v>0</v>
      </c>
      <c r="AW818">
        <v>1.1583011583011581E-2</v>
      </c>
      <c r="AX818">
        <v>0.138996138996139</v>
      </c>
      <c r="AY818">
        <v>0.166023166023166</v>
      </c>
      <c r="AZ818">
        <v>0.12741312741312741</v>
      </c>
      <c r="BA818">
        <v>0.66666666666666663</v>
      </c>
      <c r="BB818">
        <v>0.82575757575757569</v>
      </c>
      <c r="BC818">
        <v>0.53333333333333333</v>
      </c>
      <c r="BD818">
        <v>0.70463320463320456</v>
      </c>
      <c r="BE818">
        <v>4</v>
      </c>
      <c r="BF818">
        <v>0.68259769509769508</v>
      </c>
      <c r="BG818">
        <v>0.68</v>
      </c>
      <c r="BH818" t="s">
        <v>86</v>
      </c>
      <c r="BI818">
        <v>0.68</v>
      </c>
      <c r="BJ818" t="s">
        <v>86</v>
      </c>
      <c r="BK818" s="2">
        <f t="shared" si="25"/>
        <v>0</v>
      </c>
      <c r="BL818" t="b">
        <f t="shared" si="26"/>
        <v>1</v>
      </c>
    </row>
    <row r="819" spans="1:64" x14ac:dyDescent="0.35">
      <c r="A819" t="s">
        <v>2219</v>
      </c>
      <c r="B819" t="s">
        <v>2215</v>
      </c>
      <c r="C819">
        <v>2016</v>
      </c>
      <c r="D819" t="s">
        <v>2216</v>
      </c>
      <c r="E819" t="s">
        <v>2217</v>
      </c>
      <c r="F819" t="s">
        <v>66</v>
      </c>
      <c r="G819" t="s">
        <v>101</v>
      </c>
      <c r="H819" t="s">
        <v>365</v>
      </c>
      <c r="I819" t="s">
        <v>365</v>
      </c>
      <c r="J819" t="s">
        <v>70</v>
      </c>
      <c r="L819">
        <v>2</v>
      </c>
      <c r="M819" t="b">
        <v>0</v>
      </c>
      <c r="N819">
        <v>1</v>
      </c>
      <c r="O819">
        <v>3</v>
      </c>
      <c r="P819">
        <v>11</v>
      </c>
      <c r="Q819">
        <v>5</v>
      </c>
      <c r="R819">
        <v>6</v>
      </c>
      <c r="S819">
        <v>6</v>
      </c>
      <c r="T819">
        <v>51</v>
      </c>
      <c r="U819">
        <v>1013</v>
      </c>
      <c r="V819">
        <v>205</v>
      </c>
      <c r="W819">
        <v>33</v>
      </c>
      <c r="X819">
        <v>6.2121212121212119</v>
      </c>
      <c r="Y819">
        <v>7</v>
      </c>
      <c r="Z819">
        <v>103</v>
      </c>
      <c r="AA819">
        <v>2</v>
      </c>
      <c r="AB819">
        <v>29</v>
      </c>
      <c r="AC819">
        <v>3</v>
      </c>
      <c r="AD819">
        <v>3</v>
      </c>
      <c r="AE819">
        <v>65</v>
      </c>
      <c r="AF819">
        <v>3</v>
      </c>
      <c r="AG819">
        <v>16</v>
      </c>
      <c r="AH819">
        <v>1</v>
      </c>
      <c r="AI819">
        <v>5</v>
      </c>
      <c r="AJ819">
        <v>2</v>
      </c>
      <c r="AK819">
        <v>21</v>
      </c>
      <c r="AL819">
        <v>3</v>
      </c>
      <c r="AM819">
        <v>26</v>
      </c>
      <c r="AN819">
        <v>12</v>
      </c>
      <c r="AO819">
        <v>148</v>
      </c>
      <c r="AP819">
        <v>12</v>
      </c>
      <c r="AQ819">
        <v>197</v>
      </c>
      <c r="AR819">
        <v>0.1016781836130306</v>
      </c>
      <c r="AS819">
        <v>2.8627838104639688E-2</v>
      </c>
      <c r="AT819">
        <v>6.4165844027640667E-2</v>
      </c>
      <c r="AU819">
        <v>1.5794669299111549E-2</v>
      </c>
      <c r="AV819">
        <v>4.9358341559723592E-3</v>
      </c>
      <c r="AW819">
        <v>2.5666337611056269E-2</v>
      </c>
      <c r="AX819">
        <v>0.1461006910167818</v>
      </c>
      <c r="AY819">
        <v>0.19447186574531089</v>
      </c>
      <c r="AZ819">
        <v>0.1204343534057256</v>
      </c>
      <c r="BA819">
        <v>0.83333333333333337</v>
      </c>
      <c r="BB819">
        <v>0.86868686868686862</v>
      </c>
      <c r="BC819">
        <v>0.8</v>
      </c>
      <c r="BD819">
        <v>0.70027147087857844</v>
      </c>
      <c r="BE819">
        <v>4</v>
      </c>
      <c r="BF819">
        <v>0.80057291822469512</v>
      </c>
      <c r="BG819">
        <v>0.8</v>
      </c>
      <c r="BH819" t="s">
        <v>164</v>
      </c>
      <c r="BI819">
        <v>0.8</v>
      </c>
      <c r="BJ819" t="s">
        <v>164</v>
      </c>
      <c r="BK819" s="2">
        <f t="shared" si="25"/>
        <v>0</v>
      </c>
      <c r="BL819" t="b">
        <f t="shared" si="26"/>
        <v>1</v>
      </c>
    </row>
    <row r="820" spans="1:64" x14ac:dyDescent="0.35">
      <c r="A820" t="s">
        <v>2220</v>
      </c>
      <c r="B820" t="s">
        <v>2215</v>
      </c>
      <c r="C820">
        <v>2017</v>
      </c>
      <c r="D820" t="s">
        <v>2216</v>
      </c>
      <c r="E820" t="s">
        <v>2217</v>
      </c>
      <c r="F820" t="s">
        <v>66</v>
      </c>
      <c r="G820" t="s">
        <v>101</v>
      </c>
      <c r="H820" t="s">
        <v>365</v>
      </c>
      <c r="I820" t="s">
        <v>365</v>
      </c>
      <c r="J820" t="s">
        <v>70</v>
      </c>
      <c r="L820">
        <v>2</v>
      </c>
      <c r="M820" t="b">
        <v>0</v>
      </c>
      <c r="N820">
        <v>1</v>
      </c>
      <c r="O820">
        <v>4</v>
      </c>
      <c r="P820">
        <v>18</v>
      </c>
      <c r="Q820">
        <v>4</v>
      </c>
      <c r="R820">
        <v>14</v>
      </c>
      <c r="S820">
        <v>7</v>
      </c>
      <c r="T820">
        <v>74</v>
      </c>
      <c r="U820">
        <v>4682</v>
      </c>
      <c r="V820">
        <v>231</v>
      </c>
      <c r="W820">
        <v>35</v>
      </c>
      <c r="X820">
        <v>6.6</v>
      </c>
      <c r="Y820">
        <v>16</v>
      </c>
      <c r="Z820">
        <v>892</v>
      </c>
      <c r="AA820">
        <v>2</v>
      </c>
      <c r="AB820">
        <v>101</v>
      </c>
      <c r="AC820">
        <v>5</v>
      </c>
      <c r="AD820">
        <v>4</v>
      </c>
      <c r="AE820">
        <v>306</v>
      </c>
      <c r="AF820">
        <v>2</v>
      </c>
      <c r="AG820">
        <v>38</v>
      </c>
      <c r="AH820">
        <v>0</v>
      </c>
      <c r="AI820">
        <v>0</v>
      </c>
      <c r="AJ820">
        <v>1</v>
      </c>
      <c r="AK820">
        <v>16</v>
      </c>
      <c r="AL820">
        <v>2</v>
      </c>
      <c r="AM820">
        <v>64</v>
      </c>
      <c r="AN820">
        <v>20</v>
      </c>
      <c r="AO820">
        <v>1031</v>
      </c>
      <c r="AP820">
        <v>22</v>
      </c>
      <c r="AQ820">
        <v>1299</v>
      </c>
      <c r="AR820">
        <v>0.19051687313114049</v>
      </c>
      <c r="AS820">
        <v>2.1571977787270401E-2</v>
      </c>
      <c r="AT820">
        <v>6.5356685177274665E-2</v>
      </c>
      <c r="AU820">
        <v>8.1161896625373767E-3</v>
      </c>
      <c r="AV820">
        <v>0</v>
      </c>
      <c r="AW820">
        <v>1.366937206322085E-2</v>
      </c>
      <c r="AX820">
        <v>0.22020504058094831</v>
      </c>
      <c r="AY820">
        <v>0.27744553609568562</v>
      </c>
      <c r="AZ820">
        <v>0.20653566851772739</v>
      </c>
      <c r="BA820">
        <v>1</v>
      </c>
      <c r="BB820">
        <v>0.93333333333333324</v>
      </c>
      <c r="BC820">
        <v>1.466666666666667</v>
      </c>
      <c r="BD820">
        <v>0.75408479282357954</v>
      </c>
      <c r="BE820">
        <v>4</v>
      </c>
      <c r="BF820">
        <v>1.0385211982058951</v>
      </c>
      <c r="BG820">
        <v>1</v>
      </c>
      <c r="BH820" t="s">
        <v>164</v>
      </c>
      <c r="BI820">
        <v>1</v>
      </c>
      <c r="BJ820" t="s">
        <v>164</v>
      </c>
      <c r="BK820" s="2">
        <f t="shared" si="25"/>
        <v>0</v>
      </c>
      <c r="BL820" t="b">
        <f t="shared" si="26"/>
        <v>1</v>
      </c>
    </row>
    <row r="821" spans="1:64" x14ac:dyDescent="0.35">
      <c r="A821" t="s">
        <v>2221</v>
      </c>
      <c r="B821" t="s">
        <v>2215</v>
      </c>
      <c r="C821">
        <v>2020</v>
      </c>
      <c r="D821" t="s">
        <v>2216</v>
      </c>
      <c r="E821" t="s">
        <v>2217</v>
      </c>
      <c r="F821" t="s">
        <v>66</v>
      </c>
      <c r="G821" t="s">
        <v>101</v>
      </c>
      <c r="H821" t="s">
        <v>365</v>
      </c>
      <c r="I821" t="s">
        <v>365</v>
      </c>
      <c r="J821" t="s">
        <v>70</v>
      </c>
      <c r="L821">
        <v>2</v>
      </c>
      <c r="M821" t="b">
        <v>0</v>
      </c>
      <c r="N821">
        <v>1</v>
      </c>
      <c r="O821">
        <v>1</v>
      </c>
      <c r="P821">
        <v>5</v>
      </c>
      <c r="Q821">
        <v>4</v>
      </c>
      <c r="R821">
        <v>1</v>
      </c>
      <c r="S821">
        <v>4</v>
      </c>
      <c r="T821">
        <v>22</v>
      </c>
      <c r="U821">
        <v>159</v>
      </c>
      <c r="V821">
        <v>112</v>
      </c>
      <c r="W821">
        <v>19</v>
      </c>
      <c r="X821">
        <v>5.8947368421052628</v>
      </c>
      <c r="Y821">
        <v>1</v>
      </c>
      <c r="Z821">
        <v>1</v>
      </c>
      <c r="AA821">
        <v>0</v>
      </c>
      <c r="AB821">
        <v>0</v>
      </c>
      <c r="AC821">
        <v>1</v>
      </c>
      <c r="AD821">
        <v>1</v>
      </c>
      <c r="AE821">
        <v>8</v>
      </c>
      <c r="AF821">
        <v>0</v>
      </c>
      <c r="AG821">
        <v>0</v>
      </c>
      <c r="AH821">
        <v>2</v>
      </c>
      <c r="AI821">
        <v>9</v>
      </c>
      <c r="AJ821">
        <v>1</v>
      </c>
      <c r="AK821">
        <v>1</v>
      </c>
      <c r="AL821">
        <v>3</v>
      </c>
      <c r="AM821">
        <v>10</v>
      </c>
      <c r="AN821">
        <v>1</v>
      </c>
      <c r="AO821">
        <v>1</v>
      </c>
      <c r="AP821">
        <v>2</v>
      </c>
      <c r="AQ821">
        <v>9</v>
      </c>
      <c r="AR821">
        <v>6.2893081761006293E-3</v>
      </c>
      <c r="AS821">
        <v>0</v>
      </c>
      <c r="AT821">
        <v>5.0314465408805027E-2</v>
      </c>
      <c r="AU821">
        <v>0</v>
      </c>
      <c r="AV821">
        <v>5.6603773584905662E-2</v>
      </c>
      <c r="AW821">
        <v>6.2893081761006289E-2</v>
      </c>
      <c r="AX821">
        <v>6.2893081761006293E-3</v>
      </c>
      <c r="AY821">
        <v>5.6603773584905662E-2</v>
      </c>
      <c r="AZ821">
        <v>-5.6603773584905662E-2</v>
      </c>
      <c r="BA821">
        <v>0.5</v>
      </c>
      <c r="BB821">
        <v>0.81578947368421051</v>
      </c>
      <c r="BC821">
        <v>0.1333333333333333</v>
      </c>
      <c r="BD821">
        <v>0.58962264150943389</v>
      </c>
      <c r="BE821">
        <v>4</v>
      </c>
      <c r="BF821">
        <v>0.50968636213174445</v>
      </c>
      <c r="BG821">
        <v>0.52</v>
      </c>
      <c r="BH821" t="s">
        <v>71</v>
      </c>
      <c r="BI821">
        <v>0.51</v>
      </c>
      <c r="BJ821" t="s">
        <v>71</v>
      </c>
      <c r="BK821" s="2">
        <f t="shared" si="25"/>
        <v>1.0000000000000009E-2</v>
      </c>
      <c r="BL821" t="b">
        <f t="shared" si="26"/>
        <v>1</v>
      </c>
    </row>
    <row r="822" spans="1:64" x14ac:dyDescent="0.35">
      <c r="A822" t="s">
        <v>2222</v>
      </c>
      <c r="B822" t="s">
        <v>2223</v>
      </c>
      <c r="C822">
        <v>2016</v>
      </c>
      <c r="D822" t="s">
        <v>2224</v>
      </c>
      <c r="E822" t="s">
        <v>2225</v>
      </c>
      <c r="F822" t="s">
        <v>66</v>
      </c>
      <c r="G822" t="s">
        <v>101</v>
      </c>
      <c r="H822" t="s">
        <v>162</v>
      </c>
      <c r="I822" t="s">
        <v>1689</v>
      </c>
      <c r="J822" t="s">
        <v>70</v>
      </c>
      <c r="L822">
        <v>1</v>
      </c>
      <c r="M822" t="b">
        <v>0</v>
      </c>
      <c r="N822">
        <v>2</v>
      </c>
      <c r="O822">
        <v>4</v>
      </c>
      <c r="P822">
        <v>8</v>
      </c>
      <c r="Q822">
        <v>1</v>
      </c>
      <c r="R822">
        <v>7</v>
      </c>
      <c r="S822">
        <v>5</v>
      </c>
      <c r="T822">
        <v>25</v>
      </c>
      <c r="U822">
        <v>411</v>
      </c>
      <c r="V822">
        <v>105</v>
      </c>
      <c r="W822">
        <v>18</v>
      </c>
      <c r="X822">
        <v>5.833333333333333</v>
      </c>
      <c r="Y822">
        <v>5</v>
      </c>
      <c r="Z822">
        <v>68</v>
      </c>
      <c r="AA822">
        <v>1</v>
      </c>
      <c r="AB822">
        <v>2</v>
      </c>
      <c r="AC822">
        <v>4</v>
      </c>
      <c r="AD822">
        <v>4</v>
      </c>
      <c r="AE822">
        <v>82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45</v>
      </c>
      <c r="AN822">
        <v>6</v>
      </c>
      <c r="AO822">
        <v>70</v>
      </c>
      <c r="AP822">
        <v>10</v>
      </c>
      <c r="AQ822">
        <v>152</v>
      </c>
      <c r="AR822">
        <v>0.16545012165450121</v>
      </c>
      <c r="AS822">
        <v>4.8661800486618006E-3</v>
      </c>
      <c r="AT822">
        <v>0.1995133819951338</v>
      </c>
      <c r="AU822">
        <v>0</v>
      </c>
      <c r="AV822">
        <v>0</v>
      </c>
      <c r="AW822">
        <v>0.1094890510948905</v>
      </c>
      <c r="AX822">
        <v>0.170316301703163</v>
      </c>
      <c r="AY822">
        <v>0.36982968369829677</v>
      </c>
      <c r="AZ822">
        <v>6.0827250608272487E-2</v>
      </c>
      <c r="BA822">
        <v>0.66666666666666663</v>
      </c>
      <c r="BB822">
        <v>0.80555555555555547</v>
      </c>
      <c r="BC822">
        <v>0.66666666666666663</v>
      </c>
      <c r="BD822">
        <v>0.66301703163017034</v>
      </c>
      <c r="BE822">
        <v>4</v>
      </c>
      <c r="BF822">
        <v>0.70047648012976471</v>
      </c>
      <c r="BG822">
        <v>0.71</v>
      </c>
      <c r="BH822" t="s">
        <v>86</v>
      </c>
      <c r="BI822">
        <v>0.7</v>
      </c>
      <c r="BJ822" t="s">
        <v>86</v>
      </c>
      <c r="BK822" s="2">
        <f t="shared" si="25"/>
        <v>1.0000000000000009E-2</v>
      </c>
      <c r="BL822" t="b">
        <f t="shared" si="26"/>
        <v>1</v>
      </c>
    </row>
    <row r="823" spans="1:64" x14ac:dyDescent="0.35">
      <c r="A823" t="s">
        <v>2226</v>
      </c>
      <c r="B823" t="s">
        <v>2223</v>
      </c>
      <c r="C823">
        <v>2019</v>
      </c>
      <c r="D823" t="s">
        <v>2224</v>
      </c>
      <c r="E823" t="s">
        <v>2225</v>
      </c>
      <c r="F823" t="s">
        <v>66</v>
      </c>
      <c r="G823" t="s">
        <v>101</v>
      </c>
      <c r="H823" t="s">
        <v>162</v>
      </c>
      <c r="I823" t="s">
        <v>1689</v>
      </c>
      <c r="J823" t="s">
        <v>70</v>
      </c>
      <c r="L823">
        <v>1</v>
      </c>
      <c r="M823" t="b">
        <v>0</v>
      </c>
      <c r="N823">
        <v>2</v>
      </c>
      <c r="O823">
        <v>3</v>
      </c>
      <c r="P823">
        <v>6</v>
      </c>
      <c r="Q823">
        <v>1</v>
      </c>
      <c r="R823">
        <v>5</v>
      </c>
      <c r="S823">
        <v>5</v>
      </c>
      <c r="T823">
        <v>20</v>
      </c>
      <c r="U823">
        <v>257</v>
      </c>
      <c r="V823">
        <v>86</v>
      </c>
      <c r="W823">
        <v>16</v>
      </c>
      <c r="X823">
        <v>5.375</v>
      </c>
      <c r="Y823">
        <v>3</v>
      </c>
      <c r="Z823">
        <v>8</v>
      </c>
      <c r="AA823">
        <v>0</v>
      </c>
      <c r="AB823">
        <v>0</v>
      </c>
      <c r="AC823">
        <v>3</v>
      </c>
      <c r="AD823">
        <v>3</v>
      </c>
      <c r="AE823">
        <v>153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4</v>
      </c>
      <c r="AL823">
        <v>1</v>
      </c>
      <c r="AM823">
        <v>4</v>
      </c>
      <c r="AN823">
        <v>3</v>
      </c>
      <c r="AO823">
        <v>8</v>
      </c>
      <c r="AP823">
        <v>6</v>
      </c>
      <c r="AQ823">
        <v>161</v>
      </c>
      <c r="AR823">
        <v>3.1128404669260701E-2</v>
      </c>
      <c r="AS823">
        <v>0</v>
      </c>
      <c r="AT823">
        <v>0.59533073929961089</v>
      </c>
      <c r="AU823">
        <v>0</v>
      </c>
      <c r="AV823">
        <v>0</v>
      </c>
      <c r="AW823">
        <v>1.556420233463035E-2</v>
      </c>
      <c r="AX823">
        <v>3.1128404669260701E-2</v>
      </c>
      <c r="AY823">
        <v>0.62645914396887159</v>
      </c>
      <c r="AZ823">
        <v>1.556420233463035E-2</v>
      </c>
      <c r="BA823">
        <v>0.66666666666666663</v>
      </c>
      <c r="BB823">
        <v>0.72916666666666663</v>
      </c>
      <c r="BC823">
        <v>0.4</v>
      </c>
      <c r="BD823">
        <v>0.63472762645914393</v>
      </c>
      <c r="BE823">
        <v>4</v>
      </c>
      <c r="BF823">
        <v>0.60764023994811933</v>
      </c>
      <c r="BG823">
        <v>0.6</v>
      </c>
      <c r="BH823" t="s">
        <v>86</v>
      </c>
      <c r="BI823">
        <v>0.61</v>
      </c>
      <c r="BJ823" t="s">
        <v>86</v>
      </c>
      <c r="BK823" s="2">
        <f t="shared" si="25"/>
        <v>-1.0000000000000009E-2</v>
      </c>
      <c r="BL823" t="b">
        <f t="shared" si="26"/>
        <v>1</v>
      </c>
    </row>
    <row r="824" spans="1:64" x14ac:dyDescent="0.35">
      <c r="A824" t="s">
        <v>2227</v>
      </c>
      <c r="B824" t="s">
        <v>2228</v>
      </c>
      <c r="C824">
        <v>2014</v>
      </c>
      <c r="D824" t="s">
        <v>2229</v>
      </c>
      <c r="E824" t="s">
        <v>2230</v>
      </c>
      <c r="F824" t="s">
        <v>66</v>
      </c>
      <c r="G824" t="s">
        <v>101</v>
      </c>
      <c r="H824" t="s">
        <v>365</v>
      </c>
      <c r="I824" t="s">
        <v>365</v>
      </c>
      <c r="J824" t="s">
        <v>70</v>
      </c>
      <c r="L824">
        <v>5</v>
      </c>
      <c r="M824" t="b">
        <v>1</v>
      </c>
      <c r="N824">
        <v>1</v>
      </c>
      <c r="O824">
        <v>1</v>
      </c>
      <c r="P824">
        <v>10</v>
      </c>
      <c r="Q824">
        <v>2</v>
      </c>
      <c r="R824">
        <v>8</v>
      </c>
      <c r="S824">
        <v>5</v>
      </c>
      <c r="T824">
        <v>30</v>
      </c>
      <c r="U824">
        <v>341</v>
      </c>
      <c r="V824">
        <v>151</v>
      </c>
      <c r="W824">
        <v>23</v>
      </c>
      <c r="X824">
        <v>6.5652173913043477</v>
      </c>
      <c r="Y824">
        <v>6</v>
      </c>
      <c r="Z824">
        <v>145</v>
      </c>
      <c r="AA824">
        <v>2</v>
      </c>
      <c r="AB824">
        <v>3</v>
      </c>
      <c r="AC824">
        <v>4</v>
      </c>
      <c r="AD824">
        <v>4</v>
      </c>
      <c r="AE824">
        <v>91</v>
      </c>
      <c r="AF824">
        <v>2</v>
      </c>
      <c r="AG824">
        <v>8</v>
      </c>
      <c r="AH824">
        <v>1</v>
      </c>
      <c r="AI824">
        <v>2</v>
      </c>
      <c r="AJ824">
        <v>1</v>
      </c>
      <c r="AK824">
        <v>1</v>
      </c>
      <c r="AL824">
        <v>2</v>
      </c>
      <c r="AM824">
        <v>3</v>
      </c>
      <c r="AN824">
        <v>10</v>
      </c>
      <c r="AO824">
        <v>156</v>
      </c>
      <c r="AP824">
        <v>12</v>
      </c>
      <c r="AQ824">
        <v>239</v>
      </c>
      <c r="AR824">
        <v>0.42521994134897362</v>
      </c>
      <c r="AS824">
        <v>8.7976539589442824E-3</v>
      </c>
      <c r="AT824">
        <v>0.26686217008797652</v>
      </c>
      <c r="AU824">
        <v>2.3460410557184751E-2</v>
      </c>
      <c r="AV824">
        <v>5.8651026392961877E-3</v>
      </c>
      <c r="AW824">
        <v>8.7976539589442824E-3</v>
      </c>
      <c r="AX824">
        <v>0.45747800586510262</v>
      </c>
      <c r="AY824">
        <v>0.70087976539589447</v>
      </c>
      <c r="AZ824">
        <v>0.44868035190615829</v>
      </c>
      <c r="BA824">
        <v>0.66666666666666663</v>
      </c>
      <c r="BB824">
        <v>0.92753623188405798</v>
      </c>
      <c r="BC824">
        <v>0.8</v>
      </c>
      <c r="BD824">
        <v>0.90542521994134895</v>
      </c>
      <c r="BE824">
        <v>4</v>
      </c>
      <c r="BF824">
        <v>0.82490702962301843</v>
      </c>
      <c r="BG824">
        <v>0.83</v>
      </c>
      <c r="BH824" t="s">
        <v>164</v>
      </c>
      <c r="BI824">
        <v>0.82</v>
      </c>
      <c r="BJ824" t="s">
        <v>164</v>
      </c>
      <c r="BK824" s="2">
        <f t="shared" si="25"/>
        <v>1.0000000000000009E-2</v>
      </c>
      <c r="BL824" t="b">
        <f t="shared" si="26"/>
        <v>1</v>
      </c>
    </row>
    <row r="825" spans="1:64" x14ac:dyDescent="0.35">
      <c r="A825" t="s">
        <v>2231</v>
      </c>
      <c r="B825" t="s">
        <v>2228</v>
      </c>
      <c r="C825">
        <v>2015</v>
      </c>
      <c r="D825" t="s">
        <v>2229</v>
      </c>
      <c r="E825" t="s">
        <v>2230</v>
      </c>
      <c r="F825" t="s">
        <v>66</v>
      </c>
      <c r="G825" t="s">
        <v>101</v>
      </c>
      <c r="H825" t="s">
        <v>365</v>
      </c>
      <c r="I825" t="s">
        <v>365</v>
      </c>
      <c r="J825" t="s">
        <v>70</v>
      </c>
      <c r="L825">
        <v>5</v>
      </c>
      <c r="M825" t="b">
        <v>1</v>
      </c>
      <c r="N825">
        <v>1</v>
      </c>
      <c r="O825">
        <v>2</v>
      </c>
      <c r="P825">
        <v>13</v>
      </c>
      <c r="Q825">
        <v>2</v>
      </c>
      <c r="R825">
        <v>11</v>
      </c>
      <c r="S825">
        <v>7</v>
      </c>
      <c r="T825">
        <v>39</v>
      </c>
      <c r="U825">
        <v>623</v>
      </c>
      <c r="V825">
        <v>186</v>
      </c>
      <c r="W825">
        <v>27</v>
      </c>
      <c r="X825">
        <v>6.8888888888888893</v>
      </c>
      <c r="Y825">
        <v>5</v>
      </c>
      <c r="Z825">
        <v>134</v>
      </c>
      <c r="AA825">
        <v>2</v>
      </c>
      <c r="AB825">
        <v>3</v>
      </c>
      <c r="AC825">
        <v>6</v>
      </c>
      <c r="AD825">
        <v>6</v>
      </c>
      <c r="AE825">
        <v>9</v>
      </c>
      <c r="AF825">
        <v>4</v>
      </c>
      <c r="AG825">
        <v>46</v>
      </c>
      <c r="AH825">
        <v>2</v>
      </c>
      <c r="AI825">
        <v>3</v>
      </c>
      <c r="AJ825">
        <v>0</v>
      </c>
      <c r="AK825">
        <v>0</v>
      </c>
      <c r="AL825">
        <v>2</v>
      </c>
      <c r="AM825">
        <v>3</v>
      </c>
      <c r="AN825">
        <v>11</v>
      </c>
      <c r="AO825">
        <v>183</v>
      </c>
      <c r="AP825">
        <v>13</v>
      </c>
      <c r="AQ825">
        <v>146</v>
      </c>
      <c r="AR825">
        <v>0.21508828250401291</v>
      </c>
      <c r="AS825">
        <v>4.815409309791332E-3</v>
      </c>
      <c r="AT825">
        <v>1.4446227929374E-2</v>
      </c>
      <c r="AU825">
        <v>7.3836276083467101E-2</v>
      </c>
      <c r="AV825">
        <v>4.815409309791332E-3</v>
      </c>
      <c r="AW825">
        <v>4.815409309791332E-3</v>
      </c>
      <c r="AX825">
        <v>0.29373996789727119</v>
      </c>
      <c r="AY825">
        <v>0.2343499197431782</v>
      </c>
      <c r="AZ825">
        <v>0.2889245585874799</v>
      </c>
      <c r="BA825">
        <v>1</v>
      </c>
      <c r="BB825">
        <v>0.98148148148148151</v>
      </c>
      <c r="BC825">
        <v>0.8666666666666667</v>
      </c>
      <c r="BD825">
        <v>0.805577849117175</v>
      </c>
      <c r="BE825">
        <v>4</v>
      </c>
      <c r="BF825">
        <v>0.91343149931633083</v>
      </c>
      <c r="BG825">
        <v>0.91</v>
      </c>
      <c r="BH825" t="s">
        <v>164</v>
      </c>
      <c r="BI825">
        <v>0.91</v>
      </c>
      <c r="BJ825" t="s">
        <v>164</v>
      </c>
      <c r="BK825" s="2">
        <f t="shared" si="25"/>
        <v>0</v>
      </c>
      <c r="BL825" t="b">
        <f t="shared" si="26"/>
        <v>1</v>
      </c>
    </row>
    <row r="826" spans="1:64" x14ac:dyDescent="0.35">
      <c r="A826" t="s">
        <v>2232</v>
      </c>
      <c r="B826" t="s">
        <v>2228</v>
      </c>
      <c r="C826">
        <v>2016</v>
      </c>
      <c r="D826" t="s">
        <v>2229</v>
      </c>
      <c r="E826" t="s">
        <v>2230</v>
      </c>
      <c r="F826" t="s">
        <v>66</v>
      </c>
      <c r="G826" t="s">
        <v>101</v>
      </c>
      <c r="H826" t="s">
        <v>365</v>
      </c>
      <c r="I826" t="s">
        <v>365</v>
      </c>
      <c r="J826" t="s">
        <v>70</v>
      </c>
      <c r="L826">
        <v>5</v>
      </c>
      <c r="M826" t="b">
        <v>1</v>
      </c>
      <c r="N826">
        <v>1</v>
      </c>
      <c r="O826">
        <v>2</v>
      </c>
      <c r="P826">
        <v>6</v>
      </c>
      <c r="Q826">
        <v>3</v>
      </c>
      <c r="R826">
        <v>3</v>
      </c>
      <c r="S826">
        <v>5</v>
      </c>
      <c r="T826">
        <v>26</v>
      </c>
      <c r="U826">
        <v>275</v>
      </c>
      <c r="V826">
        <v>121</v>
      </c>
      <c r="W826">
        <v>19</v>
      </c>
      <c r="X826">
        <v>6.3684210526315788</v>
      </c>
      <c r="Y826">
        <v>5</v>
      </c>
      <c r="Z826">
        <v>46</v>
      </c>
      <c r="AA826">
        <v>2</v>
      </c>
      <c r="AB826">
        <v>7</v>
      </c>
      <c r="AC826">
        <v>2</v>
      </c>
      <c r="AD826">
        <v>2</v>
      </c>
      <c r="AE826">
        <v>31</v>
      </c>
      <c r="AF826">
        <v>2</v>
      </c>
      <c r="AG826">
        <v>6</v>
      </c>
      <c r="AH826">
        <v>0</v>
      </c>
      <c r="AI826">
        <v>0</v>
      </c>
      <c r="AJ826">
        <v>2</v>
      </c>
      <c r="AK826">
        <v>4</v>
      </c>
      <c r="AL826">
        <v>2</v>
      </c>
      <c r="AM826">
        <v>4</v>
      </c>
      <c r="AN826">
        <v>9</v>
      </c>
      <c r="AO826">
        <v>59</v>
      </c>
      <c r="AP826">
        <v>9</v>
      </c>
      <c r="AQ826">
        <v>84</v>
      </c>
      <c r="AR826">
        <v>0.1672727272727273</v>
      </c>
      <c r="AS826">
        <v>2.5454545454545459E-2</v>
      </c>
      <c r="AT826">
        <v>0.1127272727272727</v>
      </c>
      <c r="AU826">
        <v>2.181818181818182E-2</v>
      </c>
      <c r="AV826">
        <v>0</v>
      </c>
      <c r="AW826">
        <v>1.4545454545454551E-2</v>
      </c>
      <c r="AX826">
        <v>0.21454545454545451</v>
      </c>
      <c r="AY826">
        <v>0.30545454545454548</v>
      </c>
      <c r="AZ826">
        <v>0.2</v>
      </c>
      <c r="BA826">
        <v>0.66666666666666663</v>
      </c>
      <c r="BB826">
        <v>0.89473684210526316</v>
      </c>
      <c r="BC826">
        <v>0.6</v>
      </c>
      <c r="BD826">
        <v>0.74999999999999989</v>
      </c>
      <c r="BE826">
        <v>4</v>
      </c>
      <c r="BF826">
        <v>0.72785087719298236</v>
      </c>
      <c r="BG826">
        <v>0.77</v>
      </c>
      <c r="BH826" t="s">
        <v>86</v>
      </c>
      <c r="BI826">
        <v>0.73</v>
      </c>
      <c r="BJ826" t="s">
        <v>86</v>
      </c>
      <c r="BK826" s="2">
        <f t="shared" si="25"/>
        <v>4.0000000000000036E-2</v>
      </c>
      <c r="BL826" t="b">
        <f t="shared" si="26"/>
        <v>1</v>
      </c>
    </row>
    <row r="827" spans="1:64" x14ac:dyDescent="0.35">
      <c r="A827" t="s">
        <v>2233</v>
      </c>
      <c r="B827" t="s">
        <v>2228</v>
      </c>
      <c r="C827">
        <v>2017</v>
      </c>
      <c r="D827" t="s">
        <v>2229</v>
      </c>
      <c r="E827" t="s">
        <v>2230</v>
      </c>
      <c r="F827" t="s">
        <v>66</v>
      </c>
      <c r="G827" t="s">
        <v>101</v>
      </c>
      <c r="H827" t="s">
        <v>365</v>
      </c>
      <c r="I827" t="s">
        <v>365</v>
      </c>
      <c r="J827" t="s">
        <v>70</v>
      </c>
      <c r="L827">
        <v>5</v>
      </c>
      <c r="M827" t="b">
        <v>1</v>
      </c>
      <c r="N827">
        <v>1</v>
      </c>
      <c r="O827">
        <v>1</v>
      </c>
      <c r="P827">
        <v>4</v>
      </c>
      <c r="Q827">
        <v>1</v>
      </c>
      <c r="R827">
        <v>3</v>
      </c>
      <c r="S827">
        <v>4</v>
      </c>
      <c r="T827">
        <v>10</v>
      </c>
      <c r="U827">
        <v>65</v>
      </c>
      <c r="V827">
        <v>48</v>
      </c>
      <c r="W827">
        <v>8</v>
      </c>
      <c r="X827">
        <v>6</v>
      </c>
      <c r="Y827">
        <v>3</v>
      </c>
      <c r="Z827">
        <v>16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7</v>
      </c>
      <c r="AJ827">
        <v>0</v>
      </c>
      <c r="AK827">
        <v>0</v>
      </c>
      <c r="AL827">
        <v>1</v>
      </c>
      <c r="AM827">
        <v>7</v>
      </c>
      <c r="AN827">
        <v>3</v>
      </c>
      <c r="AO827">
        <v>16</v>
      </c>
      <c r="AP827">
        <v>3</v>
      </c>
      <c r="AQ827">
        <v>16</v>
      </c>
      <c r="AR827">
        <v>0.2461538461538462</v>
      </c>
      <c r="AS827">
        <v>0</v>
      </c>
      <c r="AT827">
        <v>0</v>
      </c>
      <c r="AU827">
        <v>0</v>
      </c>
      <c r="AV827">
        <v>0.1076923076923077</v>
      </c>
      <c r="AW827">
        <v>0.1076923076923077</v>
      </c>
      <c r="AX827">
        <v>0.2461538461538462</v>
      </c>
      <c r="AY827">
        <v>0.2461538461538462</v>
      </c>
      <c r="AZ827">
        <v>0.1384615384615385</v>
      </c>
      <c r="BA827">
        <v>0.5</v>
      </c>
      <c r="BB827">
        <v>0.83333333333333337</v>
      </c>
      <c r="BC827">
        <v>0.2</v>
      </c>
      <c r="BD827">
        <v>0.71153846153846145</v>
      </c>
      <c r="BE827">
        <v>4</v>
      </c>
      <c r="BF827">
        <v>0.56121794871794872</v>
      </c>
      <c r="BG827">
        <v>0.57999999999999996</v>
      </c>
      <c r="BH827" t="s">
        <v>71</v>
      </c>
      <c r="BI827">
        <v>0.56000000000000005</v>
      </c>
      <c r="BJ827" t="s">
        <v>71</v>
      </c>
      <c r="BK827" s="2">
        <f t="shared" si="25"/>
        <v>1.9999999999999907E-2</v>
      </c>
      <c r="BL827" t="b">
        <f t="shared" si="26"/>
        <v>1</v>
      </c>
    </row>
    <row r="828" spans="1:64" x14ac:dyDescent="0.35">
      <c r="A828" t="s">
        <v>2234</v>
      </c>
      <c r="B828" t="s">
        <v>2228</v>
      </c>
      <c r="C828">
        <v>2020</v>
      </c>
      <c r="D828" t="s">
        <v>2229</v>
      </c>
      <c r="E828" t="s">
        <v>2230</v>
      </c>
      <c r="F828" t="s">
        <v>66</v>
      </c>
      <c r="G828" t="s">
        <v>101</v>
      </c>
      <c r="H828" t="s">
        <v>365</v>
      </c>
      <c r="I828" t="s">
        <v>365</v>
      </c>
      <c r="J828" t="s">
        <v>70</v>
      </c>
      <c r="L828">
        <v>5</v>
      </c>
      <c r="M828" t="b">
        <v>1</v>
      </c>
      <c r="N828">
        <v>1</v>
      </c>
      <c r="O828">
        <v>1</v>
      </c>
      <c r="P828">
        <v>6</v>
      </c>
      <c r="Q828">
        <v>2</v>
      </c>
      <c r="R828">
        <v>4</v>
      </c>
      <c r="S828">
        <v>5</v>
      </c>
      <c r="T828">
        <v>25</v>
      </c>
      <c r="U828">
        <v>514</v>
      </c>
      <c r="V828">
        <v>137</v>
      </c>
      <c r="W828">
        <v>21</v>
      </c>
      <c r="X828">
        <v>6.5238095238095237</v>
      </c>
      <c r="Y828">
        <v>5</v>
      </c>
      <c r="Z828">
        <v>141</v>
      </c>
      <c r="AA828">
        <v>0</v>
      </c>
      <c r="AB828">
        <v>0</v>
      </c>
      <c r="AC828">
        <v>3</v>
      </c>
      <c r="AD828">
        <v>3</v>
      </c>
      <c r="AE828">
        <v>76</v>
      </c>
      <c r="AF828">
        <v>2</v>
      </c>
      <c r="AG828">
        <v>59</v>
      </c>
      <c r="AH828">
        <v>2</v>
      </c>
      <c r="AI828">
        <v>3</v>
      </c>
      <c r="AJ828">
        <v>1</v>
      </c>
      <c r="AK828">
        <v>2</v>
      </c>
      <c r="AL828">
        <v>3</v>
      </c>
      <c r="AM828">
        <v>5</v>
      </c>
      <c r="AN828">
        <v>7</v>
      </c>
      <c r="AO828">
        <v>200</v>
      </c>
      <c r="AP828">
        <v>8</v>
      </c>
      <c r="AQ828">
        <v>217</v>
      </c>
      <c r="AR828">
        <v>0.27431906614785989</v>
      </c>
      <c r="AS828">
        <v>0</v>
      </c>
      <c r="AT828">
        <v>0.1478599221789883</v>
      </c>
      <c r="AU828">
        <v>0.1147859922178988</v>
      </c>
      <c r="AV828">
        <v>5.8365758754863814E-3</v>
      </c>
      <c r="AW828">
        <v>9.727626459143969E-3</v>
      </c>
      <c r="AX828">
        <v>0.38910505836575882</v>
      </c>
      <c r="AY828">
        <v>0.42217898832684819</v>
      </c>
      <c r="AZ828">
        <v>0.37937743190661483</v>
      </c>
      <c r="BA828">
        <v>0.66666666666666663</v>
      </c>
      <c r="BB828">
        <v>0.92063492063492058</v>
      </c>
      <c r="BC828">
        <v>0.53333333333333333</v>
      </c>
      <c r="BD828">
        <v>0.86211089494163418</v>
      </c>
      <c r="BE828">
        <v>4</v>
      </c>
      <c r="BF828">
        <v>0.74568645389413868</v>
      </c>
      <c r="BG828">
        <v>0.78</v>
      </c>
      <c r="BH828" t="s">
        <v>86</v>
      </c>
      <c r="BI828">
        <v>0.75</v>
      </c>
      <c r="BJ828" t="s">
        <v>86</v>
      </c>
      <c r="BK828" s="2">
        <f t="shared" si="25"/>
        <v>3.0000000000000027E-2</v>
      </c>
      <c r="BL828" t="b">
        <f t="shared" si="26"/>
        <v>1</v>
      </c>
    </row>
    <row r="829" spans="1:64" x14ac:dyDescent="0.35">
      <c r="A829" t="s">
        <v>2235</v>
      </c>
      <c r="B829" t="s">
        <v>2236</v>
      </c>
      <c r="C829">
        <v>2017</v>
      </c>
      <c r="D829" t="s">
        <v>2237</v>
      </c>
      <c r="E829" t="s">
        <v>2238</v>
      </c>
      <c r="F829" t="s">
        <v>66</v>
      </c>
      <c r="G829" t="s">
        <v>101</v>
      </c>
      <c r="H829" t="s">
        <v>365</v>
      </c>
      <c r="I829" t="s">
        <v>2239</v>
      </c>
      <c r="J829" t="s">
        <v>70</v>
      </c>
      <c r="L829">
        <v>1</v>
      </c>
      <c r="M829" t="b">
        <v>0</v>
      </c>
      <c r="N829">
        <v>1</v>
      </c>
      <c r="O829">
        <v>1</v>
      </c>
      <c r="P829">
        <v>8</v>
      </c>
      <c r="Q829">
        <v>2</v>
      </c>
      <c r="R829">
        <v>6</v>
      </c>
      <c r="S829">
        <v>5</v>
      </c>
      <c r="T829">
        <v>29</v>
      </c>
      <c r="U829">
        <v>505</v>
      </c>
      <c r="V829">
        <v>123</v>
      </c>
      <c r="W829">
        <v>22</v>
      </c>
      <c r="X829">
        <v>5.5909090909090908</v>
      </c>
      <c r="Y829">
        <v>5</v>
      </c>
      <c r="Z829">
        <v>145</v>
      </c>
      <c r="AA829">
        <v>1</v>
      </c>
      <c r="AB829">
        <v>12</v>
      </c>
      <c r="AC829">
        <v>4</v>
      </c>
      <c r="AD829">
        <v>4</v>
      </c>
      <c r="AE829">
        <v>19</v>
      </c>
      <c r="AF829">
        <v>2</v>
      </c>
      <c r="AG829">
        <v>51</v>
      </c>
      <c r="AH829">
        <v>1</v>
      </c>
      <c r="AI829">
        <v>43</v>
      </c>
      <c r="AJ829">
        <v>1</v>
      </c>
      <c r="AK829">
        <v>11</v>
      </c>
      <c r="AL829">
        <v>2</v>
      </c>
      <c r="AM829">
        <v>54</v>
      </c>
      <c r="AN829">
        <v>8</v>
      </c>
      <c r="AO829">
        <v>208</v>
      </c>
      <c r="AP829">
        <v>10</v>
      </c>
      <c r="AQ829">
        <v>176</v>
      </c>
      <c r="AR829">
        <v>0.28712871287128711</v>
      </c>
      <c r="AS829">
        <v>2.3762376237623759E-2</v>
      </c>
      <c r="AT829">
        <v>3.7623762376237622E-2</v>
      </c>
      <c r="AU829">
        <v>0.100990099009901</v>
      </c>
      <c r="AV829">
        <v>8.5148514851485155E-2</v>
      </c>
      <c r="AW829">
        <v>0.1069306930693069</v>
      </c>
      <c r="AX829">
        <v>0.41188118811881191</v>
      </c>
      <c r="AY829">
        <v>0.34851485148514849</v>
      </c>
      <c r="AZ829">
        <v>0.30495049504950489</v>
      </c>
      <c r="BA829">
        <v>0.66666666666666663</v>
      </c>
      <c r="BB829">
        <v>0.76515151515151514</v>
      </c>
      <c r="BC829">
        <v>0.66666666666666663</v>
      </c>
      <c r="BD829">
        <v>0.81559405940594043</v>
      </c>
      <c r="BE829">
        <v>4</v>
      </c>
      <c r="BF829">
        <v>0.72851972697269718</v>
      </c>
      <c r="BG829">
        <v>0.8</v>
      </c>
      <c r="BH829" t="s">
        <v>164</v>
      </c>
      <c r="BI829">
        <v>0.73</v>
      </c>
      <c r="BJ829" t="s">
        <v>86</v>
      </c>
      <c r="BK829" s="2">
        <f t="shared" si="25"/>
        <v>7.0000000000000062E-2</v>
      </c>
      <c r="BL829" t="b">
        <f t="shared" si="26"/>
        <v>0</v>
      </c>
    </row>
    <row r="830" spans="1:64" x14ac:dyDescent="0.35">
      <c r="A830" t="s">
        <v>2240</v>
      </c>
      <c r="B830" t="s">
        <v>2236</v>
      </c>
      <c r="C830">
        <v>2020</v>
      </c>
      <c r="D830" t="s">
        <v>2237</v>
      </c>
      <c r="E830" t="s">
        <v>2238</v>
      </c>
      <c r="F830" t="s">
        <v>66</v>
      </c>
      <c r="G830" t="s">
        <v>101</v>
      </c>
      <c r="H830" t="s">
        <v>365</v>
      </c>
      <c r="I830" t="s">
        <v>2239</v>
      </c>
      <c r="J830" t="s">
        <v>70</v>
      </c>
      <c r="L830">
        <v>1</v>
      </c>
      <c r="M830" t="b">
        <v>0</v>
      </c>
      <c r="N830">
        <v>1</v>
      </c>
      <c r="O830">
        <v>2</v>
      </c>
      <c r="P830">
        <v>7</v>
      </c>
      <c r="Q830">
        <v>2</v>
      </c>
      <c r="R830">
        <v>5</v>
      </c>
      <c r="S830">
        <v>6</v>
      </c>
      <c r="T830">
        <v>21</v>
      </c>
      <c r="U830">
        <v>106</v>
      </c>
      <c r="V830">
        <v>123</v>
      </c>
      <c r="W830">
        <v>20</v>
      </c>
      <c r="X830">
        <v>6.15</v>
      </c>
      <c r="Y830">
        <v>4</v>
      </c>
      <c r="Z830">
        <v>25</v>
      </c>
      <c r="AA830">
        <v>0</v>
      </c>
      <c r="AB830">
        <v>0</v>
      </c>
      <c r="AC830">
        <v>1</v>
      </c>
      <c r="AD830">
        <v>1</v>
      </c>
      <c r="AE830">
        <v>6</v>
      </c>
      <c r="AF830">
        <v>1</v>
      </c>
      <c r="AG830">
        <v>5</v>
      </c>
      <c r="AH830">
        <v>2</v>
      </c>
      <c r="AI830">
        <v>17</v>
      </c>
      <c r="AJ830">
        <v>2</v>
      </c>
      <c r="AK830">
        <v>7</v>
      </c>
      <c r="AL830">
        <v>4</v>
      </c>
      <c r="AM830">
        <v>24</v>
      </c>
      <c r="AN830">
        <v>5</v>
      </c>
      <c r="AO830">
        <v>30</v>
      </c>
      <c r="AP830">
        <v>5</v>
      </c>
      <c r="AQ830">
        <v>31</v>
      </c>
      <c r="AR830">
        <v>0.23584905660377359</v>
      </c>
      <c r="AS830">
        <v>0</v>
      </c>
      <c r="AT830">
        <v>5.6603773584905662E-2</v>
      </c>
      <c r="AU830">
        <v>4.716981132075472E-2</v>
      </c>
      <c r="AV830">
        <v>0.160377358490566</v>
      </c>
      <c r="AW830">
        <v>0.22641509433962259</v>
      </c>
      <c r="AX830">
        <v>0.28301886792452829</v>
      </c>
      <c r="AY830">
        <v>0.29245283018867918</v>
      </c>
      <c r="AZ830">
        <v>5.6603773584905648E-2</v>
      </c>
      <c r="BA830">
        <v>0.83333333333333337</v>
      </c>
      <c r="BB830">
        <v>0.85833333333333339</v>
      </c>
      <c r="BC830">
        <v>0.33333333333333331</v>
      </c>
      <c r="BD830">
        <v>0.660377358490566</v>
      </c>
      <c r="BE830">
        <v>4</v>
      </c>
      <c r="BF830">
        <v>0.67134433962264151</v>
      </c>
      <c r="BG830">
        <v>0.7</v>
      </c>
      <c r="BH830" t="s">
        <v>86</v>
      </c>
      <c r="BI830">
        <v>0.67</v>
      </c>
      <c r="BJ830" t="s">
        <v>86</v>
      </c>
      <c r="BK830" s="2">
        <f t="shared" si="25"/>
        <v>2.9999999999999916E-2</v>
      </c>
      <c r="BL830" t="b">
        <f t="shared" si="26"/>
        <v>1</v>
      </c>
    </row>
    <row r="831" spans="1:64" x14ac:dyDescent="0.35">
      <c r="A831" t="s">
        <v>2241</v>
      </c>
      <c r="B831" t="s">
        <v>2242</v>
      </c>
      <c r="C831">
        <v>2014</v>
      </c>
      <c r="D831" t="s">
        <v>2243</v>
      </c>
      <c r="E831" t="s">
        <v>2244</v>
      </c>
      <c r="F831" t="s">
        <v>66</v>
      </c>
      <c r="G831" t="s">
        <v>101</v>
      </c>
      <c r="H831" t="s">
        <v>170</v>
      </c>
      <c r="I831" t="s">
        <v>170</v>
      </c>
      <c r="J831" t="s">
        <v>70</v>
      </c>
      <c r="L831">
        <v>1</v>
      </c>
      <c r="M831" t="b">
        <v>0</v>
      </c>
      <c r="N831">
        <v>1</v>
      </c>
      <c r="O831">
        <v>1</v>
      </c>
      <c r="P831">
        <v>10</v>
      </c>
      <c r="Q831">
        <v>5</v>
      </c>
      <c r="R831">
        <v>5</v>
      </c>
      <c r="S831">
        <v>5</v>
      </c>
      <c r="T831">
        <v>34</v>
      </c>
      <c r="U831">
        <v>882</v>
      </c>
      <c r="V831">
        <v>161</v>
      </c>
      <c r="W831">
        <v>26</v>
      </c>
      <c r="X831">
        <v>6.1923076923076934</v>
      </c>
      <c r="Y831">
        <v>3</v>
      </c>
      <c r="Z831">
        <v>104</v>
      </c>
      <c r="AA831">
        <v>0</v>
      </c>
      <c r="AB831">
        <v>0</v>
      </c>
      <c r="AC831">
        <v>2</v>
      </c>
      <c r="AD831">
        <v>2</v>
      </c>
      <c r="AE831">
        <v>7</v>
      </c>
      <c r="AF831">
        <v>2</v>
      </c>
      <c r="AG831">
        <v>3</v>
      </c>
      <c r="AH831">
        <v>2</v>
      </c>
      <c r="AI831">
        <v>694</v>
      </c>
      <c r="AJ831">
        <v>3</v>
      </c>
      <c r="AK831">
        <v>14</v>
      </c>
      <c r="AL831">
        <v>5</v>
      </c>
      <c r="AM831">
        <v>708</v>
      </c>
      <c r="AN831">
        <v>5</v>
      </c>
      <c r="AO831">
        <v>107</v>
      </c>
      <c r="AP831">
        <v>5</v>
      </c>
      <c r="AQ831">
        <v>111</v>
      </c>
      <c r="AR831">
        <v>0.1179138321995465</v>
      </c>
      <c r="AS831">
        <v>0</v>
      </c>
      <c r="AT831">
        <v>7.9365079365079361E-3</v>
      </c>
      <c r="AU831">
        <v>3.4013605442176869E-3</v>
      </c>
      <c r="AV831">
        <v>0.78684807256235823</v>
      </c>
      <c r="AW831">
        <v>0.80272108843537415</v>
      </c>
      <c r="AX831">
        <v>0.12131519274376421</v>
      </c>
      <c r="AY831">
        <v>0.12585034013605439</v>
      </c>
      <c r="AZ831">
        <v>-0.68140589569161003</v>
      </c>
      <c r="BA831">
        <v>0.66666666666666663</v>
      </c>
      <c r="BB831">
        <v>0.86538461538461553</v>
      </c>
      <c r="BC831">
        <v>0.33333333333333331</v>
      </c>
      <c r="BD831">
        <v>0.1991213151927437</v>
      </c>
      <c r="BE831">
        <v>4</v>
      </c>
      <c r="BF831">
        <v>0.5161264826443398</v>
      </c>
      <c r="BG831">
        <v>0.63</v>
      </c>
      <c r="BH831" t="s">
        <v>86</v>
      </c>
      <c r="BI831">
        <v>0.52</v>
      </c>
      <c r="BJ831" t="s">
        <v>71</v>
      </c>
      <c r="BK831" s="2">
        <f t="shared" si="25"/>
        <v>0.10999999999999999</v>
      </c>
      <c r="BL831" t="b">
        <f t="shared" si="26"/>
        <v>0</v>
      </c>
    </row>
    <row r="832" spans="1:64" x14ac:dyDescent="0.35">
      <c r="A832" t="s">
        <v>2245</v>
      </c>
      <c r="B832" t="s">
        <v>2242</v>
      </c>
      <c r="C832">
        <v>2020</v>
      </c>
      <c r="D832" t="s">
        <v>2243</v>
      </c>
      <c r="E832" t="s">
        <v>2244</v>
      </c>
      <c r="F832" t="s">
        <v>66</v>
      </c>
      <c r="G832" t="s">
        <v>101</v>
      </c>
      <c r="H832" t="s">
        <v>170</v>
      </c>
      <c r="I832" t="s">
        <v>170</v>
      </c>
      <c r="J832" t="s">
        <v>70</v>
      </c>
      <c r="L832">
        <v>1</v>
      </c>
      <c r="M832" t="b">
        <v>0</v>
      </c>
      <c r="N832">
        <v>1</v>
      </c>
      <c r="O832">
        <v>2</v>
      </c>
      <c r="P832">
        <v>7</v>
      </c>
      <c r="Q832">
        <v>2</v>
      </c>
      <c r="R832">
        <v>5</v>
      </c>
      <c r="S832">
        <v>6</v>
      </c>
      <c r="T832">
        <v>24</v>
      </c>
      <c r="U832">
        <v>507</v>
      </c>
      <c r="V832">
        <v>118</v>
      </c>
      <c r="W832">
        <v>21</v>
      </c>
      <c r="X832">
        <v>5.6190476190476186</v>
      </c>
      <c r="Y832">
        <v>4</v>
      </c>
      <c r="Z832">
        <v>68</v>
      </c>
      <c r="AA832">
        <v>0</v>
      </c>
      <c r="AB832">
        <v>0</v>
      </c>
      <c r="AC832">
        <v>1</v>
      </c>
      <c r="AD832">
        <v>1</v>
      </c>
      <c r="AE832">
        <v>19</v>
      </c>
      <c r="AF832">
        <v>1</v>
      </c>
      <c r="AG832">
        <v>1</v>
      </c>
      <c r="AH832">
        <v>2</v>
      </c>
      <c r="AI832">
        <v>302</v>
      </c>
      <c r="AJ832">
        <v>1</v>
      </c>
      <c r="AK832">
        <v>2</v>
      </c>
      <c r="AL832">
        <v>3</v>
      </c>
      <c r="AM832">
        <v>304</v>
      </c>
      <c r="AN832">
        <v>5</v>
      </c>
      <c r="AO832">
        <v>69</v>
      </c>
      <c r="AP832">
        <v>5</v>
      </c>
      <c r="AQ832">
        <v>87</v>
      </c>
      <c r="AR832">
        <v>0.13412228796844181</v>
      </c>
      <c r="AS832">
        <v>0</v>
      </c>
      <c r="AT832">
        <v>3.7475345167652857E-2</v>
      </c>
      <c r="AU832">
        <v>1.9723865877712028E-3</v>
      </c>
      <c r="AV832">
        <v>0.5956607495069034</v>
      </c>
      <c r="AW832">
        <v>0.59960552268244571</v>
      </c>
      <c r="AX832">
        <v>0.13609467455621299</v>
      </c>
      <c r="AY832">
        <v>0.17159763313609469</v>
      </c>
      <c r="AZ832">
        <v>-0.46351084812623272</v>
      </c>
      <c r="BA832">
        <v>0.83333333333333337</v>
      </c>
      <c r="BB832">
        <v>0.76984126984126977</v>
      </c>
      <c r="BC832">
        <v>0.33333333333333331</v>
      </c>
      <c r="BD832">
        <v>0.33530571992110458</v>
      </c>
      <c r="BE832">
        <v>4</v>
      </c>
      <c r="BF832">
        <v>0.5679534141072603</v>
      </c>
      <c r="BG832">
        <v>0.68</v>
      </c>
      <c r="BH832" t="s">
        <v>86</v>
      </c>
      <c r="BI832">
        <v>0.56999999999999995</v>
      </c>
      <c r="BJ832" t="s">
        <v>71</v>
      </c>
      <c r="BK832" s="2">
        <f t="shared" si="25"/>
        <v>0.1100000000000001</v>
      </c>
      <c r="BL832" t="b">
        <f t="shared" si="26"/>
        <v>0</v>
      </c>
    </row>
    <row r="833" spans="1:64" x14ac:dyDescent="0.35">
      <c r="A833" t="s">
        <v>2246</v>
      </c>
      <c r="B833" t="s">
        <v>2247</v>
      </c>
      <c r="C833">
        <v>2018</v>
      </c>
      <c r="D833" t="s">
        <v>2248</v>
      </c>
      <c r="E833" t="s">
        <v>2249</v>
      </c>
      <c r="F833" t="s">
        <v>66</v>
      </c>
      <c r="G833" t="s">
        <v>101</v>
      </c>
      <c r="H833" t="s">
        <v>170</v>
      </c>
      <c r="I833" t="s">
        <v>1854</v>
      </c>
      <c r="J833" t="s">
        <v>70</v>
      </c>
      <c r="L833">
        <v>1</v>
      </c>
      <c r="M833" t="b">
        <v>0</v>
      </c>
      <c r="N833">
        <v>2</v>
      </c>
      <c r="O833">
        <v>1</v>
      </c>
      <c r="P833">
        <v>2</v>
      </c>
      <c r="Q833">
        <v>2</v>
      </c>
      <c r="R833">
        <v>0</v>
      </c>
      <c r="S833">
        <v>4</v>
      </c>
      <c r="T833">
        <v>14</v>
      </c>
      <c r="U833">
        <v>36</v>
      </c>
      <c r="V833">
        <v>54</v>
      </c>
      <c r="W833">
        <v>12</v>
      </c>
      <c r="X833">
        <v>4.5</v>
      </c>
      <c r="Y833">
        <v>1</v>
      </c>
      <c r="Z833">
        <v>1</v>
      </c>
      <c r="AA833">
        <v>0</v>
      </c>
      <c r="AB833">
        <v>0</v>
      </c>
      <c r="AC833">
        <v>1</v>
      </c>
      <c r="AD833">
        <v>1</v>
      </c>
      <c r="AE833">
        <v>6</v>
      </c>
      <c r="AF833">
        <v>1</v>
      </c>
      <c r="AG833">
        <v>2</v>
      </c>
      <c r="AH833">
        <v>1</v>
      </c>
      <c r="AI833">
        <v>1</v>
      </c>
      <c r="AJ833">
        <v>0</v>
      </c>
      <c r="AK833">
        <v>0</v>
      </c>
      <c r="AL833">
        <v>1</v>
      </c>
      <c r="AM833">
        <v>1</v>
      </c>
      <c r="AN833">
        <v>2</v>
      </c>
      <c r="AO833">
        <v>3</v>
      </c>
      <c r="AP833">
        <v>2</v>
      </c>
      <c r="AQ833">
        <v>7</v>
      </c>
      <c r="AR833">
        <v>2.777777777777778E-2</v>
      </c>
      <c r="AS833">
        <v>0</v>
      </c>
      <c r="AT833">
        <v>0.16666666666666671</v>
      </c>
      <c r="AU833">
        <v>5.5555555555555552E-2</v>
      </c>
      <c r="AV833">
        <v>2.777777777777778E-2</v>
      </c>
      <c r="AW833">
        <v>2.777777777777778E-2</v>
      </c>
      <c r="AX833">
        <v>8.3333333333333329E-2</v>
      </c>
      <c r="AY833">
        <v>0.19444444444444439</v>
      </c>
      <c r="AZ833">
        <v>5.5555555555555552E-2</v>
      </c>
      <c r="BA833">
        <v>0.5</v>
      </c>
      <c r="BB833">
        <v>0.58333333333333337</v>
      </c>
      <c r="BC833">
        <v>0.1333333333333333</v>
      </c>
      <c r="BD833">
        <v>0.65972222222222221</v>
      </c>
      <c r="BE833">
        <v>4</v>
      </c>
      <c r="BF833">
        <v>0.46909722222222222</v>
      </c>
      <c r="BG833">
        <v>0.47</v>
      </c>
      <c r="BH833" t="s">
        <v>71</v>
      </c>
      <c r="BI833">
        <v>0.47</v>
      </c>
      <c r="BJ833" t="s">
        <v>71</v>
      </c>
      <c r="BK833" s="2">
        <f t="shared" si="25"/>
        <v>0</v>
      </c>
      <c r="BL833" t="b">
        <f t="shared" si="26"/>
        <v>1</v>
      </c>
    </row>
    <row r="834" spans="1:64" x14ac:dyDescent="0.35">
      <c r="A834" t="s">
        <v>2250</v>
      </c>
      <c r="B834" t="s">
        <v>2251</v>
      </c>
      <c r="C834">
        <v>2017</v>
      </c>
      <c r="D834" t="s">
        <v>2252</v>
      </c>
      <c r="E834" t="s">
        <v>2253</v>
      </c>
      <c r="F834" t="s">
        <v>66</v>
      </c>
      <c r="G834" t="s">
        <v>67</v>
      </c>
      <c r="H834" t="s">
        <v>84</v>
      </c>
      <c r="I834" t="s">
        <v>2254</v>
      </c>
      <c r="J834" t="s">
        <v>70</v>
      </c>
      <c r="L834">
        <v>1</v>
      </c>
      <c r="M834" t="b">
        <v>0</v>
      </c>
      <c r="N834">
        <v>1</v>
      </c>
      <c r="O834">
        <v>3</v>
      </c>
      <c r="P834">
        <v>9</v>
      </c>
      <c r="Q834">
        <v>3</v>
      </c>
      <c r="R834">
        <v>6</v>
      </c>
      <c r="S834">
        <v>6</v>
      </c>
      <c r="T834">
        <v>30</v>
      </c>
      <c r="U834">
        <v>376</v>
      </c>
      <c r="V834">
        <v>105</v>
      </c>
      <c r="W834">
        <v>18</v>
      </c>
      <c r="X834">
        <v>5.833333333333333</v>
      </c>
      <c r="Y834">
        <v>1</v>
      </c>
      <c r="Z834">
        <v>19</v>
      </c>
      <c r="AA834">
        <v>2</v>
      </c>
      <c r="AB834">
        <v>2</v>
      </c>
      <c r="AC834">
        <v>2</v>
      </c>
      <c r="AD834">
        <v>2</v>
      </c>
      <c r="AE834">
        <v>29</v>
      </c>
      <c r="AF834">
        <v>0</v>
      </c>
      <c r="AG834">
        <v>0</v>
      </c>
      <c r="AH834">
        <v>1</v>
      </c>
      <c r="AI834">
        <v>14</v>
      </c>
      <c r="AJ834">
        <v>0</v>
      </c>
      <c r="AK834">
        <v>0</v>
      </c>
      <c r="AL834">
        <v>1</v>
      </c>
      <c r="AM834">
        <v>14</v>
      </c>
      <c r="AN834">
        <v>3</v>
      </c>
      <c r="AO834">
        <v>21</v>
      </c>
      <c r="AP834">
        <v>5</v>
      </c>
      <c r="AQ834">
        <v>50</v>
      </c>
      <c r="AR834">
        <v>5.0531914893617018E-2</v>
      </c>
      <c r="AS834">
        <v>5.3191489361702126E-3</v>
      </c>
      <c r="AT834">
        <v>7.7127659574468085E-2</v>
      </c>
      <c r="AU834">
        <v>0</v>
      </c>
      <c r="AV834">
        <v>3.7234042553191488E-2</v>
      </c>
      <c r="AW834">
        <v>3.7234042553191488E-2</v>
      </c>
      <c r="AX834">
        <v>5.5851063829787231E-2</v>
      </c>
      <c r="AY834">
        <v>0.13297872340425529</v>
      </c>
      <c r="AZ834">
        <v>1.861702127659574E-2</v>
      </c>
      <c r="BA834">
        <v>0.83333333333333337</v>
      </c>
      <c r="BB834">
        <v>0.80555555555555547</v>
      </c>
      <c r="BC834">
        <v>0.33333333333333331</v>
      </c>
      <c r="BD834">
        <v>0.63663563829787229</v>
      </c>
      <c r="BE834">
        <v>4</v>
      </c>
      <c r="BF834">
        <v>0.65221446513002357</v>
      </c>
      <c r="BG834">
        <v>0.66</v>
      </c>
      <c r="BH834" t="s">
        <v>86</v>
      </c>
      <c r="BI834">
        <v>0.65</v>
      </c>
      <c r="BJ834" t="s">
        <v>86</v>
      </c>
      <c r="BK834" s="2">
        <f t="shared" si="25"/>
        <v>1.0000000000000009E-2</v>
      </c>
      <c r="BL834" t="b">
        <f t="shared" si="26"/>
        <v>1</v>
      </c>
    </row>
    <row r="835" spans="1:64" x14ac:dyDescent="0.35">
      <c r="A835" t="s">
        <v>2255</v>
      </c>
      <c r="B835" t="s">
        <v>2251</v>
      </c>
      <c r="C835">
        <v>2022</v>
      </c>
      <c r="D835" t="s">
        <v>2252</v>
      </c>
      <c r="E835" t="s">
        <v>2253</v>
      </c>
      <c r="F835" t="s">
        <v>66</v>
      </c>
      <c r="G835" t="s">
        <v>67</v>
      </c>
      <c r="H835" t="s">
        <v>84</v>
      </c>
      <c r="I835" t="s">
        <v>2254</v>
      </c>
      <c r="J835" t="s">
        <v>70</v>
      </c>
      <c r="L835">
        <v>1</v>
      </c>
      <c r="M835" t="b">
        <v>0</v>
      </c>
      <c r="N835">
        <v>3</v>
      </c>
      <c r="O835">
        <v>2</v>
      </c>
      <c r="P835">
        <v>8</v>
      </c>
      <c r="Q835">
        <v>3</v>
      </c>
      <c r="R835">
        <v>5</v>
      </c>
      <c r="S835">
        <v>4</v>
      </c>
      <c r="T835">
        <v>32</v>
      </c>
      <c r="U835">
        <v>321</v>
      </c>
      <c r="V835">
        <v>150</v>
      </c>
      <c r="W835">
        <v>27</v>
      </c>
      <c r="X835">
        <v>5.5555555555555554</v>
      </c>
      <c r="Y835">
        <v>3</v>
      </c>
      <c r="Z835">
        <v>79</v>
      </c>
      <c r="AA835">
        <v>0</v>
      </c>
      <c r="AB835">
        <v>0</v>
      </c>
      <c r="AC835">
        <v>2</v>
      </c>
      <c r="AD835">
        <v>2</v>
      </c>
      <c r="AE835">
        <v>8</v>
      </c>
      <c r="AF835">
        <v>3</v>
      </c>
      <c r="AG835">
        <v>8</v>
      </c>
      <c r="AH835">
        <v>2</v>
      </c>
      <c r="AI835">
        <v>124</v>
      </c>
      <c r="AJ835">
        <v>1</v>
      </c>
      <c r="AK835">
        <v>4</v>
      </c>
      <c r="AL835">
        <v>3</v>
      </c>
      <c r="AM835">
        <v>128</v>
      </c>
      <c r="AN835">
        <v>6</v>
      </c>
      <c r="AO835">
        <v>87</v>
      </c>
      <c r="AP835">
        <v>5</v>
      </c>
      <c r="AQ835">
        <v>87</v>
      </c>
      <c r="AR835">
        <v>0.24610591900311529</v>
      </c>
      <c r="AS835">
        <v>0</v>
      </c>
      <c r="AT835">
        <v>2.4922118380062301E-2</v>
      </c>
      <c r="AU835">
        <v>2.4922118380062301E-2</v>
      </c>
      <c r="AV835">
        <v>0.38629283489096572</v>
      </c>
      <c r="AW835">
        <v>0.39875389408099687</v>
      </c>
      <c r="AX835">
        <v>0.27102803738317749</v>
      </c>
      <c r="AY835">
        <v>0.27102803738317749</v>
      </c>
      <c r="AZ835">
        <v>-0.1277258566978193</v>
      </c>
      <c r="BA835">
        <v>0.5</v>
      </c>
      <c r="BB835">
        <v>0.75925925925925919</v>
      </c>
      <c r="BC835">
        <v>0.33333333333333331</v>
      </c>
      <c r="BD835">
        <v>0.54517133956386288</v>
      </c>
      <c r="BE835">
        <v>4</v>
      </c>
      <c r="BF835">
        <v>0.5344409830391138</v>
      </c>
      <c r="BG835">
        <v>0.59</v>
      </c>
      <c r="BH835" t="s">
        <v>71</v>
      </c>
      <c r="BI835">
        <v>0.53</v>
      </c>
      <c r="BJ835" t="s">
        <v>71</v>
      </c>
      <c r="BK835" s="2">
        <f t="shared" ref="BK835:BK898" si="27">BG835-BI835</f>
        <v>5.9999999999999942E-2</v>
      </c>
      <c r="BL835" t="b">
        <f t="shared" ref="BL835:BL898" si="28">EXACT(BH835,BJ835)</f>
        <v>1</v>
      </c>
    </row>
    <row r="836" spans="1:64" x14ac:dyDescent="0.35">
      <c r="A836" t="s">
        <v>2256</v>
      </c>
      <c r="B836" t="s">
        <v>2257</v>
      </c>
      <c r="C836">
        <v>2015</v>
      </c>
      <c r="D836" t="s">
        <v>2258</v>
      </c>
      <c r="E836" t="s">
        <v>2259</v>
      </c>
      <c r="F836" t="s">
        <v>66</v>
      </c>
      <c r="G836" t="s">
        <v>101</v>
      </c>
      <c r="H836" t="s">
        <v>170</v>
      </c>
      <c r="I836" t="s">
        <v>2260</v>
      </c>
      <c r="J836" t="s">
        <v>70</v>
      </c>
      <c r="L836">
        <v>3</v>
      </c>
      <c r="M836" t="b">
        <v>0</v>
      </c>
      <c r="N836">
        <v>4</v>
      </c>
      <c r="O836">
        <v>1</v>
      </c>
      <c r="P836">
        <v>1</v>
      </c>
      <c r="Q836">
        <v>2</v>
      </c>
      <c r="R836">
        <v>-1</v>
      </c>
      <c r="S836">
        <v>3</v>
      </c>
      <c r="T836">
        <v>11</v>
      </c>
      <c r="U836">
        <v>67</v>
      </c>
      <c r="V836">
        <v>32</v>
      </c>
      <c r="W836">
        <v>9</v>
      </c>
      <c r="X836">
        <v>3.5555555555555549</v>
      </c>
      <c r="Y836">
        <v>1</v>
      </c>
      <c r="Z836">
        <v>4</v>
      </c>
      <c r="AA836">
        <v>0</v>
      </c>
      <c r="AB836">
        <v>0</v>
      </c>
      <c r="AC836">
        <v>1</v>
      </c>
      <c r="AD836">
        <v>1</v>
      </c>
      <c r="AE836">
        <v>13</v>
      </c>
      <c r="AF836">
        <v>1</v>
      </c>
      <c r="AG836">
        <v>2</v>
      </c>
      <c r="AH836">
        <v>1</v>
      </c>
      <c r="AI836">
        <v>9</v>
      </c>
      <c r="AJ836">
        <v>1</v>
      </c>
      <c r="AK836">
        <v>1</v>
      </c>
      <c r="AL836">
        <v>2</v>
      </c>
      <c r="AM836">
        <v>10</v>
      </c>
      <c r="AN836">
        <v>2</v>
      </c>
      <c r="AO836">
        <v>6</v>
      </c>
      <c r="AP836">
        <v>2</v>
      </c>
      <c r="AQ836">
        <v>17</v>
      </c>
      <c r="AR836">
        <v>5.9701492537313432E-2</v>
      </c>
      <c r="AS836">
        <v>0</v>
      </c>
      <c r="AT836">
        <v>0.19402985074626869</v>
      </c>
      <c r="AU836">
        <v>2.9850746268656719E-2</v>
      </c>
      <c r="AV836">
        <v>0.1343283582089552</v>
      </c>
      <c r="AW836">
        <v>0.1492537313432836</v>
      </c>
      <c r="AX836">
        <v>8.9552238805970144E-2</v>
      </c>
      <c r="AY836">
        <v>0.2537313432835821</v>
      </c>
      <c r="AZ836">
        <v>-5.9701492537313418E-2</v>
      </c>
      <c r="BA836">
        <v>0.33333333333333331</v>
      </c>
      <c r="BB836">
        <v>0.42592592592592582</v>
      </c>
      <c r="BC836">
        <v>0.1333333333333333</v>
      </c>
      <c r="BD836">
        <v>0.58768656716417911</v>
      </c>
      <c r="BE836">
        <v>4</v>
      </c>
      <c r="BF836">
        <v>0.37006978993919287</v>
      </c>
      <c r="BG836">
        <v>0.39</v>
      </c>
      <c r="BH836" t="s">
        <v>104</v>
      </c>
      <c r="BI836">
        <v>0.37</v>
      </c>
      <c r="BJ836" t="s">
        <v>104</v>
      </c>
      <c r="BK836" s="2">
        <f t="shared" si="27"/>
        <v>2.0000000000000018E-2</v>
      </c>
      <c r="BL836" t="b">
        <f t="shared" si="28"/>
        <v>1</v>
      </c>
    </row>
    <row r="837" spans="1:64" x14ac:dyDescent="0.35">
      <c r="A837" t="s">
        <v>2261</v>
      </c>
      <c r="B837" t="s">
        <v>2257</v>
      </c>
      <c r="C837">
        <v>2018</v>
      </c>
      <c r="D837" t="s">
        <v>2258</v>
      </c>
      <c r="E837" t="s">
        <v>2259</v>
      </c>
      <c r="F837" t="s">
        <v>66</v>
      </c>
      <c r="G837" t="s">
        <v>101</v>
      </c>
      <c r="H837" t="s">
        <v>170</v>
      </c>
      <c r="I837" t="s">
        <v>2260</v>
      </c>
      <c r="J837" t="s">
        <v>70</v>
      </c>
      <c r="L837">
        <v>3</v>
      </c>
      <c r="M837" t="b">
        <v>0</v>
      </c>
      <c r="N837">
        <v>4</v>
      </c>
      <c r="O837">
        <v>2</v>
      </c>
      <c r="P837">
        <v>2</v>
      </c>
      <c r="Q837">
        <v>2</v>
      </c>
      <c r="R837">
        <v>0</v>
      </c>
      <c r="S837">
        <v>3</v>
      </c>
      <c r="T837">
        <v>10</v>
      </c>
      <c r="U837">
        <v>100</v>
      </c>
      <c r="V837">
        <v>29</v>
      </c>
      <c r="W837">
        <v>8</v>
      </c>
      <c r="X837">
        <v>3.625</v>
      </c>
      <c r="Y837">
        <v>1</v>
      </c>
      <c r="Z837">
        <v>19</v>
      </c>
      <c r="AA837">
        <v>0</v>
      </c>
      <c r="AB837">
        <v>0</v>
      </c>
      <c r="AC837">
        <v>1</v>
      </c>
      <c r="AD837">
        <v>1</v>
      </c>
      <c r="AE837">
        <v>5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19</v>
      </c>
      <c r="AP837">
        <v>2</v>
      </c>
      <c r="AQ837">
        <v>24</v>
      </c>
      <c r="AR837">
        <v>0.19</v>
      </c>
      <c r="AS837">
        <v>0</v>
      </c>
      <c r="AT837">
        <v>0.05</v>
      </c>
      <c r="AU837">
        <v>0</v>
      </c>
      <c r="AV837">
        <v>0</v>
      </c>
      <c r="AW837">
        <v>0</v>
      </c>
      <c r="AX837">
        <v>0.19</v>
      </c>
      <c r="AY837">
        <v>0.24</v>
      </c>
      <c r="AZ837">
        <v>0.19</v>
      </c>
      <c r="BA837">
        <v>0.33333333333333331</v>
      </c>
      <c r="BB837">
        <v>0.4375</v>
      </c>
      <c r="BC837">
        <v>0.1333333333333333</v>
      </c>
      <c r="BD837">
        <v>0.74374999999999991</v>
      </c>
      <c r="BE837">
        <v>4</v>
      </c>
      <c r="BF837">
        <v>0.41197916666666662</v>
      </c>
      <c r="BG837">
        <v>0.41</v>
      </c>
      <c r="BH837" t="s">
        <v>71</v>
      </c>
      <c r="BI837">
        <v>0.41</v>
      </c>
      <c r="BJ837" t="s">
        <v>71</v>
      </c>
      <c r="BK837" s="2">
        <f t="shared" si="27"/>
        <v>0</v>
      </c>
      <c r="BL837" t="b">
        <f t="shared" si="28"/>
        <v>1</v>
      </c>
    </row>
    <row r="838" spans="1:64" x14ac:dyDescent="0.35">
      <c r="A838" t="s">
        <v>2262</v>
      </c>
      <c r="B838" t="s">
        <v>2257</v>
      </c>
      <c r="C838">
        <v>2021</v>
      </c>
      <c r="D838" t="s">
        <v>2258</v>
      </c>
      <c r="E838" t="s">
        <v>2259</v>
      </c>
      <c r="F838" t="s">
        <v>66</v>
      </c>
      <c r="G838" t="s">
        <v>101</v>
      </c>
      <c r="H838" t="s">
        <v>170</v>
      </c>
      <c r="I838" t="s">
        <v>2260</v>
      </c>
      <c r="J838" t="s">
        <v>70</v>
      </c>
      <c r="L838">
        <v>3</v>
      </c>
      <c r="M838" t="b">
        <v>0</v>
      </c>
      <c r="N838">
        <v>5</v>
      </c>
      <c r="O838">
        <v>1</v>
      </c>
      <c r="P838">
        <v>1</v>
      </c>
      <c r="Q838">
        <v>0</v>
      </c>
      <c r="R838">
        <v>1</v>
      </c>
      <c r="S838">
        <v>2</v>
      </c>
      <c r="T838">
        <v>13</v>
      </c>
      <c r="U838">
        <v>49</v>
      </c>
      <c r="V838">
        <v>40</v>
      </c>
      <c r="W838">
        <v>10</v>
      </c>
      <c r="X838">
        <v>4</v>
      </c>
      <c r="Y838">
        <v>1</v>
      </c>
      <c r="Z838">
        <v>1</v>
      </c>
      <c r="AA838">
        <v>0</v>
      </c>
      <c r="AB838">
        <v>0</v>
      </c>
      <c r="AC838">
        <v>2</v>
      </c>
      <c r="AD838">
        <v>2</v>
      </c>
      <c r="AE838">
        <v>15</v>
      </c>
      <c r="AF838">
        <v>1</v>
      </c>
      <c r="AG838">
        <v>2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2</v>
      </c>
      <c r="AO838">
        <v>3</v>
      </c>
      <c r="AP838">
        <v>3</v>
      </c>
      <c r="AQ838">
        <v>16</v>
      </c>
      <c r="AR838">
        <v>2.0408163265306121E-2</v>
      </c>
      <c r="AS838">
        <v>0</v>
      </c>
      <c r="AT838">
        <v>0.30612244897959179</v>
      </c>
      <c r="AU838">
        <v>4.0816326530612242E-2</v>
      </c>
      <c r="AV838">
        <v>0</v>
      </c>
      <c r="AW838">
        <v>0</v>
      </c>
      <c r="AX838">
        <v>6.1224489795918373E-2</v>
      </c>
      <c r="AY838">
        <v>0.32653061224489788</v>
      </c>
      <c r="AZ838">
        <v>6.1224489795918373E-2</v>
      </c>
      <c r="BA838">
        <v>0.16666666666666671</v>
      </c>
      <c r="BB838">
        <v>0.5</v>
      </c>
      <c r="BC838">
        <v>0.2</v>
      </c>
      <c r="BD838">
        <v>0.66326530612244894</v>
      </c>
      <c r="BE838">
        <v>4</v>
      </c>
      <c r="BF838">
        <v>0.38248299319727891</v>
      </c>
      <c r="BG838">
        <v>0.38</v>
      </c>
      <c r="BH838" t="s">
        <v>104</v>
      </c>
      <c r="BI838">
        <v>0.38</v>
      </c>
      <c r="BJ838" t="s">
        <v>104</v>
      </c>
      <c r="BK838" s="2">
        <f t="shared" si="27"/>
        <v>0</v>
      </c>
      <c r="BL838" t="b">
        <f t="shared" si="28"/>
        <v>1</v>
      </c>
    </row>
    <row r="839" spans="1:64" x14ac:dyDescent="0.35">
      <c r="A839" t="s">
        <v>2263</v>
      </c>
      <c r="B839" t="s">
        <v>2264</v>
      </c>
      <c r="C839">
        <v>2016</v>
      </c>
      <c r="D839" t="s">
        <v>2265</v>
      </c>
      <c r="E839" t="s">
        <v>2266</v>
      </c>
      <c r="F839" t="s">
        <v>66</v>
      </c>
      <c r="G839" t="s">
        <v>67</v>
      </c>
      <c r="H839" t="s">
        <v>84</v>
      </c>
      <c r="I839" t="s">
        <v>2267</v>
      </c>
      <c r="J839" t="s">
        <v>70</v>
      </c>
      <c r="L839">
        <v>3</v>
      </c>
      <c r="M839" t="b">
        <v>0</v>
      </c>
      <c r="N839">
        <v>3</v>
      </c>
      <c r="O839">
        <v>1</v>
      </c>
      <c r="P839">
        <v>3</v>
      </c>
      <c r="Q839">
        <v>5</v>
      </c>
      <c r="R839">
        <v>-2</v>
      </c>
      <c r="S839">
        <v>3</v>
      </c>
      <c r="T839">
        <v>20</v>
      </c>
      <c r="U839">
        <v>598</v>
      </c>
      <c r="V839">
        <v>66</v>
      </c>
      <c r="W839">
        <v>15</v>
      </c>
      <c r="X839">
        <v>4.4000000000000004</v>
      </c>
      <c r="Y839">
        <v>1</v>
      </c>
      <c r="Z839">
        <v>3</v>
      </c>
      <c r="AA839">
        <v>0</v>
      </c>
      <c r="AB839">
        <v>0</v>
      </c>
      <c r="AC839">
        <v>5</v>
      </c>
      <c r="AD839">
        <v>5</v>
      </c>
      <c r="AE839">
        <v>8</v>
      </c>
      <c r="AF839">
        <v>0</v>
      </c>
      <c r="AG839">
        <v>0</v>
      </c>
      <c r="AH839">
        <v>1</v>
      </c>
      <c r="AI839">
        <v>501</v>
      </c>
      <c r="AJ839">
        <v>3</v>
      </c>
      <c r="AK839">
        <v>71</v>
      </c>
      <c r="AL839">
        <v>4</v>
      </c>
      <c r="AM839">
        <v>572</v>
      </c>
      <c r="AN839">
        <v>1</v>
      </c>
      <c r="AO839">
        <v>3</v>
      </c>
      <c r="AP839">
        <v>6</v>
      </c>
      <c r="AQ839">
        <v>11</v>
      </c>
      <c r="AR839">
        <v>5.016722408026756E-3</v>
      </c>
      <c r="AS839">
        <v>0</v>
      </c>
      <c r="AT839">
        <v>1.337792642140468E-2</v>
      </c>
      <c r="AU839">
        <v>0</v>
      </c>
      <c r="AV839">
        <v>0.83779264214046822</v>
      </c>
      <c r="AW839">
        <v>0.95652173913043481</v>
      </c>
      <c r="AX839">
        <v>5.016722408026756E-3</v>
      </c>
      <c r="AY839">
        <v>1.839464882943144E-2</v>
      </c>
      <c r="AZ839">
        <v>-0.95150501672240806</v>
      </c>
      <c r="BA839">
        <v>0.33333333333333331</v>
      </c>
      <c r="BB839">
        <v>0.56666666666666676</v>
      </c>
      <c r="BC839">
        <v>0.4</v>
      </c>
      <c r="BD839">
        <v>3.030936454849496E-2</v>
      </c>
      <c r="BE839">
        <v>4</v>
      </c>
      <c r="BF839">
        <v>0.33257734113712378</v>
      </c>
      <c r="BG839">
        <v>0.48</v>
      </c>
      <c r="BH839" t="s">
        <v>71</v>
      </c>
      <c r="BI839">
        <v>0.33</v>
      </c>
      <c r="BJ839" t="s">
        <v>104</v>
      </c>
      <c r="BK839" s="2">
        <f t="shared" si="27"/>
        <v>0.14999999999999997</v>
      </c>
      <c r="BL839" t="b">
        <f t="shared" si="28"/>
        <v>0</v>
      </c>
    </row>
    <row r="840" spans="1:64" x14ac:dyDescent="0.35">
      <c r="A840" t="s">
        <v>2268</v>
      </c>
      <c r="B840" t="s">
        <v>2264</v>
      </c>
      <c r="C840">
        <v>2019</v>
      </c>
      <c r="D840" t="s">
        <v>2265</v>
      </c>
      <c r="E840" t="s">
        <v>2266</v>
      </c>
      <c r="F840" t="s">
        <v>66</v>
      </c>
      <c r="G840" t="s">
        <v>67</v>
      </c>
      <c r="H840" t="s">
        <v>84</v>
      </c>
      <c r="I840" t="s">
        <v>2267</v>
      </c>
      <c r="J840" t="s">
        <v>70</v>
      </c>
      <c r="L840">
        <v>3</v>
      </c>
      <c r="M840" t="b">
        <v>0</v>
      </c>
      <c r="N840">
        <v>4</v>
      </c>
      <c r="O840">
        <v>2</v>
      </c>
      <c r="P840">
        <v>4</v>
      </c>
      <c r="Q840">
        <v>5</v>
      </c>
      <c r="R840">
        <v>-1</v>
      </c>
      <c r="S840">
        <v>3</v>
      </c>
      <c r="T840">
        <v>24</v>
      </c>
      <c r="U840">
        <v>568</v>
      </c>
      <c r="V840">
        <v>77</v>
      </c>
      <c r="W840">
        <v>17</v>
      </c>
      <c r="X840">
        <v>4.5294117647058822</v>
      </c>
      <c r="Y840">
        <v>4</v>
      </c>
      <c r="Z840">
        <v>83</v>
      </c>
      <c r="AA840">
        <v>0</v>
      </c>
      <c r="AB840">
        <v>0</v>
      </c>
      <c r="AC840">
        <v>4</v>
      </c>
      <c r="AD840">
        <v>3</v>
      </c>
      <c r="AE840">
        <v>68</v>
      </c>
      <c r="AF840">
        <v>1</v>
      </c>
      <c r="AG840">
        <v>2</v>
      </c>
      <c r="AH840">
        <v>1</v>
      </c>
      <c r="AI840">
        <v>184</v>
      </c>
      <c r="AJ840">
        <v>2</v>
      </c>
      <c r="AK840">
        <v>62</v>
      </c>
      <c r="AL840">
        <v>3</v>
      </c>
      <c r="AM840">
        <v>246</v>
      </c>
      <c r="AN840">
        <v>5</v>
      </c>
      <c r="AO840">
        <v>85</v>
      </c>
      <c r="AP840">
        <v>7</v>
      </c>
      <c r="AQ840">
        <v>151</v>
      </c>
      <c r="AR840">
        <v>0.14612676056338031</v>
      </c>
      <c r="AS840">
        <v>0</v>
      </c>
      <c r="AT840">
        <v>0.11971830985915489</v>
      </c>
      <c r="AU840">
        <v>3.5211267605633799E-3</v>
      </c>
      <c r="AV840">
        <v>0.323943661971831</v>
      </c>
      <c r="AW840">
        <v>0.43309859154929581</v>
      </c>
      <c r="AX840">
        <v>0.14964788732394371</v>
      </c>
      <c r="AY840">
        <v>0.26584507042253519</v>
      </c>
      <c r="AZ840">
        <v>-0.28345070422535212</v>
      </c>
      <c r="BA840">
        <v>0.33333333333333331</v>
      </c>
      <c r="BB840">
        <v>0.58823529411764708</v>
      </c>
      <c r="BC840">
        <v>0.46666666666666667</v>
      </c>
      <c r="BD840">
        <v>0.44784330985915488</v>
      </c>
      <c r="BE840">
        <v>4</v>
      </c>
      <c r="BF840">
        <v>0.4590196509942005</v>
      </c>
      <c r="BG840">
        <v>0.53</v>
      </c>
      <c r="BH840" t="s">
        <v>71</v>
      </c>
      <c r="BI840">
        <v>0.46</v>
      </c>
      <c r="BJ840" t="s">
        <v>71</v>
      </c>
      <c r="BK840" s="2">
        <f t="shared" si="27"/>
        <v>7.0000000000000007E-2</v>
      </c>
      <c r="BL840" t="b">
        <f t="shared" si="28"/>
        <v>1</v>
      </c>
    </row>
    <row r="841" spans="1:64" x14ac:dyDescent="0.35">
      <c r="A841" t="s">
        <v>2269</v>
      </c>
      <c r="B841" t="s">
        <v>2264</v>
      </c>
      <c r="C841">
        <v>2022</v>
      </c>
      <c r="D841" t="s">
        <v>2265</v>
      </c>
      <c r="E841" t="s">
        <v>2266</v>
      </c>
      <c r="F841" t="s">
        <v>66</v>
      </c>
      <c r="G841" t="s">
        <v>67</v>
      </c>
      <c r="H841" t="s">
        <v>84</v>
      </c>
      <c r="I841" t="s">
        <v>2267</v>
      </c>
      <c r="J841" t="s">
        <v>70</v>
      </c>
      <c r="L841">
        <v>3</v>
      </c>
      <c r="M841" t="b">
        <v>0</v>
      </c>
      <c r="N841">
        <v>3</v>
      </c>
      <c r="O841">
        <v>2</v>
      </c>
      <c r="P841">
        <v>4</v>
      </c>
      <c r="Q841">
        <v>3</v>
      </c>
      <c r="R841">
        <v>1</v>
      </c>
      <c r="S841">
        <v>4</v>
      </c>
      <c r="T841">
        <v>22</v>
      </c>
      <c r="U841">
        <v>407</v>
      </c>
      <c r="V841">
        <v>86</v>
      </c>
      <c r="W841">
        <v>19</v>
      </c>
      <c r="X841">
        <v>4.5263157894736841</v>
      </c>
      <c r="Y841">
        <v>2</v>
      </c>
      <c r="Z841">
        <v>199</v>
      </c>
      <c r="AA841">
        <v>0</v>
      </c>
      <c r="AB841">
        <v>0</v>
      </c>
      <c r="AC841">
        <v>3</v>
      </c>
      <c r="AD841">
        <v>3</v>
      </c>
      <c r="AE841">
        <v>12</v>
      </c>
      <c r="AF841">
        <v>2</v>
      </c>
      <c r="AG841">
        <v>9</v>
      </c>
      <c r="AH841">
        <v>2</v>
      </c>
      <c r="AI841">
        <v>97</v>
      </c>
      <c r="AJ841">
        <v>0</v>
      </c>
      <c r="AK841">
        <v>0</v>
      </c>
      <c r="AL841">
        <v>2</v>
      </c>
      <c r="AM841">
        <v>97</v>
      </c>
      <c r="AN841">
        <v>4</v>
      </c>
      <c r="AO841">
        <v>208</v>
      </c>
      <c r="AP841">
        <v>5</v>
      </c>
      <c r="AQ841">
        <v>211</v>
      </c>
      <c r="AR841">
        <v>0.48894348894348888</v>
      </c>
      <c r="AS841">
        <v>0</v>
      </c>
      <c r="AT841">
        <v>2.9484029484029489E-2</v>
      </c>
      <c r="AU841">
        <v>2.2113022113022109E-2</v>
      </c>
      <c r="AV841">
        <v>0.2383292383292383</v>
      </c>
      <c r="AW841">
        <v>0.2383292383292383</v>
      </c>
      <c r="AX841">
        <v>0.51105651105651106</v>
      </c>
      <c r="AY841">
        <v>0.51842751842751844</v>
      </c>
      <c r="AZ841">
        <v>0.27272727272727271</v>
      </c>
      <c r="BA841">
        <v>0.5</v>
      </c>
      <c r="BB841">
        <v>0.58771929824561397</v>
      </c>
      <c r="BC841">
        <v>0.33333333333333331</v>
      </c>
      <c r="BD841">
        <v>0.79545454545454541</v>
      </c>
      <c r="BE841">
        <v>4</v>
      </c>
      <c r="BF841">
        <v>0.55412679425837319</v>
      </c>
      <c r="BG841">
        <v>0.59</v>
      </c>
      <c r="BH841" t="s">
        <v>71</v>
      </c>
      <c r="BI841">
        <v>0.55000000000000004</v>
      </c>
      <c r="BJ841" t="s">
        <v>71</v>
      </c>
      <c r="BK841" s="2">
        <f t="shared" si="27"/>
        <v>3.9999999999999925E-2</v>
      </c>
      <c r="BL841" t="b">
        <f t="shared" si="28"/>
        <v>1</v>
      </c>
    </row>
    <row r="842" spans="1:64" x14ac:dyDescent="0.35">
      <c r="A842" t="s">
        <v>2270</v>
      </c>
      <c r="B842" t="s">
        <v>2271</v>
      </c>
      <c r="C842">
        <v>2014</v>
      </c>
      <c r="D842" t="s">
        <v>2272</v>
      </c>
      <c r="E842" t="s">
        <v>2273</v>
      </c>
      <c r="F842" t="s">
        <v>66</v>
      </c>
      <c r="G842" t="s">
        <v>101</v>
      </c>
      <c r="H842" t="s">
        <v>211</v>
      </c>
      <c r="I842" t="s">
        <v>211</v>
      </c>
      <c r="J842" t="s">
        <v>70</v>
      </c>
      <c r="L842">
        <v>5</v>
      </c>
      <c r="M842" t="b">
        <v>0</v>
      </c>
      <c r="N842">
        <v>1</v>
      </c>
      <c r="O842">
        <v>1</v>
      </c>
      <c r="P842">
        <v>16</v>
      </c>
      <c r="Q842">
        <v>5</v>
      </c>
      <c r="R842">
        <v>11</v>
      </c>
      <c r="S842">
        <v>6</v>
      </c>
      <c r="T842">
        <v>44</v>
      </c>
      <c r="U842">
        <v>527</v>
      </c>
      <c r="V842">
        <v>218</v>
      </c>
      <c r="W842">
        <v>33</v>
      </c>
      <c r="X842">
        <v>6.6060606060606064</v>
      </c>
      <c r="Y842">
        <v>5</v>
      </c>
      <c r="Z842">
        <v>17</v>
      </c>
      <c r="AA842">
        <v>2</v>
      </c>
      <c r="AB842">
        <v>4</v>
      </c>
      <c r="AC842">
        <v>5</v>
      </c>
      <c r="AD842">
        <v>4</v>
      </c>
      <c r="AE842">
        <v>98</v>
      </c>
      <c r="AF842">
        <v>1</v>
      </c>
      <c r="AG842">
        <v>23</v>
      </c>
      <c r="AH842">
        <v>2</v>
      </c>
      <c r="AI842">
        <v>9</v>
      </c>
      <c r="AJ842">
        <v>3</v>
      </c>
      <c r="AK842">
        <v>31</v>
      </c>
      <c r="AL842">
        <v>5</v>
      </c>
      <c r="AM842">
        <v>40</v>
      </c>
      <c r="AN842">
        <v>8</v>
      </c>
      <c r="AO842">
        <v>44</v>
      </c>
      <c r="AP842">
        <v>11</v>
      </c>
      <c r="AQ842">
        <v>119</v>
      </c>
      <c r="AR842">
        <v>3.2258064516129031E-2</v>
      </c>
      <c r="AS842">
        <v>7.5901328273244783E-3</v>
      </c>
      <c r="AT842">
        <v>0.1859582542694497</v>
      </c>
      <c r="AU842">
        <v>4.3643263757115747E-2</v>
      </c>
      <c r="AV842">
        <v>1.707779886148008E-2</v>
      </c>
      <c r="AW842">
        <v>7.5901328273244778E-2</v>
      </c>
      <c r="AX842">
        <v>8.3491461100569264E-2</v>
      </c>
      <c r="AY842">
        <v>0.22580645161290319</v>
      </c>
      <c r="AZ842">
        <v>7.5901328273244861E-3</v>
      </c>
      <c r="BA842">
        <v>0.83333333333333337</v>
      </c>
      <c r="BB842">
        <v>0.93434343434343436</v>
      </c>
      <c r="BC842">
        <v>0.73333333333333328</v>
      </c>
      <c r="BD842">
        <v>0.6297438330170777</v>
      </c>
      <c r="BE842">
        <v>4</v>
      </c>
      <c r="BF842">
        <v>0.78268848350679465</v>
      </c>
      <c r="BG842">
        <v>0.79</v>
      </c>
      <c r="BH842" t="s">
        <v>86</v>
      </c>
      <c r="BI842">
        <v>0.78</v>
      </c>
      <c r="BJ842" t="s">
        <v>86</v>
      </c>
      <c r="BK842" s="2">
        <f t="shared" si="27"/>
        <v>1.0000000000000009E-2</v>
      </c>
      <c r="BL842" t="b">
        <f t="shared" si="28"/>
        <v>1</v>
      </c>
    </row>
    <row r="843" spans="1:64" x14ac:dyDescent="0.35">
      <c r="A843" t="s">
        <v>2274</v>
      </c>
      <c r="B843" t="s">
        <v>2271</v>
      </c>
      <c r="C843">
        <v>2015</v>
      </c>
      <c r="D843" t="s">
        <v>2272</v>
      </c>
      <c r="E843" t="s">
        <v>2273</v>
      </c>
      <c r="F843" t="s">
        <v>66</v>
      </c>
      <c r="G843" t="s">
        <v>101</v>
      </c>
      <c r="H843" t="s">
        <v>211</v>
      </c>
      <c r="I843" t="s">
        <v>211</v>
      </c>
      <c r="J843" t="s">
        <v>70</v>
      </c>
      <c r="L843">
        <v>5</v>
      </c>
      <c r="M843" t="b">
        <v>0</v>
      </c>
      <c r="N843">
        <v>1</v>
      </c>
      <c r="O843">
        <v>2</v>
      </c>
      <c r="P843">
        <v>9</v>
      </c>
      <c r="Q843">
        <v>3</v>
      </c>
      <c r="R843">
        <v>6</v>
      </c>
      <c r="S843">
        <v>6</v>
      </c>
      <c r="T843">
        <v>31</v>
      </c>
      <c r="U843">
        <v>850</v>
      </c>
      <c r="V843">
        <v>141</v>
      </c>
      <c r="W843">
        <v>26</v>
      </c>
      <c r="X843">
        <v>5.4230769230769234</v>
      </c>
      <c r="Y843">
        <v>2</v>
      </c>
      <c r="Z843">
        <v>60</v>
      </c>
      <c r="AA843">
        <v>0</v>
      </c>
      <c r="AB843">
        <v>0</v>
      </c>
      <c r="AC843">
        <v>2</v>
      </c>
      <c r="AD843">
        <v>2</v>
      </c>
      <c r="AE843">
        <v>29</v>
      </c>
      <c r="AF843">
        <v>1</v>
      </c>
      <c r="AG843">
        <v>25</v>
      </c>
      <c r="AH843">
        <v>2</v>
      </c>
      <c r="AI843">
        <v>32</v>
      </c>
      <c r="AJ843">
        <v>2</v>
      </c>
      <c r="AK843">
        <v>15</v>
      </c>
      <c r="AL843">
        <v>4</v>
      </c>
      <c r="AM843">
        <v>47</v>
      </c>
      <c r="AN843">
        <v>3</v>
      </c>
      <c r="AO843">
        <v>85</v>
      </c>
      <c r="AP843">
        <v>4</v>
      </c>
      <c r="AQ843">
        <v>89</v>
      </c>
      <c r="AR843">
        <v>7.0588235294117646E-2</v>
      </c>
      <c r="AS843">
        <v>0</v>
      </c>
      <c r="AT843">
        <v>3.411764705882353E-2</v>
      </c>
      <c r="AU843">
        <v>2.9411764705882349E-2</v>
      </c>
      <c r="AV843">
        <v>3.7647058823529408E-2</v>
      </c>
      <c r="AW843">
        <v>5.5294117647058827E-2</v>
      </c>
      <c r="AX843">
        <v>0.1</v>
      </c>
      <c r="AY843">
        <v>0.1047058823529412</v>
      </c>
      <c r="AZ843">
        <v>4.4705882352941179E-2</v>
      </c>
      <c r="BA843">
        <v>0.83333333333333337</v>
      </c>
      <c r="BB843">
        <v>0.73717948717948723</v>
      </c>
      <c r="BC843">
        <v>0.26666666666666672</v>
      </c>
      <c r="BD843">
        <v>0.65294117647058814</v>
      </c>
      <c r="BE843">
        <v>4</v>
      </c>
      <c r="BF843">
        <v>0.62253016591251886</v>
      </c>
      <c r="BG843">
        <v>0.62</v>
      </c>
      <c r="BH843" t="s">
        <v>86</v>
      </c>
      <c r="BI843">
        <v>0.62</v>
      </c>
      <c r="BJ843" t="s">
        <v>86</v>
      </c>
      <c r="BK843" s="2">
        <f t="shared" si="27"/>
        <v>0</v>
      </c>
      <c r="BL843" t="b">
        <f t="shared" si="28"/>
        <v>1</v>
      </c>
    </row>
    <row r="844" spans="1:64" x14ac:dyDescent="0.35">
      <c r="A844" t="s">
        <v>2275</v>
      </c>
      <c r="B844" t="s">
        <v>2271</v>
      </c>
      <c r="C844">
        <v>2016</v>
      </c>
      <c r="D844" t="s">
        <v>2272</v>
      </c>
      <c r="E844" t="s">
        <v>2273</v>
      </c>
      <c r="F844" t="s">
        <v>66</v>
      </c>
      <c r="G844" t="s">
        <v>101</v>
      </c>
      <c r="H844" t="s">
        <v>211</v>
      </c>
      <c r="I844" t="s">
        <v>211</v>
      </c>
      <c r="J844" t="s">
        <v>70</v>
      </c>
      <c r="L844">
        <v>5</v>
      </c>
      <c r="M844" t="b">
        <v>0</v>
      </c>
      <c r="N844">
        <v>1</v>
      </c>
      <c r="O844">
        <v>2</v>
      </c>
      <c r="P844">
        <v>4</v>
      </c>
      <c r="Q844">
        <v>2</v>
      </c>
      <c r="R844">
        <v>2</v>
      </c>
      <c r="S844">
        <v>5</v>
      </c>
      <c r="T844">
        <v>19</v>
      </c>
      <c r="U844">
        <v>492</v>
      </c>
      <c r="V844">
        <v>84</v>
      </c>
      <c r="W844">
        <v>17</v>
      </c>
      <c r="X844">
        <v>4.9411764705882364</v>
      </c>
      <c r="Y844">
        <v>1</v>
      </c>
      <c r="Z844">
        <v>26</v>
      </c>
      <c r="AA844">
        <v>0</v>
      </c>
      <c r="AB844">
        <v>0</v>
      </c>
      <c r="AC844">
        <v>1</v>
      </c>
      <c r="AD844">
        <v>1</v>
      </c>
      <c r="AE844">
        <v>34</v>
      </c>
      <c r="AF844">
        <v>1</v>
      </c>
      <c r="AG844">
        <v>22</v>
      </c>
      <c r="AH844">
        <v>2</v>
      </c>
      <c r="AI844">
        <v>39</v>
      </c>
      <c r="AJ844">
        <v>1</v>
      </c>
      <c r="AK844">
        <v>1</v>
      </c>
      <c r="AL844">
        <v>3</v>
      </c>
      <c r="AM844">
        <v>40</v>
      </c>
      <c r="AN844">
        <v>2</v>
      </c>
      <c r="AO844">
        <v>48</v>
      </c>
      <c r="AP844">
        <v>2</v>
      </c>
      <c r="AQ844">
        <v>60</v>
      </c>
      <c r="AR844">
        <v>5.2845528455284563E-2</v>
      </c>
      <c r="AS844">
        <v>0</v>
      </c>
      <c r="AT844">
        <v>6.910569105691057E-2</v>
      </c>
      <c r="AU844">
        <v>4.4715447154471552E-2</v>
      </c>
      <c r="AV844">
        <v>7.926829268292683E-2</v>
      </c>
      <c r="AW844">
        <v>8.1300813008130079E-2</v>
      </c>
      <c r="AX844">
        <v>9.7560975609756101E-2</v>
      </c>
      <c r="AY844">
        <v>0.12195121951219511</v>
      </c>
      <c r="AZ844">
        <v>1.6260162601626021E-2</v>
      </c>
      <c r="BA844">
        <v>0.66666666666666663</v>
      </c>
      <c r="BB844">
        <v>0.65686274509803944</v>
      </c>
      <c r="BC844">
        <v>0.1333333333333333</v>
      </c>
      <c r="BD844">
        <v>0.63516260162601623</v>
      </c>
      <c r="BE844">
        <v>4</v>
      </c>
      <c r="BF844">
        <v>0.52300633668101393</v>
      </c>
      <c r="BG844">
        <v>0.53</v>
      </c>
      <c r="BH844" t="s">
        <v>71</v>
      </c>
      <c r="BI844">
        <v>0.52</v>
      </c>
      <c r="BJ844" t="s">
        <v>71</v>
      </c>
      <c r="BK844" s="2">
        <f t="shared" si="27"/>
        <v>1.0000000000000009E-2</v>
      </c>
      <c r="BL844" t="b">
        <f t="shared" si="28"/>
        <v>1</v>
      </c>
    </row>
    <row r="845" spans="1:64" x14ac:dyDescent="0.35">
      <c r="A845" t="s">
        <v>2276</v>
      </c>
      <c r="B845" t="s">
        <v>2271</v>
      </c>
      <c r="C845">
        <v>2017</v>
      </c>
      <c r="D845" t="s">
        <v>2272</v>
      </c>
      <c r="E845" t="s">
        <v>2273</v>
      </c>
      <c r="F845" t="s">
        <v>66</v>
      </c>
      <c r="G845" t="s">
        <v>101</v>
      </c>
      <c r="H845" t="s">
        <v>211</v>
      </c>
      <c r="I845" t="s">
        <v>211</v>
      </c>
      <c r="J845" t="s">
        <v>70</v>
      </c>
      <c r="L845">
        <v>5</v>
      </c>
      <c r="M845" t="b">
        <v>0</v>
      </c>
      <c r="N845">
        <v>1</v>
      </c>
      <c r="O845">
        <v>2</v>
      </c>
      <c r="P845">
        <v>7</v>
      </c>
      <c r="Q845">
        <v>5</v>
      </c>
      <c r="R845">
        <v>2</v>
      </c>
      <c r="S845">
        <v>5</v>
      </c>
      <c r="T845">
        <v>31</v>
      </c>
      <c r="U845">
        <v>1148</v>
      </c>
      <c r="V845">
        <v>127</v>
      </c>
      <c r="W845">
        <v>23</v>
      </c>
      <c r="X845">
        <v>5.5217391304347823</v>
      </c>
      <c r="Y845">
        <v>1</v>
      </c>
      <c r="Z845">
        <v>25</v>
      </c>
      <c r="AA845">
        <v>1</v>
      </c>
      <c r="AB845">
        <v>14</v>
      </c>
      <c r="AC845">
        <v>5</v>
      </c>
      <c r="AD845">
        <v>5</v>
      </c>
      <c r="AE845">
        <v>74</v>
      </c>
      <c r="AF845">
        <v>1</v>
      </c>
      <c r="AG845">
        <v>42</v>
      </c>
      <c r="AH845">
        <v>1</v>
      </c>
      <c r="AI845">
        <v>23</v>
      </c>
      <c r="AJ845">
        <v>1</v>
      </c>
      <c r="AK845">
        <v>2</v>
      </c>
      <c r="AL845">
        <v>2</v>
      </c>
      <c r="AM845">
        <v>25</v>
      </c>
      <c r="AN845">
        <v>3</v>
      </c>
      <c r="AO845">
        <v>81</v>
      </c>
      <c r="AP845">
        <v>7</v>
      </c>
      <c r="AQ845">
        <v>113</v>
      </c>
      <c r="AR845">
        <v>2.1777003484320559E-2</v>
      </c>
      <c r="AS845">
        <v>1.2195121951219509E-2</v>
      </c>
      <c r="AT845">
        <v>6.4459930313588848E-2</v>
      </c>
      <c r="AU845">
        <v>3.6585365853658527E-2</v>
      </c>
      <c r="AV845">
        <v>2.0034843205574911E-2</v>
      </c>
      <c r="AW845">
        <v>2.1777003484320559E-2</v>
      </c>
      <c r="AX845">
        <v>7.0557491289198609E-2</v>
      </c>
      <c r="AY845">
        <v>9.8432055749128916E-2</v>
      </c>
      <c r="AZ845">
        <v>4.878048780487805E-2</v>
      </c>
      <c r="BA845">
        <v>0.66666666666666663</v>
      </c>
      <c r="BB845">
        <v>0.75362318840579701</v>
      </c>
      <c r="BC845">
        <v>0.46666666666666667</v>
      </c>
      <c r="BD845">
        <v>0.65548780487804881</v>
      </c>
      <c r="BE845">
        <v>4</v>
      </c>
      <c r="BF845">
        <v>0.63561108165429481</v>
      </c>
      <c r="BG845">
        <v>0.67</v>
      </c>
      <c r="BH845" t="s">
        <v>86</v>
      </c>
      <c r="BI845">
        <v>0.64</v>
      </c>
      <c r="BJ845" t="s">
        <v>86</v>
      </c>
      <c r="BK845" s="2">
        <f t="shared" si="27"/>
        <v>3.0000000000000027E-2</v>
      </c>
      <c r="BL845" t="b">
        <f t="shared" si="28"/>
        <v>1</v>
      </c>
    </row>
    <row r="846" spans="1:64" x14ac:dyDescent="0.35">
      <c r="A846" t="s">
        <v>2277</v>
      </c>
      <c r="B846" t="s">
        <v>2271</v>
      </c>
      <c r="C846">
        <v>2020</v>
      </c>
      <c r="D846" t="s">
        <v>2272</v>
      </c>
      <c r="E846" t="s">
        <v>2273</v>
      </c>
      <c r="F846" t="s">
        <v>66</v>
      </c>
      <c r="G846" t="s">
        <v>101</v>
      </c>
      <c r="H846" t="s">
        <v>211</v>
      </c>
      <c r="I846" t="s">
        <v>211</v>
      </c>
      <c r="J846" t="s">
        <v>70</v>
      </c>
      <c r="L846">
        <v>5</v>
      </c>
      <c r="M846" t="b">
        <v>0</v>
      </c>
      <c r="N846">
        <v>1</v>
      </c>
      <c r="O846">
        <v>2</v>
      </c>
      <c r="P846">
        <v>8</v>
      </c>
      <c r="Q846">
        <v>4</v>
      </c>
      <c r="R846">
        <v>4</v>
      </c>
      <c r="S846">
        <v>6</v>
      </c>
      <c r="T846">
        <v>23</v>
      </c>
      <c r="U846">
        <v>381</v>
      </c>
      <c r="V846">
        <v>118</v>
      </c>
      <c r="W846">
        <v>21</v>
      </c>
      <c r="X846">
        <v>5.6190476190476186</v>
      </c>
      <c r="Y846">
        <v>2</v>
      </c>
      <c r="Z846">
        <v>13</v>
      </c>
      <c r="AA846">
        <v>0</v>
      </c>
      <c r="AB846">
        <v>0</v>
      </c>
      <c r="AC846">
        <v>2</v>
      </c>
      <c r="AD846">
        <v>2</v>
      </c>
      <c r="AE846">
        <v>23</v>
      </c>
      <c r="AF846">
        <v>1</v>
      </c>
      <c r="AG846">
        <v>32</v>
      </c>
      <c r="AH846">
        <v>1</v>
      </c>
      <c r="AI846">
        <v>37</v>
      </c>
      <c r="AJ846">
        <v>2</v>
      </c>
      <c r="AK846">
        <v>2</v>
      </c>
      <c r="AL846">
        <v>3</v>
      </c>
      <c r="AM846">
        <v>39</v>
      </c>
      <c r="AN846">
        <v>3</v>
      </c>
      <c r="AO846">
        <v>45</v>
      </c>
      <c r="AP846">
        <v>4</v>
      </c>
      <c r="AQ846">
        <v>36</v>
      </c>
      <c r="AR846">
        <v>3.4120734908136482E-2</v>
      </c>
      <c r="AS846">
        <v>0</v>
      </c>
      <c r="AT846">
        <v>6.0367454068241469E-2</v>
      </c>
      <c r="AU846">
        <v>8.3989501312335957E-2</v>
      </c>
      <c r="AV846">
        <v>9.711286089238845E-2</v>
      </c>
      <c r="AW846">
        <v>0.10236220472440941</v>
      </c>
      <c r="AX846">
        <v>0.1181102362204724</v>
      </c>
      <c r="AY846">
        <v>9.4488188976377951E-2</v>
      </c>
      <c r="AZ846">
        <v>1.5748031496062988E-2</v>
      </c>
      <c r="BA846">
        <v>0.83333333333333337</v>
      </c>
      <c r="BB846">
        <v>0.76984126984126977</v>
      </c>
      <c r="BC846">
        <v>0.26666666666666672</v>
      </c>
      <c r="BD846">
        <v>0.63484251968503935</v>
      </c>
      <c r="BE846">
        <v>4</v>
      </c>
      <c r="BF846">
        <v>0.6261709473815773</v>
      </c>
      <c r="BG846">
        <v>0.63</v>
      </c>
      <c r="BH846" t="s">
        <v>86</v>
      </c>
      <c r="BI846">
        <v>0.63</v>
      </c>
      <c r="BJ846" t="s">
        <v>86</v>
      </c>
      <c r="BK846" s="2">
        <f t="shared" si="27"/>
        <v>0</v>
      </c>
      <c r="BL846" t="b">
        <f t="shared" si="28"/>
        <v>1</v>
      </c>
    </row>
    <row r="847" spans="1:64" x14ac:dyDescent="0.35">
      <c r="A847" t="s">
        <v>2278</v>
      </c>
      <c r="B847" t="s">
        <v>2279</v>
      </c>
      <c r="C847">
        <v>2016</v>
      </c>
      <c r="D847" t="s">
        <v>2280</v>
      </c>
      <c r="E847" t="s">
        <v>2281</v>
      </c>
      <c r="F847" t="s">
        <v>66</v>
      </c>
      <c r="G847" t="s">
        <v>67</v>
      </c>
      <c r="H847" t="s">
        <v>84</v>
      </c>
      <c r="I847" t="s">
        <v>2282</v>
      </c>
      <c r="J847" t="s">
        <v>70</v>
      </c>
      <c r="L847">
        <v>1</v>
      </c>
      <c r="M847" t="b">
        <v>0</v>
      </c>
      <c r="N847">
        <v>3</v>
      </c>
      <c r="O847">
        <v>1</v>
      </c>
      <c r="P847">
        <v>6</v>
      </c>
      <c r="Q847">
        <v>5</v>
      </c>
      <c r="R847">
        <v>1</v>
      </c>
      <c r="S847">
        <v>4</v>
      </c>
      <c r="T847">
        <v>29</v>
      </c>
      <c r="U847">
        <v>483</v>
      </c>
      <c r="V847">
        <v>100</v>
      </c>
      <c r="W847">
        <v>21</v>
      </c>
      <c r="X847">
        <v>4.7619047619047619</v>
      </c>
      <c r="Y847">
        <v>4</v>
      </c>
      <c r="Z847">
        <v>40</v>
      </c>
      <c r="AA847">
        <v>0</v>
      </c>
      <c r="AB847">
        <v>0</v>
      </c>
      <c r="AC847">
        <v>2</v>
      </c>
      <c r="AD847">
        <v>2</v>
      </c>
      <c r="AE847">
        <v>64</v>
      </c>
      <c r="AF847">
        <v>2</v>
      </c>
      <c r="AG847">
        <v>7</v>
      </c>
      <c r="AH847">
        <v>1</v>
      </c>
      <c r="AI847">
        <v>9</v>
      </c>
      <c r="AJ847">
        <v>2</v>
      </c>
      <c r="AK847">
        <v>11</v>
      </c>
      <c r="AL847">
        <v>4</v>
      </c>
      <c r="AM847">
        <v>34</v>
      </c>
      <c r="AN847">
        <v>6</v>
      </c>
      <c r="AO847">
        <v>47</v>
      </c>
      <c r="AP847">
        <v>6</v>
      </c>
      <c r="AQ847">
        <v>104</v>
      </c>
      <c r="AR847">
        <v>8.2815734989648032E-2</v>
      </c>
      <c r="AS847">
        <v>0</v>
      </c>
      <c r="AT847">
        <v>0.13250517598343689</v>
      </c>
      <c r="AU847">
        <v>1.4492753623188409E-2</v>
      </c>
      <c r="AV847">
        <v>1.8633540372670811E-2</v>
      </c>
      <c r="AW847">
        <v>7.0393374741200831E-2</v>
      </c>
      <c r="AX847">
        <v>9.7308488612836433E-2</v>
      </c>
      <c r="AY847">
        <v>0.21532091097308489</v>
      </c>
      <c r="AZ847">
        <v>2.6915113871635601E-2</v>
      </c>
      <c r="BA847">
        <v>0.5</v>
      </c>
      <c r="BB847">
        <v>0.62698412698412698</v>
      </c>
      <c r="BC847">
        <v>0.4</v>
      </c>
      <c r="BD847">
        <v>0.64182194616977228</v>
      </c>
      <c r="BE847">
        <v>4</v>
      </c>
      <c r="BF847">
        <v>0.54220151828847485</v>
      </c>
      <c r="BG847">
        <v>0.55000000000000004</v>
      </c>
      <c r="BH847" t="s">
        <v>71</v>
      </c>
      <c r="BI847">
        <v>0.54</v>
      </c>
      <c r="BJ847" t="s">
        <v>71</v>
      </c>
      <c r="BK847" s="2">
        <f t="shared" si="27"/>
        <v>1.0000000000000009E-2</v>
      </c>
      <c r="BL847" t="b">
        <f t="shared" si="28"/>
        <v>1</v>
      </c>
    </row>
    <row r="848" spans="1:64" x14ac:dyDescent="0.35">
      <c r="A848" t="s">
        <v>2283</v>
      </c>
      <c r="B848" t="s">
        <v>2279</v>
      </c>
      <c r="C848">
        <v>2021</v>
      </c>
      <c r="D848" t="s">
        <v>2280</v>
      </c>
      <c r="E848" t="s">
        <v>2281</v>
      </c>
      <c r="F848" t="s">
        <v>66</v>
      </c>
      <c r="G848" t="s">
        <v>67</v>
      </c>
      <c r="H848" t="s">
        <v>84</v>
      </c>
      <c r="I848" t="s">
        <v>2282</v>
      </c>
      <c r="J848" t="s">
        <v>70</v>
      </c>
      <c r="L848">
        <v>1</v>
      </c>
      <c r="M848" t="b">
        <v>0</v>
      </c>
      <c r="N848">
        <v>3</v>
      </c>
      <c r="O848">
        <v>1</v>
      </c>
      <c r="P848">
        <v>3</v>
      </c>
      <c r="Q848">
        <v>4</v>
      </c>
      <c r="R848">
        <v>-1</v>
      </c>
      <c r="S848">
        <v>4</v>
      </c>
      <c r="T848">
        <v>18</v>
      </c>
      <c r="U848">
        <v>86</v>
      </c>
      <c r="V848">
        <v>62</v>
      </c>
      <c r="W848">
        <v>15</v>
      </c>
      <c r="X848">
        <v>4.1333333333333337</v>
      </c>
      <c r="Y848">
        <v>1</v>
      </c>
      <c r="Z848">
        <v>4</v>
      </c>
      <c r="AA848">
        <v>0</v>
      </c>
      <c r="AB848">
        <v>0</v>
      </c>
      <c r="AC848">
        <v>1</v>
      </c>
      <c r="AD848">
        <v>1</v>
      </c>
      <c r="AE848">
        <v>26</v>
      </c>
      <c r="AF848">
        <v>1</v>
      </c>
      <c r="AG848">
        <v>2</v>
      </c>
      <c r="AH848">
        <v>2</v>
      </c>
      <c r="AI848">
        <v>8</v>
      </c>
      <c r="AJ848">
        <v>3</v>
      </c>
      <c r="AK848">
        <v>8</v>
      </c>
      <c r="AL848">
        <v>5</v>
      </c>
      <c r="AM848">
        <v>16</v>
      </c>
      <c r="AN848">
        <v>2</v>
      </c>
      <c r="AO848">
        <v>6</v>
      </c>
      <c r="AP848">
        <v>2</v>
      </c>
      <c r="AQ848">
        <v>30</v>
      </c>
      <c r="AR848">
        <v>4.6511627906976737E-2</v>
      </c>
      <c r="AS848">
        <v>0</v>
      </c>
      <c r="AT848">
        <v>0.30232558139534882</v>
      </c>
      <c r="AU848">
        <v>2.3255813953488368E-2</v>
      </c>
      <c r="AV848">
        <v>9.3023255813953487E-2</v>
      </c>
      <c r="AW848">
        <v>0.186046511627907</v>
      </c>
      <c r="AX848">
        <v>6.9767441860465115E-2</v>
      </c>
      <c r="AY848">
        <v>0.34883720930232559</v>
      </c>
      <c r="AZ848">
        <v>-0.1162790697674419</v>
      </c>
      <c r="BA848">
        <v>0.5</v>
      </c>
      <c r="BB848">
        <v>0.52222222222222225</v>
      </c>
      <c r="BC848">
        <v>0.1333333333333333</v>
      </c>
      <c r="BD848">
        <v>0.55232558139534882</v>
      </c>
      <c r="BE848">
        <v>4</v>
      </c>
      <c r="BF848">
        <v>0.42697028423772609</v>
      </c>
      <c r="BG848">
        <v>0.4</v>
      </c>
      <c r="BH848" t="s">
        <v>71</v>
      </c>
      <c r="BI848">
        <v>0.43</v>
      </c>
      <c r="BJ848" t="s">
        <v>71</v>
      </c>
      <c r="BK848" s="2">
        <f t="shared" si="27"/>
        <v>-2.9999999999999971E-2</v>
      </c>
      <c r="BL848" t="b">
        <f t="shared" si="28"/>
        <v>1</v>
      </c>
    </row>
    <row r="849" spans="1:64" x14ac:dyDescent="0.35">
      <c r="A849" t="s">
        <v>2284</v>
      </c>
      <c r="B849" t="s">
        <v>2285</v>
      </c>
      <c r="C849">
        <v>2017</v>
      </c>
      <c r="D849" t="s">
        <v>2286</v>
      </c>
      <c r="E849" t="s">
        <v>2287</v>
      </c>
      <c r="F849" t="s">
        <v>66</v>
      </c>
      <c r="G849" t="s">
        <v>67</v>
      </c>
      <c r="H849" t="s">
        <v>84</v>
      </c>
      <c r="I849" t="s">
        <v>2288</v>
      </c>
      <c r="J849" t="s">
        <v>70</v>
      </c>
      <c r="L849">
        <v>1</v>
      </c>
      <c r="M849" t="b">
        <v>0</v>
      </c>
      <c r="N849">
        <v>3</v>
      </c>
      <c r="O849">
        <v>2</v>
      </c>
      <c r="P849">
        <v>4</v>
      </c>
      <c r="Q849">
        <v>4</v>
      </c>
      <c r="R849">
        <v>0</v>
      </c>
      <c r="S849">
        <v>4</v>
      </c>
      <c r="T849">
        <v>15</v>
      </c>
      <c r="U849">
        <v>170</v>
      </c>
      <c r="V849">
        <v>60</v>
      </c>
      <c r="W849">
        <v>13</v>
      </c>
      <c r="X849">
        <v>4.615384615384615</v>
      </c>
      <c r="Y849">
        <v>1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1</v>
      </c>
      <c r="AH849">
        <v>3</v>
      </c>
      <c r="AI849">
        <v>68</v>
      </c>
      <c r="AJ849">
        <v>1</v>
      </c>
      <c r="AK849">
        <v>1</v>
      </c>
      <c r="AL849">
        <v>5</v>
      </c>
      <c r="AM849">
        <v>81</v>
      </c>
      <c r="AN849">
        <v>2</v>
      </c>
      <c r="AO849">
        <v>2</v>
      </c>
      <c r="AP849">
        <v>1</v>
      </c>
      <c r="AQ849">
        <v>1</v>
      </c>
      <c r="AR849">
        <v>5.8823529411764714E-3</v>
      </c>
      <c r="AS849">
        <v>0</v>
      </c>
      <c r="AT849">
        <v>0</v>
      </c>
      <c r="AU849">
        <v>5.8823529411764714E-3</v>
      </c>
      <c r="AV849">
        <v>0.4</v>
      </c>
      <c r="AW849">
        <v>0.47647058823529409</v>
      </c>
      <c r="AX849">
        <v>1.1764705882352939E-2</v>
      </c>
      <c r="AY849">
        <v>5.8823529411764714E-3</v>
      </c>
      <c r="AZ849">
        <v>-0.46470588235294108</v>
      </c>
      <c r="BA849">
        <v>0.5</v>
      </c>
      <c r="BB849">
        <v>0.60256410256410253</v>
      </c>
      <c r="BC849">
        <v>6.6666666666666666E-2</v>
      </c>
      <c r="BD849">
        <v>0.3345588235294118</v>
      </c>
      <c r="BE849">
        <v>4</v>
      </c>
      <c r="BF849">
        <v>0.37594739819004519</v>
      </c>
      <c r="BG849">
        <v>0.4</v>
      </c>
      <c r="BH849" t="s">
        <v>71</v>
      </c>
      <c r="BI849">
        <v>0.38</v>
      </c>
      <c r="BJ849" t="s">
        <v>104</v>
      </c>
      <c r="BK849" s="2">
        <f t="shared" si="27"/>
        <v>2.0000000000000018E-2</v>
      </c>
      <c r="BL849" t="b">
        <f t="shared" si="28"/>
        <v>0</v>
      </c>
    </row>
    <row r="850" spans="1:64" x14ac:dyDescent="0.35">
      <c r="A850" t="s">
        <v>2289</v>
      </c>
      <c r="B850" t="s">
        <v>2285</v>
      </c>
      <c r="C850">
        <v>2022</v>
      </c>
      <c r="D850" t="s">
        <v>2286</v>
      </c>
      <c r="E850" t="s">
        <v>2287</v>
      </c>
      <c r="F850" t="s">
        <v>66</v>
      </c>
      <c r="G850" t="s">
        <v>67</v>
      </c>
      <c r="H850" t="s">
        <v>84</v>
      </c>
      <c r="I850" t="s">
        <v>2288</v>
      </c>
      <c r="J850" t="s">
        <v>70</v>
      </c>
      <c r="L850">
        <v>1</v>
      </c>
      <c r="M850" t="b">
        <v>0</v>
      </c>
      <c r="N850">
        <v>3</v>
      </c>
      <c r="O850">
        <v>1</v>
      </c>
      <c r="P850">
        <v>2</v>
      </c>
      <c r="Q850">
        <v>2</v>
      </c>
      <c r="R850">
        <v>0</v>
      </c>
      <c r="S850">
        <v>4</v>
      </c>
      <c r="T850">
        <v>18</v>
      </c>
      <c r="U850">
        <v>158</v>
      </c>
      <c r="V850">
        <v>69</v>
      </c>
      <c r="W850">
        <v>17</v>
      </c>
      <c r="X850">
        <v>4.0588235294117636</v>
      </c>
      <c r="Y850">
        <v>1</v>
      </c>
      <c r="Z850">
        <v>10</v>
      </c>
      <c r="AA850">
        <v>0</v>
      </c>
      <c r="AB850">
        <v>0</v>
      </c>
      <c r="AC850">
        <v>1</v>
      </c>
      <c r="AD850">
        <v>1</v>
      </c>
      <c r="AE850">
        <v>23</v>
      </c>
      <c r="AF850">
        <v>4</v>
      </c>
      <c r="AG850">
        <v>13</v>
      </c>
      <c r="AH850">
        <v>3</v>
      </c>
      <c r="AI850">
        <v>79</v>
      </c>
      <c r="AJ850">
        <v>1</v>
      </c>
      <c r="AK850">
        <v>3</v>
      </c>
      <c r="AL850">
        <v>4</v>
      </c>
      <c r="AM850">
        <v>82</v>
      </c>
      <c r="AN850">
        <v>5</v>
      </c>
      <c r="AO850">
        <v>23</v>
      </c>
      <c r="AP850">
        <v>2</v>
      </c>
      <c r="AQ850">
        <v>33</v>
      </c>
      <c r="AR850">
        <v>6.3291139240506333E-2</v>
      </c>
      <c r="AS850">
        <v>0</v>
      </c>
      <c r="AT850">
        <v>0.14556962025316461</v>
      </c>
      <c r="AU850">
        <v>8.2278481012658222E-2</v>
      </c>
      <c r="AV850">
        <v>0.5</v>
      </c>
      <c r="AW850">
        <v>0.51898734177215189</v>
      </c>
      <c r="AX850">
        <v>0.14556962025316461</v>
      </c>
      <c r="AY850">
        <v>0.20886075949367089</v>
      </c>
      <c r="AZ850">
        <v>-0.37341772151898728</v>
      </c>
      <c r="BA850">
        <v>0.5</v>
      </c>
      <c r="BB850">
        <v>0.50980392156862731</v>
      </c>
      <c r="BC850">
        <v>0.1333333333333333</v>
      </c>
      <c r="BD850">
        <v>0.39161392405063289</v>
      </c>
      <c r="BE850">
        <v>4</v>
      </c>
      <c r="BF850">
        <v>0.3836877947381484</v>
      </c>
      <c r="BG850">
        <v>0.46</v>
      </c>
      <c r="BH850" t="s">
        <v>71</v>
      </c>
      <c r="BI850">
        <v>0.38</v>
      </c>
      <c r="BJ850" t="s">
        <v>104</v>
      </c>
      <c r="BK850" s="2">
        <f t="shared" si="27"/>
        <v>8.0000000000000016E-2</v>
      </c>
      <c r="BL850" t="b">
        <f t="shared" si="28"/>
        <v>0</v>
      </c>
    </row>
    <row r="851" spans="1:64" x14ac:dyDescent="0.35">
      <c r="A851" t="s">
        <v>2290</v>
      </c>
      <c r="B851" t="s">
        <v>2291</v>
      </c>
      <c r="C851">
        <v>2015</v>
      </c>
      <c r="D851" t="s">
        <v>2292</v>
      </c>
      <c r="E851" t="s">
        <v>2293</v>
      </c>
      <c r="F851" t="s">
        <v>66</v>
      </c>
      <c r="G851" t="s">
        <v>101</v>
      </c>
      <c r="H851" t="s">
        <v>102</v>
      </c>
      <c r="I851" t="s">
        <v>826</v>
      </c>
      <c r="J851" t="s">
        <v>70</v>
      </c>
      <c r="L851">
        <v>3</v>
      </c>
      <c r="M851" t="b">
        <v>0</v>
      </c>
      <c r="N851">
        <v>1</v>
      </c>
      <c r="O851">
        <v>1</v>
      </c>
      <c r="P851">
        <v>8</v>
      </c>
      <c r="Q851">
        <v>3</v>
      </c>
      <c r="R851">
        <v>5</v>
      </c>
      <c r="S851">
        <v>5</v>
      </c>
      <c r="T851">
        <v>23</v>
      </c>
      <c r="U851">
        <v>191</v>
      </c>
      <c r="V851">
        <v>109</v>
      </c>
      <c r="W851">
        <v>20</v>
      </c>
      <c r="X851">
        <v>5.45</v>
      </c>
      <c r="Y851">
        <v>3</v>
      </c>
      <c r="Z851">
        <v>18</v>
      </c>
      <c r="AA851">
        <v>0</v>
      </c>
      <c r="AB851">
        <v>0</v>
      </c>
      <c r="AC851">
        <v>2</v>
      </c>
      <c r="AD851">
        <v>2</v>
      </c>
      <c r="AE851">
        <v>43</v>
      </c>
      <c r="AF851">
        <v>0</v>
      </c>
      <c r="AG851">
        <v>0</v>
      </c>
      <c r="AH851">
        <v>4</v>
      </c>
      <c r="AI851">
        <v>20</v>
      </c>
      <c r="AJ851">
        <v>1</v>
      </c>
      <c r="AK851">
        <v>1</v>
      </c>
      <c r="AL851">
        <v>5</v>
      </c>
      <c r="AM851">
        <v>21</v>
      </c>
      <c r="AN851">
        <v>3</v>
      </c>
      <c r="AO851">
        <v>18</v>
      </c>
      <c r="AP851">
        <v>5</v>
      </c>
      <c r="AQ851">
        <v>61</v>
      </c>
      <c r="AR851">
        <v>9.4240837696335081E-2</v>
      </c>
      <c r="AS851">
        <v>0</v>
      </c>
      <c r="AT851">
        <v>0.22513089005235601</v>
      </c>
      <c r="AU851">
        <v>0</v>
      </c>
      <c r="AV851">
        <v>0.10471204188481679</v>
      </c>
      <c r="AW851">
        <v>0.1099476439790576</v>
      </c>
      <c r="AX851">
        <v>9.4240837696335081E-2</v>
      </c>
      <c r="AY851">
        <v>0.3193717277486911</v>
      </c>
      <c r="AZ851">
        <v>-1.5706806282722519E-2</v>
      </c>
      <c r="BA851">
        <v>0.66666666666666663</v>
      </c>
      <c r="BB851">
        <v>0.7416666666666667</v>
      </c>
      <c r="BC851">
        <v>0.33333333333333331</v>
      </c>
      <c r="BD851">
        <v>0.61518324607329844</v>
      </c>
      <c r="BE851">
        <v>4</v>
      </c>
      <c r="BF851">
        <v>0.58921247818499123</v>
      </c>
      <c r="BG851">
        <v>0.62</v>
      </c>
      <c r="BH851" t="s">
        <v>86</v>
      </c>
      <c r="BI851">
        <v>0.59</v>
      </c>
      <c r="BJ851" t="s">
        <v>71</v>
      </c>
      <c r="BK851" s="2">
        <f t="shared" si="27"/>
        <v>3.0000000000000027E-2</v>
      </c>
      <c r="BL851" t="b">
        <f t="shared" si="28"/>
        <v>0</v>
      </c>
    </row>
    <row r="852" spans="1:64" x14ac:dyDescent="0.35">
      <c r="A852" t="s">
        <v>2294</v>
      </c>
      <c r="B852" t="s">
        <v>2291</v>
      </c>
      <c r="C852">
        <v>2021</v>
      </c>
      <c r="D852" t="s">
        <v>2292</v>
      </c>
      <c r="E852" t="s">
        <v>2293</v>
      </c>
      <c r="F852" t="s">
        <v>66</v>
      </c>
      <c r="G852" t="s">
        <v>101</v>
      </c>
      <c r="H852" t="s">
        <v>102</v>
      </c>
      <c r="I852" t="s">
        <v>826</v>
      </c>
      <c r="J852" t="s">
        <v>70</v>
      </c>
      <c r="L852">
        <v>3</v>
      </c>
      <c r="M852" t="b">
        <v>0</v>
      </c>
      <c r="N852">
        <v>1</v>
      </c>
      <c r="O852">
        <v>2</v>
      </c>
      <c r="P852">
        <v>8</v>
      </c>
      <c r="Q852">
        <v>3</v>
      </c>
      <c r="R852">
        <v>5</v>
      </c>
      <c r="S852">
        <v>6</v>
      </c>
      <c r="T852">
        <v>31</v>
      </c>
      <c r="U852">
        <v>186</v>
      </c>
      <c r="V852">
        <v>144</v>
      </c>
      <c r="W852">
        <v>27</v>
      </c>
      <c r="X852">
        <v>5.333333333333333</v>
      </c>
      <c r="Y852">
        <v>5</v>
      </c>
      <c r="Z852">
        <v>26</v>
      </c>
      <c r="AA852">
        <v>0</v>
      </c>
      <c r="AB852">
        <v>0</v>
      </c>
      <c r="AC852">
        <v>4</v>
      </c>
      <c r="AD852">
        <v>4</v>
      </c>
      <c r="AE852">
        <v>26</v>
      </c>
      <c r="AF852">
        <v>2</v>
      </c>
      <c r="AG852">
        <v>3</v>
      </c>
      <c r="AH852">
        <v>1</v>
      </c>
      <c r="AI852">
        <v>30</v>
      </c>
      <c r="AJ852">
        <v>2</v>
      </c>
      <c r="AK852">
        <v>16</v>
      </c>
      <c r="AL852">
        <v>3</v>
      </c>
      <c r="AM852">
        <v>46</v>
      </c>
      <c r="AN852">
        <v>7</v>
      </c>
      <c r="AO852">
        <v>29</v>
      </c>
      <c r="AP852">
        <v>9</v>
      </c>
      <c r="AQ852">
        <v>52</v>
      </c>
      <c r="AR852">
        <v>0.1397849462365591</v>
      </c>
      <c r="AS852">
        <v>0</v>
      </c>
      <c r="AT852">
        <v>0.1397849462365591</v>
      </c>
      <c r="AU852">
        <v>1.6129032258064519E-2</v>
      </c>
      <c r="AV852">
        <v>0.16129032258064521</v>
      </c>
      <c r="AW852">
        <v>0.24731182795698919</v>
      </c>
      <c r="AX852">
        <v>0.15591397849462371</v>
      </c>
      <c r="AY852">
        <v>0.27956989247311831</v>
      </c>
      <c r="AZ852">
        <v>-9.1397849462365593E-2</v>
      </c>
      <c r="BA852">
        <v>0.83333333333333337</v>
      </c>
      <c r="BB852">
        <v>0.72222222222222221</v>
      </c>
      <c r="BC852">
        <v>0.6</v>
      </c>
      <c r="BD852">
        <v>0.5678763440860215</v>
      </c>
      <c r="BE852">
        <v>4</v>
      </c>
      <c r="BF852">
        <v>0.68085797491039424</v>
      </c>
      <c r="BG852">
        <v>0.66</v>
      </c>
      <c r="BH852" t="s">
        <v>86</v>
      </c>
      <c r="BI852">
        <v>0.68</v>
      </c>
      <c r="BJ852" t="s">
        <v>86</v>
      </c>
      <c r="BK852" s="2">
        <f t="shared" si="27"/>
        <v>-2.0000000000000018E-2</v>
      </c>
      <c r="BL852" t="b">
        <f t="shared" si="28"/>
        <v>1</v>
      </c>
    </row>
    <row r="853" spans="1:64" x14ac:dyDescent="0.35">
      <c r="A853" t="s">
        <v>2295</v>
      </c>
      <c r="B853" t="s">
        <v>2296</v>
      </c>
      <c r="C853">
        <v>2021</v>
      </c>
      <c r="D853" t="s">
        <v>2297</v>
      </c>
      <c r="E853" t="s">
        <v>2298</v>
      </c>
      <c r="F853" t="s">
        <v>66</v>
      </c>
      <c r="G853" t="s">
        <v>101</v>
      </c>
      <c r="H853" t="s">
        <v>102</v>
      </c>
      <c r="I853" t="s">
        <v>265</v>
      </c>
      <c r="J853" t="s">
        <v>70</v>
      </c>
      <c r="L853">
        <v>2</v>
      </c>
      <c r="M853" t="b">
        <v>0</v>
      </c>
      <c r="N853">
        <v>3</v>
      </c>
      <c r="O853">
        <v>2</v>
      </c>
      <c r="P853">
        <v>4</v>
      </c>
      <c r="Q853">
        <v>2</v>
      </c>
      <c r="R853">
        <v>2</v>
      </c>
      <c r="S853">
        <v>4</v>
      </c>
      <c r="T853">
        <v>19</v>
      </c>
      <c r="U853">
        <v>165</v>
      </c>
      <c r="V853">
        <v>95</v>
      </c>
      <c r="W853">
        <v>19</v>
      </c>
      <c r="X853">
        <v>5</v>
      </c>
      <c r="Y853">
        <v>1</v>
      </c>
      <c r="Z853">
        <v>5</v>
      </c>
      <c r="AA853">
        <v>1</v>
      </c>
      <c r="AB853">
        <v>1</v>
      </c>
      <c r="AC853">
        <v>1</v>
      </c>
      <c r="AD853">
        <v>1</v>
      </c>
      <c r="AE853">
        <v>6</v>
      </c>
      <c r="AF853">
        <v>1</v>
      </c>
      <c r="AG853">
        <v>4</v>
      </c>
      <c r="AH853">
        <v>2</v>
      </c>
      <c r="AI853">
        <v>15</v>
      </c>
      <c r="AJ853">
        <v>3</v>
      </c>
      <c r="AK853">
        <v>6</v>
      </c>
      <c r="AL853">
        <v>5</v>
      </c>
      <c r="AM853">
        <v>21</v>
      </c>
      <c r="AN853">
        <v>3</v>
      </c>
      <c r="AO853">
        <v>10</v>
      </c>
      <c r="AP853">
        <v>3</v>
      </c>
      <c r="AQ853">
        <v>12</v>
      </c>
      <c r="AR853">
        <v>3.03030303030303E-2</v>
      </c>
      <c r="AS853">
        <v>6.0606060606060606E-3</v>
      </c>
      <c r="AT853">
        <v>3.6363636363636362E-2</v>
      </c>
      <c r="AU853">
        <v>2.4242424242424239E-2</v>
      </c>
      <c r="AV853">
        <v>9.0909090909090912E-2</v>
      </c>
      <c r="AW853">
        <v>0.12727272727272729</v>
      </c>
      <c r="AX853">
        <v>6.0606060606060608E-2</v>
      </c>
      <c r="AY853">
        <v>7.2727272727272724E-2</v>
      </c>
      <c r="AZ853">
        <v>-6.6666666666666652E-2</v>
      </c>
      <c r="BA853">
        <v>0.5</v>
      </c>
      <c r="BB853">
        <v>0.66666666666666663</v>
      </c>
      <c r="BC853">
        <v>0.2</v>
      </c>
      <c r="BD853">
        <v>0.58333333333333326</v>
      </c>
      <c r="BE853">
        <v>4</v>
      </c>
      <c r="BF853">
        <v>0.48749999999999999</v>
      </c>
      <c r="BG853">
        <v>0.46</v>
      </c>
      <c r="BH853" t="s">
        <v>71</v>
      </c>
      <c r="BI853">
        <v>0.49</v>
      </c>
      <c r="BJ853" t="s">
        <v>71</v>
      </c>
      <c r="BK853" s="2">
        <f t="shared" si="27"/>
        <v>-2.9999999999999971E-2</v>
      </c>
      <c r="BL853" t="b">
        <f t="shared" si="28"/>
        <v>1</v>
      </c>
    </row>
    <row r="854" spans="1:64" x14ac:dyDescent="0.35">
      <c r="A854" t="s">
        <v>2299</v>
      </c>
      <c r="B854" t="s">
        <v>2300</v>
      </c>
      <c r="C854">
        <v>2018</v>
      </c>
      <c r="D854" t="s">
        <v>2301</v>
      </c>
      <c r="E854" t="s">
        <v>2302</v>
      </c>
      <c r="F854" t="s">
        <v>66</v>
      </c>
      <c r="G854" t="s">
        <v>101</v>
      </c>
      <c r="H854" t="s">
        <v>211</v>
      </c>
      <c r="I854" t="s">
        <v>550</v>
      </c>
      <c r="J854" t="s">
        <v>70</v>
      </c>
      <c r="L854">
        <v>1</v>
      </c>
      <c r="M854" t="b">
        <v>0</v>
      </c>
      <c r="N854">
        <v>3</v>
      </c>
      <c r="O854">
        <v>2</v>
      </c>
      <c r="P854">
        <v>3</v>
      </c>
      <c r="Q854">
        <v>7</v>
      </c>
      <c r="R854">
        <v>-4</v>
      </c>
      <c r="S854">
        <v>3</v>
      </c>
      <c r="T854">
        <v>27</v>
      </c>
      <c r="U854">
        <v>2756</v>
      </c>
      <c r="V854">
        <v>79</v>
      </c>
      <c r="W854">
        <v>19</v>
      </c>
      <c r="X854">
        <v>4.1578947368421053</v>
      </c>
      <c r="Y854">
        <v>3</v>
      </c>
      <c r="Z854">
        <v>191</v>
      </c>
      <c r="AA854">
        <v>0</v>
      </c>
      <c r="AB854">
        <v>0</v>
      </c>
      <c r="AC854">
        <v>2</v>
      </c>
      <c r="AD854">
        <v>2</v>
      </c>
      <c r="AE854">
        <v>506</v>
      </c>
      <c r="AF854">
        <v>0</v>
      </c>
      <c r="AG854">
        <v>0</v>
      </c>
      <c r="AH854">
        <v>3</v>
      </c>
      <c r="AI854">
        <v>418</v>
      </c>
      <c r="AJ854">
        <v>2</v>
      </c>
      <c r="AK854">
        <v>41</v>
      </c>
      <c r="AL854">
        <v>5</v>
      </c>
      <c r="AM854">
        <v>459</v>
      </c>
      <c r="AN854">
        <v>3</v>
      </c>
      <c r="AO854">
        <v>191</v>
      </c>
      <c r="AP854">
        <v>5</v>
      </c>
      <c r="AQ854">
        <v>697</v>
      </c>
      <c r="AR854">
        <v>6.9303338171262704E-2</v>
      </c>
      <c r="AS854">
        <v>0</v>
      </c>
      <c r="AT854">
        <v>0.18359941944847599</v>
      </c>
      <c r="AU854">
        <v>0</v>
      </c>
      <c r="AV854">
        <v>0.15166908563134979</v>
      </c>
      <c r="AW854">
        <v>0.1665457184325109</v>
      </c>
      <c r="AX854">
        <v>6.9303338171262704E-2</v>
      </c>
      <c r="AY854">
        <v>0.25290275761973868</v>
      </c>
      <c r="AZ854">
        <v>-9.7242380261248193E-2</v>
      </c>
      <c r="BA854">
        <v>0.33333333333333331</v>
      </c>
      <c r="BB854">
        <v>0.52631578947368418</v>
      </c>
      <c r="BC854">
        <v>0.33333333333333331</v>
      </c>
      <c r="BD854">
        <v>0.56422351233671986</v>
      </c>
      <c r="BE854">
        <v>4</v>
      </c>
      <c r="BF854">
        <v>0.43930149211926772</v>
      </c>
      <c r="BG854">
        <v>0.48</v>
      </c>
      <c r="BH854" t="s">
        <v>71</v>
      </c>
      <c r="BI854">
        <v>0.44</v>
      </c>
      <c r="BJ854" t="s">
        <v>71</v>
      </c>
      <c r="BK854" s="2">
        <f t="shared" si="27"/>
        <v>3.999999999999998E-2</v>
      </c>
      <c r="BL854" t="b">
        <f t="shared" si="28"/>
        <v>1</v>
      </c>
    </row>
    <row r="855" spans="1:64" x14ac:dyDescent="0.35">
      <c r="A855" t="s">
        <v>2303</v>
      </c>
      <c r="B855" t="s">
        <v>2300</v>
      </c>
      <c r="C855">
        <v>2021</v>
      </c>
      <c r="D855" t="s">
        <v>2301</v>
      </c>
      <c r="E855" t="s">
        <v>2302</v>
      </c>
      <c r="F855" t="s">
        <v>66</v>
      </c>
      <c r="G855" t="s">
        <v>101</v>
      </c>
      <c r="H855" t="s">
        <v>211</v>
      </c>
      <c r="I855" t="s">
        <v>550</v>
      </c>
      <c r="J855" t="s">
        <v>70</v>
      </c>
      <c r="L855">
        <v>1</v>
      </c>
      <c r="M855" t="b">
        <v>0</v>
      </c>
      <c r="N855">
        <v>1</v>
      </c>
      <c r="O855">
        <v>1</v>
      </c>
      <c r="P855">
        <v>4</v>
      </c>
      <c r="Q855">
        <v>4</v>
      </c>
      <c r="R855">
        <v>0</v>
      </c>
      <c r="S855">
        <v>4</v>
      </c>
      <c r="T855">
        <v>18</v>
      </c>
      <c r="U855">
        <v>487</v>
      </c>
      <c r="V855">
        <v>66</v>
      </c>
      <c r="W855">
        <v>15</v>
      </c>
      <c r="X855">
        <v>4.4000000000000004</v>
      </c>
      <c r="Y855">
        <v>2</v>
      </c>
      <c r="Z855">
        <v>76</v>
      </c>
      <c r="AA855">
        <v>0</v>
      </c>
      <c r="AB855">
        <v>0</v>
      </c>
      <c r="AC855">
        <v>3</v>
      </c>
      <c r="AD855">
        <v>3</v>
      </c>
      <c r="AE855">
        <v>103</v>
      </c>
      <c r="AF855">
        <v>0</v>
      </c>
      <c r="AG855">
        <v>0</v>
      </c>
      <c r="AH855">
        <v>2</v>
      </c>
      <c r="AI855">
        <v>201</v>
      </c>
      <c r="AJ855">
        <v>3</v>
      </c>
      <c r="AK855">
        <v>59</v>
      </c>
      <c r="AL855">
        <v>5</v>
      </c>
      <c r="AM855">
        <v>260</v>
      </c>
      <c r="AN855">
        <v>2</v>
      </c>
      <c r="AO855">
        <v>76</v>
      </c>
      <c r="AP855">
        <v>5</v>
      </c>
      <c r="AQ855">
        <v>179</v>
      </c>
      <c r="AR855">
        <v>0.15605749486652981</v>
      </c>
      <c r="AS855">
        <v>0</v>
      </c>
      <c r="AT855">
        <v>0.2114989733059548</v>
      </c>
      <c r="AU855">
        <v>0</v>
      </c>
      <c r="AV855">
        <v>0.41273100616016428</v>
      </c>
      <c r="AW855">
        <v>0.53388090349075978</v>
      </c>
      <c r="AX855">
        <v>0.15605749486652981</v>
      </c>
      <c r="AY855">
        <v>0.36755646817248461</v>
      </c>
      <c r="AZ855">
        <v>-0.37782340862422997</v>
      </c>
      <c r="BA855">
        <v>0.5</v>
      </c>
      <c r="BB855">
        <v>0.56666666666666676</v>
      </c>
      <c r="BC855">
        <v>0.33333333333333331</v>
      </c>
      <c r="BD855">
        <v>0.3888603696098562</v>
      </c>
      <c r="BE855">
        <v>4</v>
      </c>
      <c r="BF855">
        <v>0.44721509240246399</v>
      </c>
      <c r="BG855">
        <v>0.51</v>
      </c>
      <c r="BH855" t="s">
        <v>71</v>
      </c>
      <c r="BI855">
        <v>0.45</v>
      </c>
      <c r="BJ855" t="s">
        <v>71</v>
      </c>
      <c r="BK855" s="2">
        <f t="shared" si="27"/>
        <v>0.06</v>
      </c>
      <c r="BL855" t="b">
        <f t="shared" si="28"/>
        <v>1</v>
      </c>
    </row>
    <row r="856" spans="1:64" x14ac:dyDescent="0.35">
      <c r="A856" t="s">
        <v>2304</v>
      </c>
      <c r="B856" t="s">
        <v>2305</v>
      </c>
      <c r="C856">
        <v>2019</v>
      </c>
      <c r="D856" t="s">
        <v>2306</v>
      </c>
      <c r="E856" t="s">
        <v>2307</v>
      </c>
      <c r="F856" t="s">
        <v>66</v>
      </c>
      <c r="G856" t="s">
        <v>101</v>
      </c>
      <c r="H856" t="s">
        <v>102</v>
      </c>
      <c r="I856" t="s">
        <v>1909</v>
      </c>
      <c r="J856" t="s">
        <v>70</v>
      </c>
      <c r="L856">
        <v>3</v>
      </c>
      <c r="M856" t="b">
        <v>0</v>
      </c>
      <c r="N856">
        <v>3</v>
      </c>
      <c r="O856">
        <v>1</v>
      </c>
      <c r="P856">
        <v>2</v>
      </c>
      <c r="Q856">
        <v>4</v>
      </c>
      <c r="R856">
        <v>-2</v>
      </c>
      <c r="S856">
        <v>3</v>
      </c>
      <c r="T856">
        <v>20</v>
      </c>
      <c r="U856">
        <v>350</v>
      </c>
      <c r="V856">
        <v>43</v>
      </c>
      <c r="W856">
        <v>11</v>
      </c>
      <c r="X856">
        <v>3.9090909090909092</v>
      </c>
      <c r="Y856">
        <v>0</v>
      </c>
      <c r="Z856">
        <v>0</v>
      </c>
      <c r="AA856">
        <v>0</v>
      </c>
      <c r="AB856">
        <v>0</v>
      </c>
      <c r="AC856">
        <v>2</v>
      </c>
      <c r="AD856">
        <v>2</v>
      </c>
      <c r="AE856">
        <v>22</v>
      </c>
      <c r="AF856">
        <v>0</v>
      </c>
      <c r="AG856">
        <v>0</v>
      </c>
      <c r="AH856">
        <v>1</v>
      </c>
      <c r="AI856">
        <v>2</v>
      </c>
      <c r="AJ856">
        <v>0</v>
      </c>
      <c r="AK856">
        <v>0</v>
      </c>
      <c r="AL856">
        <v>2</v>
      </c>
      <c r="AM856">
        <v>8</v>
      </c>
      <c r="AN856">
        <v>0</v>
      </c>
      <c r="AO856">
        <v>0</v>
      </c>
      <c r="AP856">
        <v>2</v>
      </c>
      <c r="AQ856">
        <v>22</v>
      </c>
      <c r="AR856">
        <v>0</v>
      </c>
      <c r="AS856">
        <v>0</v>
      </c>
      <c r="AT856">
        <v>6.2857142857142861E-2</v>
      </c>
      <c r="AU856">
        <v>0</v>
      </c>
      <c r="AV856">
        <v>5.7142857142857143E-3</v>
      </c>
      <c r="AW856">
        <v>2.2857142857142861E-2</v>
      </c>
      <c r="AX856">
        <v>0</v>
      </c>
      <c r="AY856">
        <v>6.2857142857142861E-2</v>
      </c>
      <c r="AZ856">
        <v>-2.2857142857142861E-2</v>
      </c>
      <c r="BA856">
        <v>0.33333333333333331</v>
      </c>
      <c r="BB856">
        <v>0.48484848484848492</v>
      </c>
      <c r="BC856">
        <v>0.1333333333333333</v>
      </c>
      <c r="BD856">
        <v>0.61071428571428565</v>
      </c>
      <c r="BE856">
        <v>4</v>
      </c>
      <c r="BF856">
        <v>0.3905573593073593</v>
      </c>
      <c r="BG856">
        <v>0.39</v>
      </c>
      <c r="BH856" t="s">
        <v>104</v>
      </c>
      <c r="BI856">
        <v>0.39</v>
      </c>
      <c r="BJ856" t="s">
        <v>104</v>
      </c>
      <c r="BK856" s="2">
        <f t="shared" si="27"/>
        <v>0</v>
      </c>
      <c r="BL856" t="b">
        <f t="shared" si="28"/>
        <v>1</v>
      </c>
    </row>
    <row r="857" spans="1:64" x14ac:dyDescent="0.35">
      <c r="A857" t="s">
        <v>2308</v>
      </c>
      <c r="B857" t="s">
        <v>2305</v>
      </c>
      <c r="C857">
        <v>2022</v>
      </c>
      <c r="D857" t="s">
        <v>2306</v>
      </c>
      <c r="E857" t="s">
        <v>2307</v>
      </c>
      <c r="F857" t="s">
        <v>66</v>
      </c>
      <c r="G857" t="s">
        <v>101</v>
      </c>
      <c r="H857" t="s">
        <v>102</v>
      </c>
      <c r="I857" t="s">
        <v>1909</v>
      </c>
      <c r="J857" t="s">
        <v>70</v>
      </c>
      <c r="L857">
        <v>3</v>
      </c>
      <c r="M857" t="b">
        <v>0</v>
      </c>
      <c r="N857">
        <v>3</v>
      </c>
      <c r="O857">
        <v>3</v>
      </c>
      <c r="P857">
        <v>5</v>
      </c>
      <c r="Q857">
        <v>3</v>
      </c>
      <c r="R857">
        <v>2</v>
      </c>
      <c r="S857">
        <v>4</v>
      </c>
      <c r="T857">
        <v>25</v>
      </c>
      <c r="U857">
        <v>784</v>
      </c>
      <c r="V857">
        <v>77</v>
      </c>
      <c r="W857">
        <v>17</v>
      </c>
      <c r="X857">
        <v>4.5294117647058822</v>
      </c>
      <c r="Y857">
        <v>2</v>
      </c>
      <c r="Z857">
        <v>19</v>
      </c>
      <c r="AA857">
        <v>0</v>
      </c>
      <c r="AB857">
        <v>0</v>
      </c>
      <c r="AC857">
        <v>3</v>
      </c>
      <c r="AD857">
        <v>3</v>
      </c>
      <c r="AE857">
        <v>152</v>
      </c>
      <c r="AF857">
        <v>0</v>
      </c>
      <c r="AG857">
        <v>0</v>
      </c>
      <c r="AH857">
        <v>2</v>
      </c>
      <c r="AI857">
        <v>268</v>
      </c>
      <c r="AJ857">
        <v>2</v>
      </c>
      <c r="AK857">
        <v>56</v>
      </c>
      <c r="AL857">
        <v>4</v>
      </c>
      <c r="AM857">
        <v>324</v>
      </c>
      <c r="AN857">
        <v>2</v>
      </c>
      <c r="AO857">
        <v>19</v>
      </c>
      <c r="AP857">
        <v>5</v>
      </c>
      <c r="AQ857">
        <v>171</v>
      </c>
      <c r="AR857">
        <v>2.423469387755102E-2</v>
      </c>
      <c r="AS857">
        <v>0</v>
      </c>
      <c r="AT857">
        <v>0.19387755102040821</v>
      </c>
      <c r="AU857">
        <v>0</v>
      </c>
      <c r="AV857">
        <v>0.34183673469387749</v>
      </c>
      <c r="AW857">
        <v>0.41326530612244899</v>
      </c>
      <c r="AX857">
        <v>2.423469387755102E-2</v>
      </c>
      <c r="AY857">
        <v>0.21811224489795919</v>
      </c>
      <c r="AZ857">
        <v>-0.38903061224489799</v>
      </c>
      <c r="BA857">
        <v>0.5</v>
      </c>
      <c r="BB857">
        <v>0.58823529411764708</v>
      </c>
      <c r="BC857">
        <v>0.33333333333333331</v>
      </c>
      <c r="BD857">
        <v>0.38185586734693872</v>
      </c>
      <c r="BE857">
        <v>4</v>
      </c>
      <c r="BF857">
        <v>0.4508561236994798</v>
      </c>
      <c r="BG857">
        <v>0.51</v>
      </c>
      <c r="BH857" t="s">
        <v>71</v>
      </c>
      <c r="BI857">
        <v>0.45</v>
      </c>
      <c r="BJ857" t="s">
        <v>71</v>
      </c>
      <c r="BK857" s="2">
        <f t="shared" si="27"/>
        <v>0.06</v>
      </c>
      <c r="BL857" t="b">
        <f t="shared" si="28"/>
        <v>1</v>
      </c>
    </row>
    <row r="858" spans="1:64" x14ac:dyDescent="0.35">
      <c r="A858" t="s">
        <v>2309</v>
      </c>
      <c r="B858" t="s">
        <v>2310</v>
      </c>
      <c r="C858">
        <v>2015</v>
      </c>
      <c r="D858" t="s">
        <v>2311</v>
      </c>
      <c r="E858" t="s">
        <v>2312</v>
      </c>
      <c r="F858" t="s">
        <v>66</v>
      </c>
      <c r="G858" t="s">
        <v>101</v>
      </c>
      <c r="H858" t="s">
        <v>424</v>
      </c>
      <c r="I858" t="s">
        <v>1712</v>
      </c>
      <c r="J858" t="s">
        <v>70</v>
      </c>
      <c r="L858">
        <v>2</v>
      </c>
      <c r="M858" t="b">
        <v>0</v>
      </c>
      <c r="N858">
        <v>2</v>
      </c>
      <c r="O858">
        <v>3</v>
      </c>
      <c r="P858">
        <v>7</v>
      </c>
      <c r="Q858">
        <v>1</v>
      </c>
      <c r="R858">
        <v>6</v>
      </c>
      <c r="S858">
        <v>5</v>
      </c>
      <c r="T858">
        <v>25</v>
      </c>
      <c r="U858">
        <v>249</v>
      </c>
      <c r="V858">
        <v>107</v>
      </c>
      <c r="W858">
        <v>20</v>
      </c>
      <c r="X858">
        <v>5.35</v>
      </c>
      <c r="Y858">
        <v>4</v>
      </c>
      <c r="Z858">
        <v>14</v>
      </c>
      <c r="AA858">
        <v>0</v>
      </c>
      <c r="AB858">
        <v>0</v>
      </c>
      <c r="AC858">
        <v>3</v>
      </c>
      <c r="AD858">
        <v>3</v>
      </c>
      <c r="AE858">
        <v>33</v>
      </c>
      <c r="AF858">
        <v>1</v>
      </c>
      <c r="AG858">
        <v>4</v>
      </c>
      <c r="AH858">
        <v>1</v>
      </c>
      <c r="AI858">
        <v>111</v>
      </c>
      <c r="AJ858">
        <v>1</v>
      </c>
      <c r="AK858">
        <v>1</v>
      </c>
      <c r="AL858">
        <v>2</v>
      </c>
      <c r="AM858">
        <v>112</v>
      </c>
      <c r="AN858">
        <v>5</v>
      </c>
      <c r="AO858">
        <v>18</v>
      </c>
      <c r="AP858">
        <v>7</v>
      </c>
      <c r="AQ858">
        <v>47</v>
      </c>
      <c r="AR858">
        <v>5.6224899598393573E-2</v>
      </c>
      <c r="AS858">
        <v>0</v>
      </c>
      <c r="AT858">
        <v>0.13253012048192769</v>
      </c>
      <c r="AU858">
        <v>1.6064257028112448E-2</v>
      </c>
      <c r="AV858">
        <v>0.44578313253012047</v>
      </c>
      <c r="AW858">
        <v>0.44979919678714858</v>
      </c>
      <c r="AX858">
        <v>7.2289156626506021E-2</v>
      </c>
      <c r="AY858">
        <v>0.1887550200803213</v>
      </c>
      <c r="AZ858">
        <v>-0.37751004016064249</v>
      </c>
      <c r="BA858">
        <v>0.66666666666666663</v>
      </c>
      <c r="BB858">
        <v>0.72499999999999998</v>
      </c>
      <c r="BC858">
        <v>0.46666666666666667</v>
      </c>
      <c r="BD858">
        <v>0.3890562248995984</v>
      </c>
      <c r="BE858">
        <v>4</v>
      </c>
      <c r="BF858">
        <v>0.56184738955823288</v>
      </c>
      <c r="BG858">
        <v>0.63</v>
      </c>
      <c r="BH858" t="s">
        <v>86</v>
      </c>
      <c r="BI858">
        <v>0.56000000000000005</v>
      </c>
      <c r="BJ858" t="s">
        <v>71</v>
      </c>
      <c r="BK858" s="2">
        <f t="shared" si="27"/>
        <v>6.9999999999999951E-2</v>
      </c>
      <c r="BL858" t="b">
        <f t="shared" si="28"/>
        <v>0</v>
      </c>
    </row>
    <row r="859" spans="1:64" x14ac:dyDescent="0.35">
      <c r="A859" t="s">
        <v>2313</v>
      </c>
      <c r="B859" t="s">
        <v>2310</v>
      </c>
      <c r="C859">
        <v>2018</v>
      </c>
      <c r="D859" t="s">
        <v>2311</v>
      </c>
      <c r="E859" t="s">
        <v>2312</v>
      </c>
      <c r="F859" t="s">
        <v>66</v>
      </c>
      <c r="G859" t="s">
        <v>101</v>
      </c>
      <c r="H859" t="s">
        <v>424</v>
      </c>
      <c r="I859" t="s">
        <v>1712</v>
      </c>
      <c r="J859" t="s">
        <v>70</v>
      </c>
      <c r="L859">
        <v>2</v>
      </c>
      <c r="M859" t="b">
        <v>0</v>
      </c>
      <c r="N859">
        <v>1</v>
      </c>
      <c r="O859">
        <v>1</v>
      </c>
      <c r="P859">
        <v>6</v>
      </c>
      <c r="Q859">
        <v>3</v>
      </c>
      <c r="R859">
        <v>3</v>
      </c>
      <c r="S859">
        <v>4</v>
      </c>
      <c r="T859">
        <v>17</v>
      </c>
      <c r="U859">
        <v>561</v>
      </c>
      <c r="V859">
        <v>84</v>
      </c>
      <c r="W859">
        <v>16</v>
      </c>
      <c r="X859">
        <v>5.25</v>
      </c>
      <c r="Y859">
        <v>3</v>
      </c>
      <c r="Z859">
        <v>22</v>
      </c>
      <c r="AA859">
        <v>0</v>
      </c>
      <c r="AB859">
        <v>0</v>
      </c>
      <c r="AC859">
        <v>2</v>
      </c>
      <c r="AD859">
        <v>2</v>
      </c>
      <c r="AE859">
        <v>206</v>
      </c>
      <c r="AF859">
        <v>0</v>
      </c>
      <c r="AG859">
        <v>0</v>
      </c>
      <c r="AH859">
        <v>1</v>
      </c>
      <c r="AI859">
        <v>24</v>
      </c>
      <c r="AJ859">
        <v>2</v>
      </c>
      <c r="AK859">
        <v>10</v>
      </c>
      <c r="AL859">
        <v>3</v>
      </c>
      <c r="AM859">
        <v>34</v>
      </c>
      <c r="AN859">
        <v>3</v>
      </c>
      <c r="AO859">
        <v>22</v>
      </c>
      <c r="AP859">
        <v>5</v>
      </c>
      <c r="AQ859">
        <v>228</v>
      </c>
      <c r="AR859">
        <v>3.9215686274509803E-2</v>
      </c>
      <c r="AS859">
        <v>0</v>
      </c>
      <c r="AT859">
        <v>0.36720142602495542</v>
      </c>
      <c r="AU859">
        <v>0</v>
      </c>
      <c r="AV859">
        <v>4.2780748663101602E-2</v>
      </c>
      <c r="AW859">
        <v>6.0606060606060608E-2</v>
      </c>
      <c r="AX859">
        <v>3.9215686274509803E-2</v>
      </c>
      <c r="AY859">
        <v>0.40641711229946531</v>
      </c>
      <c r="AZ859">
        <v>-2.1390374331550801E-2</v>
      </c>
      <c r="BA859">
        <v>0.5</v>
      </c>
      <c r="BB859">
        <v>0.70833333333333337</v>
      </c>
      <c r="BC859">
        <v>0.33333333333333331</v>
      </c>
      <c r="BD859">
        <v>0.6116310160427807</v>
      </c>
      <c r="BE859">
        <v>4</v>
      </c>
      <c r="BF859">
        <v>0.53832442067736186</v>
      </c>
      <c r="BG859">
        <v>0.55000000000000004</v>
      </c>
      <c r="BH859" t="s">
        <v>71</v>
      </c>
      <c r="BI859">
        <v>0.54</v>
      </c>
      <c r="BJ859" t="s">
        <v>71</v>
      </c>
      <c r="BK859" s="2">
        <f t="shared" si="27"/>
        <v>1.0000000000000009E-2</v>
      </c>
      <c r="BL859" t="b">
        <f t="shared" si="28"/>
        <v>1</v>
      </c>
    </row>
    <row r="860" spans="1:64" x14ac:dyDescent="0.35">
      <c r="A860" t="s">
        <v>2314</v>
      </c>
      <c r="B860" t="s">
        <v>2310</v>
      </c>
      <c r="C860">
        <v>2021</v>
      </c>
      <c r="D860" t="s">
        <v>2311</v>
      </c>
      <c r="E860" t="s">
        <v>2312</v>
      </c>
      <c r="F860" t="s">
        <v>66</v>
      </c>
      <c r="G860" t="s">
        <v>101</v>
      </c>
      <c r="H860" t="s">
        <v>424</v>
      </c>
      <c r="I860" t="s">
        <v>1712</v>
      </c>
      <c r="J860" t="s">
        <v>70</v>
      </c>
      <c r="L860">
        <v>2</v>
      </c>
      <c r="M860" t="b">
        <v>0</v>
      </c>
      <c r="N860">
        <v>3</v>
      </c>
      <c r="O860">
        <v>1</v>
      </c>
      <c r="P860">
        <v>2</v>
      </c>
      <c r="Q860">
        <v>5</v>
      </c>
      <c r="R860">
        <v>-3</v>
      </c>
      <c r="S860">
        <v>3</v>
      </c>
      <c r="T860">
        <v>23</v>
      </c>
      <c r="U860">
        <v>268</v>
      </c>
      <c r="V860">
        <v>90</v>
      </c>
      <c r="W860">
        <v>19</v>
      </c>
      <c r="X860">
        <v>4.7368421052631584</v>
      </c>
      <c r="Y860">
        <v>1</v>
      </c>
      <c r="Z860">
        <v>27</v>
      </c>
      <c r="AA860">
        <v>0</v>
      </c>
      <c r="AB860">
        <v>0</v>
      </c>
      <c r="AC860">
        <v>2</v>
      </c>
      <c r="AD860">
        <v>2</v>
      </c>
      <c r="AE860">
        <v>9</v>
      </c>
      <c r="AF860">
        <v>1</v>
      </c>
      <c r="AG860">
        <v>2</v>
      </c>
      <c r="AH860">
        <v>1</v>
      </c>
      <c r="AI860">
        <v>65</v>
      </c>
      <c r="AJ860">
        <v>3</v>
      </c>
      <c r="AK860">
        <v>28</v>
      </c>
      <c r="AL860">
        <v>5</v>
      </c>
      <c r="AM860">
        <v>95</v>
      </c>
      <c r="AN860">
        <v>2</v>
      </c>
      <c r="AO860">
        <v>29</v>
      </c>
      <c r="AP860">
        <v>3</v>
      </c>
      <c r="AQ860">
        <v>36</v>
      </c>
      <c r="AR860">
        <v>0.1007462686567164</v>
      </c>
      <c r="AS860">
        <v>0</v>
      </c>
      <c r="AT860">
        <v>3.3582089552238813E-2</v>
      </c>
      <c r="AU860">
        <v>7.462686567164179E-3</v>
      </c>
      <c r="AV860">
        <v>0.2425373134328358</v>
      </c>
      <c r="AW860">
        <v>0.35447761194029848</v>
      </c>
      <c r="AX860">
        <v>0.1082089552238806</v>
      </c>
      <c r="AY860">
        <v>0.1343283582089552</v>
      </c>
      <c r="AZ860">
        <v>-0.24626865671641801</v>
      </c>
      <c r="BA860">
        <v>0.33333333333333331</v>
      </c>
      <c r="BB860">
        <v>0.6228070175438597</v>
      </c>
      <c r="BC860">
        <v>0.2</v>
      </c>
      <c r="BD860">
        <v>0.47108208955223868</v>
      </c>
      <c r="BE860">
        <v>4</v>
      </c>
      <c r="BF860">
        <v>0.40680561010735788</v>
      </c>
      <c r="BG860">
        <v>0.45</v>
      </c>
      <c r="BH860" t="s">
        <v>71</v>
      </c>
      <c r="BI860">
        <v>0.41</v>
      </c>
      <c r="BJ860" t="s">
        <v>71</v>
      </c>
      <c r="BK860" s="2">
        <f t="shared" si="27"/>
        <v>4.0000000000000036E-2</v>
      </c>
      <c r="BL860" t="b">
        <f t="shared" si="28"/>
        <v>1</v>
      </c>
    </row>
    <row r="861" spans="1:64" x14ac:dyDescent="0.35">
      <c r="A861" t="s">
        <v>2315</v>
      </c>
      <c r="B861" t="s">
        <v>2316</v>
      </c>
      <c r="C861">
        <v>2022</v>
      </c>
      <c r="D861" t="s">
        <v>2317</v>
      </c>
      <c r="E861" t="s">
        <v>2318</v>
      </c>
      <c r="F861" t="s">
        <v>66</v>
      </c>
      <c r="G861" t="s">
        <v>101</v>
      </c>
      <c r="H861" t="s">
        <v>195</v>
      </c>
      <c r="I861" t="s">
        <v>195</v>
      </c>
      <c r="J861" t="s">
        <v>70</v>
      </c>
      <c r="L861">
        <v>3</v>
      </c>
      <c r="M861" t="b">
        <v>0</v>
      </c>
      <c r="N861">
        <v>2</v>
      </c>
      <c r="O861">
        <v>3</v>
      </c>
      <c r="P861">
        <v>12</v>
      </c>
      <c r="Q861">
        <v>1</v>
      </c>
      <c r="R861">
        <v>11</v>
      </c>
      <c r="S861">
        <v>5</v>
      </c>
      <c r="T861">
        <v>25</v>
      </c>
      <c r="U861">
        <v>434</v>
      </c>
      <c r="V861">
        <v>130</v>
      </c>
      <c r="W861">
        <v>21</v>
      </c>
      <c r="X861">
        <v>6.1904761904761907</v>
      </c>
      <c r="Y861">
        <v>7</v>
      </c>
      <c r="Z861">
        <v>48</v>
      </c>
      <c r="AA861">
        <v>1</v>
      </c>
      <c r="AB861">
        <v>1</v>
      </c>
      <c r="AC861">
        <v>3</v>
      </c>
      <c r="AD861">
        <v>3</v>
      </c>
      <c r="AE861">
        <v>283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8</v>
      </c>
      <c r="AO861">
        <v>49</v>
      </c>
      <c r="AP861">
        <v>11</v>
      </c>
      <c r="AQ861">
        <v>332</v>
      </c>
      <c r="AR861">
        <v>0.1105990783410138</v>
      </c>
      <c r="AS861">
        <v>2.304147465437788E-3</v>
      </c>
      <c r="AT861">
        <v>0.65207373271889402</v>
      </c>
      <c r="AU861">
        <v>0</v>
      </c>
      <c r="AV861">
        <v>0</v>
      </c>
      <c r="AW861">
        <v>0</v>
      </c>
      <c r="AX861">
        <v>0.1129032258064516</v>
      </c>
      <c r="AY861">
        <v>0.76497695852534564</v>
      </c>
      <c r="AZ861">
        <v>0.1129032258064516</v>
      </c>
      <c r="BA861">
        <v>0.66666666666666663</v>
      </c>
      <c r="BB861">
        <v>0.86507936507936511</v>
      </c>
      <c r="BC861">
        <v>0.73333333333333328</v>
      </c>
      <c r="BD861">
        <v>0.69556451612903214</v>
      </c>
      <c r="BE861">
        <v>4</v>
      </c>
      <c r="BF861">
        <v>0.74016097030209926</v>
      </c>
      <c r="BG861">
        <v>0.73</v>
      </c>
      <c r="BH861" t="s">
        <v>86</v>
      </c>
      <c r="BI861">
        <v>0.74</v>
      </c>
      <c r="BJ861" t="s">
        <v>86</v>
      </c>
      <c r="BK861" s="2">
        <f t="shared" si="27"/>
        <v>-1.0000000000000009E-2</v>
      </c>
      <c r="BL861" t="b">
        <f t="shared" si="28"/>
        <v>1</v>
      </c>
    </row>
    <row r="862" spans="1:64" x14ac:dyDescent="0.35">
      <c r="A862" t="s">
        <v>2319</v>
      </c>
      <c r="B862" t="s">
        <v>2320</v>
      </c>
      <c r="C862">
        <v>2014</v>
      </c>
      <c r="D862" t="s">
        <v>2321</v>
      </c>
      <c r="E862" t="s">
        <v>2322</v>
      </c>
      <c r="F862" t="s">
        <v>66</v>
      </c>
      <c r="G862" t="s">
        <v>101</v>
      </c>
      <c r="H862" t="s">
        <v>129</v>
      </c>
      <c r="I862" t="s">
        <v>437</v>
      </c>
      <c r="J862" t="s">
        <v>70</v>
      </c>
      <c r="L862">
        <v>1</v>
      </c>
      <c r="M862" t="b">
        <v>1</v>
      </c>
      <c r="N862">
        <v>1</v>
      </c>
      <c r="O862">
        <v>3</v>
      </c>
      <c r="P862">
        <v>13</v>
      </c>
      <c r="Q862">
        <v>2</v>
      </c>
      <c r="R862">
        <v>11</v>
      </c>
      <c r="S862">
        <v>7</v>
      </c>
      <c r="T862">
        <v>29</v>
      </c>
      <c r="U862">
        <v>3669</v>
      </c>
      <c r="V862">
        <v>142</v>
      </c>
      <c r="W862">
        <v>21</v>
      </c>
      <c r="X862">
        <v>6.7619047619047619</v>
      </c>
      <c r="Y862">
        <v>5</v>
      </c>
      <c r="Z862">
        <v>399</v>
      </c>
      <c r="AA862">
        <v>2</v>
      </c>
      <c r="AB862">
        <v>152</v>
      </c>
      <c r="AC862">
        <v>3</v>
      </c>
      <c r="AD862">
        <v>3</v>
      </c>
      <c r="AE862">
        <v>156</v>
      </c>
      <c r="AF862">
        <v>1</v>
      </c>
      <c r="AG862">
        <v>83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8</v>
      </c>
      <c r="AO862">
        <v>634</v>
      </c>
      <c r="AP862">
        <v>10</v>
      </c>
      <c r="AQ862">
        <v>707</v>
      </c>
      <c r="AR862">
        <v>0.1087489779231398</v>
      </c>
      <c r="AS862">
        <v>4.1428182065958018E-2</v>
      </c>
      <c r="AT862">
        <v>4.2518397383483238E-2</v>
      </c>
      <c r="AU862">
        <v>2.262196783864813E-2</v>
      </c>
      <c r="AV862">
        <v>0</v>
      </c>
      <c r="AW862">
        <v>0</v>
      </c>
      <c r="AX862">
        <v>0.17279912782774601</v>
      </c>
      <c r="AY862">
        <v>0.19269555737258109</v>
      </c>
      <c r="AZ862">
        <v>0.17279912782774601</v>
      </c>
      <c r="BA862">
        <v>1</v>
      </c>
      <c r="BB862">
        <v>0.96031746031746035</v>
      </c>
      <c r="BC862">
        <v>0.66666666666666663</v>
      </c>
      <c r="BD862">
        <v>0.73299945489234131</v>
      </c>
      <c r="BE862">
        <v>4</v>
      </c>
      <c r="BF862">
        <v>0.83999589546911713</v>
      </c>
      <c r="BG862">
        <v>0.86</v>
      </c>
      <c r="BH862" t="s">
        <v>164</v>
      </c>
      <c r="BI862">
        <v>0.84</v>
      </c>
      <c r="BJ862" t="s">
        <v>164</v>
      </c>
      <c r="BK862" s="2">
        <f t="shared" si="27"/>
        <v>2.0000000000000018E-2</v>
      </c>
      <c r="BL862" t="b">
        <f t="shared" si="28"/>
        <v>1</v>
      </c>
    </row>
    <row r="863" spans="1:64" x14ac:dyDescent="0.35">
      <c r="A863" t="s">
        <v>2323</v>
      </c>
      <c r="B863" t="s">
        <v>2320</v>
      </c>
      <c r="C863">
        <v>2017</v>
      </c>
      <c r="D863" t="s">
        <v>2321</v>
      </c>
      <c r="E863" t="s">
        <v>2322</v>
      </c>
      <c r="F863" t="s">
        <v>66</v>
      </c>
      <c r="G863" t="s">
        <v>101</v>
      </c>
      <c r="H863" t="s">
        <v>129</v>
      </c>
      <c r="I863" t="s">
        <v>437</v>
      </c>
      <c r="J863" t="s">
        <v>70</v>
      </c>
      <c r="L863">
        <v>1</v>
      </c>
      <c r="M863" t="b">
        <v>1</v>
      </c>
      <c r="N863">
        <v>1</v>
      </c>
      <c r="O863">
        <v>2</v>
      </c>
      <c r="P863">
        <v>7</v>
      </c>
      <c r="Q863">
        <v>4</v>
      </c>
      <c r="R863">
        <v>3</v>
      </c>
      <c r="S863">
        <v>5</v>
      </c>
      <c r="T863">
        <v>26</v>
      </c>
      <c r="U863">
        <v>928</v>
      </c>
      <c r="V863">
        <v>117</v>
      </c>
      <c r="W863">
        <v>21</v>
      </c>
      <c r="X863">
        <v>5.5714285714285712</v>
      </c>
      <c r="Y863">
        <v>4</v>
      </c>
      <c r="Z863">
        <v>338</v>
      </c>
      <c r="AA863">
        <v>0</v>
      </c>
      <c r="AB863">
        <v>0</v>
      </c>
      <c r="AC863">
        <v>4</v>
      </c>
      <c r="AD863">
        <v>4</v>
      </c>
      <c r="AE863">
        <v>39</v>
      </c>
      <c r="AF863">
        <v>1</v>
      </c>
      <c r="AG863">
        <v>38</v>
      </c>
      <c r="AH863">
        <v>2</v>
      </c>
      <c r="AI863">
        <v>114</v>
      </c>
      <c r="AJ863">
        <v>1</v>
      </c>
      <c r="AK863">
        <v>13</v>
      </c>
      <c r="AL863">
        <v>4</v>
      </c>
      <c r="AM863">
        <v>151</v>
      </c>
      <c r="AN863">
        <v>5</v>
      </c>
      <c r="AO863">
        <v>376</v>
      </c>
      <c r="AP863">
        <v>8</v>
      </c>
      <c r="AQ863">
        <v>377</v>
      </c>
      <c r="AR863">
        <v>0.36422413793103448</v>
      </c>
      <c r="AS863">
        <v>0</v>
      </c>
      <c r="AT863">
        <v>4.2025862068965518E-2</v>
      </c>
      <c r="AU863">
        <v>4.0948275862068957E-2</v>
      </c>
      <c r="AV863">
        <v>0.12284482758620691</v>
      </c>
      <c r="AW863">
        <v>0.16271551724137931</v>
      </c>
      <c r="AX863">
        <v>0.40517241379310343</v>
      </c>
      <c r="AY863">
        <v>0.40625</v>
      </c>
      <c r="AZ863">
        <v>0.24245689655172409</v>
      </c>
      <c r="BA863">
        <v>0.66666666666666663</v>
      </c>
      <c r="BB863">
        <v>0.76190476190476186</v>
      </c>
      <c r="BC863">
        <v>0.53333333333333333</v>
      </c>
      <c r="BD863">
        <v>0.77653556034482762</v>
      </c>
      <c r="BE863">
        <v>4</v>
      </c>
      <c r="BF863">
        <v>0.68461008056239736</v>
      </c>
      <c r="BG863">
        <v>0.7</v>
      </c>
      <c r="BH863" t="s">
        <v>86</v>
      </c>
      <c r="BI863">
        <v>0.68</v>
      </c>
      <c r="BJ863" t="s">
        <v>86</v>
      </c>
      <c r="BK863" s="2">
        <f t="shared" si="27"/>
        <v>1.9999999999999907E-2</v>
      </c>
      <c r="BL863" t="b">
        <f t="shared" si="28"/>
        <v>1</v>
      </c>
    </row>
    <row r="864" spans="1:64" x14ac:dyDescent="0.35">
      <c r="A864" t="s">
        <v>2324</v>
      </c>
      <c r="B864" t="s">
        <v>2320</v>
      </c>
      <c r="C864">
        <v>2022</v>
      </c>
      <c r="D864" t="s">
        <v>2321</v>
      </c>
      <c r="E864" t="s">
        <v>2322</v>
      </c>
      <c r="F864" t="s">
        <v>66</v>
      </c>
      <c r="G864" t="s">
        <v>101</v>
      </c>
      <c r="H864" t="s">
        <v>129</v>
      </c>
      <c r="I864" t="s">
        <v>437</v>
      </c>
      <c r="J864" t="s">
        <v>70</v>
      </c>
      <c r="L864">
        <v>1</v>
      </c>
      <c r="M864" t="b">
        <v>1</v>
      </c>
      <c r="N864">
        <v>2</v>
      </c>
      <c r="O864">
        <v>1</v>
      </c>
      <c r="P864">
        <v>3</v>
      </c>
      <c r="Q864">
        <v>0</v>
      </c>
      <c r="R864">
        <v>3</v>
      </c>
      <c r="S864">
        <v>4</v>
      </c>
      <c r="T864">
        <v>13</v>
      </c>
      <c r="U864">
        <v>78</v>
      </c>
      <c r="V864">
        <v>55</v>
      </c>
      <c r="W864">
        <v>11</v>
      </c>
      <c r="X864">
        <v>5</v>
      </c>
      <c r="Y864">
        <v>1</v>
      </c>
      <c r="Z864">
        <v>2</v>
      </c>
      <c r="AA864">
        <v>1</v>
      </c>
      <c r="AB864">
        <v>3</v>
      </c>
      <c r="AC864">
        <v>1</v>
      </c>
      <c r="AD864">
        <v>1</v>
      </c>
      <c r="AE864">
        <v>7</v>
      </c>
      <c r="AF864">
        <v>1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3</v>
      </c>
      <c r="AO864">
        <v>6</v>
      </c>
      <c r="AP864">
        <v>3</v>
      </c>
      <c r="AQ864">
        <v>12</v>
      </c>
      <c r="AR864">
        <v>2.564102564102564E-2</v>
      </c>
      <c r="AS864">
        <v>3.8461538461538457E-2</v>
      </c>
      <c r="AT864">
        <v>8.9743589743589744E-2</v>
      </c>
      <c r="AU864">
        <v>1.282051282051282E-2</v>
      </c>
      <c r="AV864">
        <v>0</v>
      </c>
      <c r="AW864">
        <v>0</v>
      </c>
      <c r="AX864">
        <v>7.6923076923076927E-2</v>
      </c>
      <c r="AY864">
        <v>0.15384615384615391</v>
      </c>
      <c r="AZ864">
        <v>7.6923076923076927E-2</v>
      </c>
      <c r="BA864">
        <v>0.5</v>
      </c>
      <c r="BB864">
        <v>0.66666666666666663</v>
      </c>
      <c r="BC864">
        <v>0.2</v>
      </c>
      <c r="BD864">
        <v>0.67307692307692302</v>
      </c>
      <c r="BE864">
        <v>4</v>
      </c>
      <c r="BF864">
        <v>0.5099358974358974</v>
      </c>
      <c r="BG864">
        <v>0.51</v>
      </c>
      <c r="BH864" t="s">
        <v>71</v>
      </c>
      <c r="BI864">
        <v>0.51</v>
      </c>
      <c r="BJ864" t="s">
        <v>71</v>
      </c>
      <c r="BK864" s="2">
        <f t="shared" si="27"/>
        <v>0</v>
      </c>
      <c r="BL864" t="b">
        <f t="shared" si="28"/>
        <v>1</v>
      </c>
    </row>
    <row r="865" spans="1:64" x14ac:dyDescent="0.35">
      <c r="A865" t="s">
        <v>2325</v>
      </c>
      <c r="B865" t="s">
        <v>2326</v>
      </c>
      <c r="C865">
        <v>2018</v>
      </c>
      <c r="D865" t="s">
        <v>2327</v>
      </c>
      <c r="E865" t="s">
        <v>2328</v>
      </c>
      <c r="F865" t="s">
        <v>66</v>
      </c>
      <c r="G865" t="s">
        <v>144</v>
      </c>
      <c r="H865" t="s">
        <v>144</v>
      </c>
      <c r="I865" t="s">
        <v>2329</v>
      </c>
      <c r="J865" t="s">
        <v>70</v>
      </c>
      <c r="L865">
        <v>1</v>
      </c>
      <c r="M865" t="b">
        <v>0</v>
      </c>
      <c r="N865">
        <v>4</v>
      </c>
      <c r="O865">
        <v>2</v>
      </c>
      <c r="P865">
        <v>1</v>
      </c>
      <c r="Q865">
        <v>5</v>
      </c>
      <c r="R865">
        <v>-4</v>
      </c>
      <c r="S865">
        <v>3</v>
      </c>
      <c r="T865">
        <v>21</v>
      </c>
      <c r="U865">
        <v>149</v>
      </c>
      <c r="V865">
        <v>70</v>
      </c>
      <c r="W865">
        <v>16</v>
      </c>
      <c r="X865">
        <v>4.375</v>
      </c>
      <c r="Y865">
        <v>0</v>
      </c>
      <c r="Z865">
        <v>0</v>
      </c>
      <c r="AA865">
        <v>0</v>
      </c>
      <c r="AB865">
        <v>0</v>
      </c>
      <c r="AC865">
        <v>2</v>
      </c>
      <c r="AD865">
        <v>2</v>
      </c>
      <c r="AE865">
        <v>22</v>
      </c>
      <c r="AF865">
        <v>2</v>
      </c>
      <c r="AG865">
        <v>18</v>
      </c>
      <c r="AH865">
        <v>1</v>
      </c>
      <c r="AI865">
        <v>12</v>
      </c>
      <c r="AJ865">
        <v>3</v>
      </c>
      <c r="AK865">
        <v>19</v>
      </c>
      <c r="AL865">
        <v>4</v>
      </c>
      <c r="AM865">
        <v>31</v>
      </c>
      <c r="AN865">
        <v>2</v>
      </c>
      <c r="AO865">
        <v>18</v>
      </c>
      <c r="AP865">
        <v>2</v>
      </c>
      <c r="AQ865">
        <v>22</v>
      </c>
      <c r="AR865">
        <v>0</v>
      </c>
      <c r="AS865">
        <v>0</v>
      </c>
      <c r="AT865">
        <v>0.1476510067114094</v>
      </c>
      <c r="AU865">
        <v>0.1208053691275168</v>
      </c>
      <c r="AV865">
        <v>8.0536912751677847E-2</v>
      </c>
      <c r="AW865">
        <v>0.20805369127516779</v>
      </c>
      <c r="AX865">
        <v>0.1208053691275168</v>
      </c>
      <c r="AY865">
        <v>0.1476510067114094</v>
      </c>
      <c r="AZ865">
        <v>-8.7248322147651006E-2</v>
      </c>
      <c r="BA865">
        <v>0.33333333333333331</v>
      </c>
      <c r="BB865">
        <v>0.5625</v>
      </c>
      <c r="BC865">
        <v>0.1333333333333333</v>
      </c>
      <c r="BD865">
        <v>0.57046979865771807</v>
      </c>
      <c r="BE865">
        <v>4</v>
      </c>
      <c r="BF865">
        <v>0.39990911633109621</v>
      </c>
      <c r="BG865">
        <v>0.41</v>
      </c>
      <c r="BH865" t="s">
        <v>71</v>
      </c>
      <c r="BI865">
        <v>0.4</v>
      </c>
      <c r="BJ865" t="s">
        <v>71</v>
      </c>
      <c r="BK865" s="2">
        <f t="shared" si="27"/>
        <v>9.9999999999999534E-3</v>
      </c>
      <c r="BL865" t="b">
        <f t="shared" si="28"/>
        <v>1</v>
      </c>
    </row>
    <row r="866" spans="1:64" x14ac:dyDescent="0.35">
      <c r="A866" t="s">
        <v>2330</v>
      </c>
      <c r="B866" t="s">
        <v>2326</v>
      </c>
      <c r="C866">
        <v>2021</v>
      </c>
      <c r="D866" t="s">
        <v>2327</v>
      </c>
      <c r="E866" t="s">
        <v>2328</v>
      </c>
      <c r="F866" t="s">
        <v>66</v>
      </c>
      <c r="G866" t="s">
        <v>144</v>
      </c>
      <c r="H866" t="s">
        <v>144</v>
      </c>
      <c r="I866" t="s">
        <v>2329</v>
      </c>
      <c r="J866" t="s">
        <v>70</v>
      </c>
      <c r="L866">
        <v>1</v>
      </c>
      <c r="M866" t="b">
        <v>0</v>
      </c>
      <c r="N866">
        <v>3</v>
      </c>
      <c r="O866">
        <v>2</v>
      </c>
      <c r="P866">
        <v>3</v>
      </c>
      <c r="Q866">
        <v>2</v>
      </c>
      <c r="R866">
        <v>1</v>
      </c>
      <c r="S866">
        <v>4</v>
      </c>
      <c r="T866">
        <v>22</v>
      </c>
      <c r="U866">
        <v>120</v>
      </c>
      <c r="V866">
        <v>60</v>
      </c>
      <c r="W866">
        <v>15</v>
      </c>
      <c r="X866">
        <v>4</v>
      </c>
      <c r="Y866">
        <v>2</v>
      </c>
      <c r="Z866">
        <v>31</v>
      </c>
      <c r="AA866">
        <v>0</v>
      </c>
      <c r="AB866">
        <v>0</v>
      </c>
      <c r="AC866">
        <v>4</v>
      </c>
      <c r="AD866">
        <v>4</v>
      </c>
      <c r="AE866">
        <v>18</v>
      </c>
      <c r="AF866">
        <v>0</v>
      </c>
      <c r="AG866">
        <v>0</v>
      </c>
      <c r="AH866">
        <v>2</v>
      </c>
      <c r="AI866">
        <v>23</v>
      </c>
      <c r="AJ866">
        <v>3</v>
      </c>
      <c r="AK866">
        <v>3</v>
      </c>
      <c r="AL866">
        <v>5</v>
      </c>
      <c r="AM866">
        <v>26</v>
      </c>
      <c r="AN866">
        <v>2</v>
      </c>
      <c r="AO866">
        <v>31</v>
      </c>
      <c r="AP866">
        <v>6</v>
      </c>
      <c r="AQ866">
        <v>49</v>
      </c>
      <c r="AR866">
        <v>0.25833333333333341</v>
      </c>
      <c r="AS866">
        <v>0</v>
      </c>
      <c r="AT866">
        <v>0.15</v>
      </c>
      <c r="AU866">
        <v>0</v>
      </c>
      <c r="AV866">
        <v>0.19166666666666671</v>
      </c>
      <c r="AW866">
        <v>0.2166666666666667</v>
      </c>
      <c r="AX866">
        <v>0.25833333333333341</v>
      </c>
      <c r="AY866">
        <v>0.40833333333333333</v>
      </c>
      <c r="AZ866">
        <v>4.1666666666666692E-2</v>
      </c>
      <c r="BA866">
        <v>0.5</v>
      </c>
      <c r="BB866">
        <v>0.5</v>
      </c>
      <c r="BC866">
        <v>0.4</v>
      </c>
      <c r="BD866">
        <v>0.65104166666666663</v>
      </c>
      <c r="BE866">
        <v>4</v>
      </c>
      <c r="BF866">
        <v>0.51276041666666661</v>
      </c>
      <c r="BG866">
        <v>0.54</v>
      </c>
      <c r="BH866" t="s">
        <v>71</v>
      </c>
      <c r="BI866">
        <v>0.51</v>
      </c>
      <c r="BJ866" t="s">
        <v>71</v>
      </c>
      <c r="BK866" s="2">
        <f t="shared" si="27"/>
        <v>3.0000000000000027E-2</v>
      </c>
      <c r="BL866" t="b">
        <f t="shared" si="28"/>
        <v>1</v>
      </c>
    </row>
    <row r="867" spans="1:64" x14ac:dyDescent="0.35">
      <c r="A867" t="s">
        <v>2331</v>
      </c>
      <c r="B867" t="s">
        <v>2332</v>
      </c>
      <c r="C867">
        <v>2018</v>
      </c>
      <c r="D867" t="s">
        <v>2333</v>
      </c>
      <c r="E867" t="s">
        <v>2334</v>
      </c>
      <c r="F867" t="s">
        <v>66</v>
      </c>
      <c r="G867" t="s">
        <v>101</v>
      </c>
      <c r="H867" t="s">
        <v>195</v>
      </c>
      <c r="I867" t="s">
        <v>2335</v>
      </c>
      <c r="J867" t="s">
        <v>70</v>
      </c>
      <c r="L867">
        <v>1</v>
      </c>
      <c r="M867" t="b">
        <v>0</v>
      </c>
      <c r="N867">
        <v>1</v>
      </c>
      <c r="O867">
        <v>2</v>
      </c>
      <c r="P867">
        <v>10</v>
      </c>
      <c r="Q867">
        <v>3</v>
      </c>
      <c r="R867">
        <v>7</v>
      </c>
      <c r="S867">
        <v>6</v>
      </c>
      <c r="T867">
        <v>33</v>
      </c>
      <c r="U867">
        <v>691</v>
      </c>
      <c r="V867">
        <v>143</v>
      </c>
      <c r="W867">
        <v>23</v>
      </c>
      <c r="X867">
        <v>6.2173913043478262</v>
      </c>
      <c r="Y867">
        <v>8</v>
      </c>
      <c r="Z867">
        <v>219</v>
      </c>
      <c r="AA867">
        <v>0</v>
      </c>
      <c r="AB867">
        <v>0</v>
      </c>
      <c r="AC867">
        <v>4</v>
      </c>
      <c r="AD867">
        <v>4</v>
      </c>
      <c r="AE867">
        <v>97</v>
      </c>
      <c r="AF867">
        <v>2</v>
      </c>
      <c r="AG867">
        <v>25</v>
      </c>
      <c r="AH867">
        <v>1</v>
      </c>
      <c r="AI867">
        <v>6</v>
      </c>
      <c r="AJ867">
        <v>4</v>
      </c>
      <c r="AK867">
        <v>23</v>
      </c>
      <c r="AL867">
        <v>5</v>
      </c>
      <c r="AM867">
        <v>29</v>
      </c>
      <c r="AN867">
        <v>10</v>
      </c>
      <c r="AO867">
        <v>244</v>
      </c>
      <c r="AP867">
        <v>12</v>
      </c>
      <c r="AQ867">
        <v>316</v>
      </c>
      <c r="AR867">
        <v>0.31693198263386402</v>
      </c>
      <c r="AS867">
        <v>0</v>
      </c>
      <c r="AT867">
        <v>0.1403762662807525</v>
      </c>
      <c r="AU867">
        <v>3.6179450072358899E-2</v>
      </c>
      <c r="AV867">
        <v>8.6830680173661367E-3</v>
      </c>
      <c r="AW867">
        <v>4.1968162083936333E-2</v>
      </c>
      <c r="AX867">
        <v>0.35311143270622292</v>
      </c>
      <c r="AY867">
        <v>0.45730824891461652</v>
      </c>
      <c r="AZ867">
        <v>0.31114327062228653</v>
      </c>
      <c r="BA867">
        <v>0.83333333333333337</v>
      </c>
      <c r="BB867">
        <v>0.86956521739130432</v>
      </c>
      <c r="BC867">
        <v>0.8</v>
      </c>
      <c r="BD867">
        <v>0.819464544138929</v>
      </c>
      <c r="BE867">
        <v>4</v>
      </c>
      <c r="BF867">
        <v>0.83059077371589174</v>
      </c>
      <c r="BG867">
        <v>0.85</v>
      </c>
      <c r="BH867" t="s">
        <v>164</v>
      </c>
      <c r="BI867">
        <v>0.83</v>
      </c>
      <c r="BJ867" t="s">
        <v>164</v>
      </c>
      <c r="BK867" s="2">
        <f t="shared" si="27"/>
        <v>2.0000000000000018E-2</v>
      </c>
      <c r="BL867" t="b">
        <f t="shared" si="28"/>
        <v>1</v>
      </c>
    </row>
    <row r="868" spans="1:64" x14ac:dyDescent="0.35">
      <c r="A868" t="s">
        <v>2336</v>
      </c>
      <c r="B868" t="s">
        <v>2332</v>
      </c>
      <c r="C868">
        <v>2021</v>
      </c>
      <c r="D868" t="s">
        <v>2333</v>
      </c>
      <c r="E868" t="s">
        <v>2334</v>
      </c>
      <c r="F868" t="s">
        <v>66</v>
      </c>
      <c r="G868" t="s">
        <v>101</v>
      </c>
      <c r="H868" t="s">
        <v>195</v>
      </c>
      <c r="I868" t="s">
        <v>2335</v>
      </c>
      <c r="J868" t="s">
        <v>70</v>
      </c>
      <c r="L868">
        <v>1</v>
      </c>
      <c r="M868" t="b">
        <v>0</v>
      </c>
      <c r="N868">
        <v>1</v>
      </c>
      <c r="O868">
        <v>2</v>
      </c>
      <c r="P868">
        <v>11</v>
      </c>
      <c r="Q868">
        <v>3</v>
      </c>
      <c r="R868">
        <v>8</v>
      </c>
      <c r="S868">
        <v>6</v>
      </c>
      <c r="T868">
        <v>35</v>
      </c>
      <c r="U868">
        <v>278</v>
      </c>
      <c r="V868">
        <v>179</v>
      </c>
      <c r="W868">
        <v>29</v>
      </c>
      <c r="X868">
        <v>6.1724137931034484</v>
      </c>
      <c r="Y868">
        <v>6</v>
      </c>
      <c r="Z868">
        <v>57</v>
      </c>
      <c r="AA868">
        <v>1</v>
      </c>
      <c r="AB868">
        <v>1</v>
      </c>
      <c r="AC868">
        <v>5</v>
      </c>
      <c r="AD868">
        <v>5</v>
      </c>
      <c r="AE868">
        <v>42</v>
      </c>
      <c r="AF868">
        <v>3</v>
      </c>
      <c r="AG868">
        <v>18</v>
      </c>
      <c r="AH868">
        <v>1</v>
      </c>
      <c r="AI868">
        <v>17</v>
      </c>
      <c r="AJ868">
        <v>1</v>
      </c>
      <c r="AK868">
        <v>4</v>
      </c>
      <c r="AL868">
        <v>2</v>
      </c>
      <c r="AM868">
        <v>21</v>
      </c>
      <c r="AN868">
        <v>10</v>
      </c>
      <c r="AO868">
        <v>76</v>
      </c>
      <c r="AP868">
        <v>12</v>
      </c>
      <c r="AQ868">
        <v>100</v>
      </c>
      <c r="AR868">
        <v>0.20503597122302161</v>
      </c>
      <c r="AS868">
        <v>3.597122302158274E-3</v>
      </c>
      <c r="AT868">
        <v>0.15107913669064749</v>
      </c>
      <c r="AU868">
        <v>6.4748201438848921E-2</v>
      </c>
      <c r="AV868">
        <v>6.1151079136690649E-2</v>
      </c>
      <c r="AW868">
        <v>7.5539568345323743E-2</v>
      </c>
      <c r="AX868">
        <v>0.2733812949640288</v>
      </c>
      <c r="AY868">
        <v>0.35971223021582732</v>
      </c>
      <c r="AZ868">
        <v>0.19784172661870511</v>
      </c>
      <c r="BA868">
        <v>0.83333333333333337</v>
      </c>
      <c r="BB868">
        <v>0.86206896551724144</v>
      </c>
      <c r="BC868">
        <v>0.8</v>
      </c>
      <c r="BD868">
        <v>0.74865107913669071</v>
      </c>
      <c r="BE868">
        <v>4</v>
      </c>
      <c r="BF868">
        <v>0.81101334449681639</v>
      </c>
      <c r="BG868">
        <v>0.84</v>
      </c>
      <c r="BH868" t="s">
        <v>164</v>
      </c>
      <c r="BI868">
        <v>0.81</v>
      </c>
      <c r="BJ868" t="s">
        <v>164</v>
      </c>
      <c r="BK868" s="2">
        <f t="shared" si="27"/>
        <v>2.9999999999999916E-2</v>
      </c>
      <c r="BL868" t="b">
        <f t="shared" si="28"/>
        <v>1</v>
      </c>
    </row>
    <row r="869" spans="1:64" x14ac:dyDescent="0.35">
      <c r="A869" t="s">
        <v>2337</v>
      </c>
      <c r="B869" t="s">
        <v>2338</v>
      </c>
      <c r="C869">
        <v>2014</v>
      </c>
      <c r="D869" t="s">
        <v>2339</v>
      </c>
      <c r="E869" t="s">
        <v>2340</v>
      </c>
      <c r="F869" t="s">
        <v>66</v>
      </c>
      <c r="G869" t="s">
        <v>101</v>
      </c>
      <c r="H869" t="s">
        <v>424</v>
      </c>
      <c r="I869" t="s">
        <v>1712</v>
      </c>
      <c r="J869" t="s">
        <v>70</v>
      </c>
      <c r="L869">
        <v>2</v>
      </c>
      <c r="M869" t="b">
        <v>0</v>
      </c>
      <c r="N869">
        <v>4</v>
      </c>
      <c r="O869">
        <v>1</v>
      </c>
      <c r="P869">
        <v>1</v>
      </c>
      <c r="Q869">
        <v>5</v>
      </c>
      <c r="R869">
        <v>-4</v>
      </c>
      <c r="S869">
        <v>2</v>
      </c>
      <c r="T869">
        <v>22</v>
      </c>
      <c r="U869">
        <v>285</v>
      </c>
      <c r="V869">
        <v>60</v>
      </c>
      <c r="W869">
        <v>16</v>
      </c>
      <c r="X869">
        <v>3.75</v>
      </c>
      <c r="Y869">
        <v>1</v>
      </c>
      <c r="Z869">
        <v>5</v>
      </c>
      <c r="AA869">
        <v>0</v>
      </c>
      <c r="AB869">
        <v>0</v>
      </c>
      <c r="AC869">
        <v>1</v>
      </c>
      <c r="AD869">
        <v>1</v>
      </c>
      <c r="AE869">
        <v>4</v>
      </c>
      <c r="AF869">
        <v>0</v>
      </c>
      <c r="AG869">
        <v>0</v>
      </c>
      <c r="AH869">
        <v>2</v>
      </c>
      <c r="AI869">
        <v>16</v>
      </c>
      <c r="AJ869">
        <v>2</v>
      </c>
      <c r="AK869">
        <v>3</v>
      </c>
      <c r="AL869">
        <v>4</v>
      </c>
      <c r="AM869">
        <v>19</v>
      </c>
      <c r="AN869">
        <v>1</v>
      </c>
      <c r="AO869">
        <v>5</v>
      </c>
      <c r="AP869">
        <v>2</v>
      </c>
      <c r="AQ869">
        <v>9</v>
      </c>
      <c r="AR869">
        <v>1.754385964912281E-2</v>
      </c>
      <c r="AS869">
        <v>0</v>
      </c>
      <c r="AT869">
        <v>1.4035087719298249E-2</v>
      </c>
      <c r="AU869">
        <v>0</v>
      </c>
      <c r="AV869">
        <v>5.6140350877192977E-2</v>
      </c>
      <c r="AW869">
        <v>6.6666666666666666E-2</v>
      </c>
      <c r="AX869">
        <v>1.754385964912281E-2</v>
      </c>
      <c r="AY869">
        <v>3.1578947368421047E-2</v>
      </c>
      <c r="AZ869">
        <v>-4.912280701754386E-2</v>
      </c>
      <c r="BA869">
        <v>0.16666666666666671</v>
      </c>
      <c r="BB869">
        <v>0.45833333333333331</v>
      </c>
      <c r="BC869">
        <v>0.1333333333333333</v>
      </c>
      <c r="BD869">
        <v>0.59429824561403499</v>
      </c>
      <c r="BE869">
        <v>4</v>
      </c>
      <c r="BF869">
        <v>0.3381578947368421</v>
      </c>
      <c r="BG869">
        <v>0.35</v>
      </c>
      <c r="BH869" t="s">
        <v>104</v>
      </c>
      <c r="BI869">
        <v>0.34</v>
      </c>
      <c r="BJ869" t="s">
        <v>104</v>
      </c>
      <c r="BK869" s="2">
        <f t="shared" si="27"/>
        <v>9.9999999999999534E-3</v>
      </c>
      <c r="BL869" t="b">
        <f t="shared" si="28"/>
        <v>1</v>
      </c>
    </row>
    <row r="870" spans="1:64" x14ac:dyDescent="0.35">
      <c r="A870" t="s">
        <v>2341</v>
      </c>
      <c r="B870" t="s">
        <v>2338</v>
      </c>
      <c r="C870">
        <v>2015</v>
      </c>
      <c r="D870" t="s">
        <v>2339</v>
      </c>
      <c r="E870" t="s">
        <v>2340</v>
      </c>
      <c r="F870" t="s">
        <v>66</v>
      </c>
      <c r="G870" t="s">
        <v>101</v>
      </c>
      <c r="H870" t="s">
        <v>424</v>
      </c>
      <c r="I870" t="s">
        <v>1712</v>
      </c>
      <c r="J870" t="s">
        <v>70</v>
      </c>
      <c r="L870">
        <v>2</v>
      </c>
      <c r="M870" t="b">
        <v>0</v>
      </c>
      <c r="N870">
        <v>5</v>
      </c>
      <c r="O870">
        <v>1</v>
      </c>
      <c r="P870">
        <v>2</v>
      </c>
      <c r="Q870">
        <v>2</v>
      </c>
      <c r="R870">
        <v>0</v>
      </c>
      <c r="S870">
        <v>2</v>
      </c>
      <c r="T870">
        <v>23</v>
      </c>
      <c r="U870">
        <v>354</v>
      </c>
      <c r="V870">
        <v>70</v>
      </c>
      <c r="W870">
        <v>16</v>
      </c>
      <c r="X870">
        <v>4.375</v>
      </c>
      <c r="Y870">
        <v>3</v>
      </c>
      <c r="Z870">
        <v>27</v>
      </c>
      <c r="AA870">
        <v>0</v>
      </c>
      <c r="AB870">
        <v>0</v>
      </c>
      <c r="AC870">
        <v>1</v>
      </c>
      <c r="AD870">
        <v>1</v>
      </c>
      <c r="AE870">
        <v>64</v>
      </c>
      <c r="AF870">
        <v>1</v>
      </c>
      <c r="AG870">
        <v>1</v>
      </c>
      <c r="AH870">
        <v>2</v>
      </c>
      <c r="AI870">
        <v>65</v>
      </c>
      <c r="AJ870">
        <v>3</v>
      </c>
      <c r="AK870">
        <v>10</v>
      </c>
      <c r="AL870">
        <v>5</v>
      </c>
      <c r="AM870">
        <v>75</v>
      </c>
      <c r="AN870">
        <v>4</v>
      </c>
      <c r="AO870">
        <v>28</v>
      </c>
      <c r="AP870">
        <v>4</v>
      </c>
      <c r="AQ870">
        <v>91</v>
      </c>
      <c r="AR870">
        <v>7.6271186440677971E-2</v>
      </c>
      <c r="AS870">
        <v>0</v>
      </c>
      <c r="AT870">
        <v>0.1807909604519774</v>
      </c>
      <c r="AU870">
        <v>2.8248587570621469E-3</v>
      </c>
      <c r="AV870">
        <v>0.18361581920903949</v>
      </c>
      <c r="AW870">
        <v>0.21186440677966101</v>
      </c>
      <c r="AX870">
        <v>7.909604519774012E-2</v>
      </c>
      <c r="AY870">
        <v>0.25706214689265539</v>
      </c>
      <c r="AZ870">
        <v>-0.1327683615819209</v>
      </c>
      <c r="BA870">
        <v>0.16666666666666671</v>
      </c>
      <c r="BB870">
        <v>0.5625</v>
      </c>
      <c r="BC870">
        <v>0.26666666666666672</v>
      </c>
      <c r="BD870">
        <v>0.54201977401129942</v>
      </c>
      <c r="BE870">
        <v>4</v>
      </c>
      <c r="BF870">
        <v>0.38446327683615822</v>
      </c>
      <c r="BG870">
        <v>0.46</v>
      </c>
      <c r="BH870" t="s">
        <v>71</v>
      </c>
      <c r="BI870">
        <v>0.38</v>
      </c>
      <c r="BJ870" t="s">
        <v>104</v>
      </c>
      <c r="BK870" s="2">
        <f t="shared" si="27"/>
        <v>8.0000000000000016E-2</v>
      </c>
      <c r="BL870" t="b">
        <f t="shared" si="28"/>
        <v>0</v>
      </c>
    </row>
    <row r="871" spans="1:64" x14ac:dyDescent="0.35">
      <c r="A871" t="s">
        <v>2342</v>
      </c>
      <c r="B871" t="s">
        <v>2343</v>
      </c>
      <c r="C871">
        <v>2014</v>
      </c>
      <c r="D871" t="s">
        <v>2344</v>
      </c>
      <c r="E871" t="s">
        <v>2345</v>
      </c>
      <c r="F871" t="s">
        <v>66</v>
      </c>
      <c r="G871" t="s">
        <v>101</v>
      </c>
      <c r="H871" t="s">
        <v>129</v>
      </c>
      <c r="I871" t="s">
        <v>129</v>
      </c>
      <c r="J871" t="s">
        <v>70</v>
      </c>
      <c r="L871">
        <v>3</v>
      </c>
      <c r="M871" t="b">
        <v>0</v>
      </c>
      <c r="N871">
        <v>1</v>
      </c>
      <c r="O871">
        <v>4</v>
      </c>
      <c r="P871">
        <v>17</v>
      </c>
      <c r="Q871">
        <v>3</v>
      </c>
      <c r="R871">
        <v>14</v>
      </c>
      <c r="S871">
        <v>7</v>
      </c>
      <c r="T871">
        <v>40</v>
      </c>
      <c r="U871">
        <v>9220</v>
      </c>
      <c r="V871">
        <v>192</v>
      </c>
      <c r="W871">
        <v>30</v>
      </c>
      <c r="X871">
        <v>6.4</v>
      </c>
      <c r="Y871">
        <v>7</v>
      </c>
      <c r="Z871">
        <v>1214</v>
      </c>
      <c r="AA871">
        <v>3</v>
      </c>
      <c r="AB871">
        <v>731</v>
      </c>
      <c r="AC871">
        <v>5</v>
      </c>
      <c r="AD871">
        <v>5</v>
      </c>
      <c r="AE871">
        <v>1385</v>
      </c>
      <c r="AF871">
        <v>2</v>
      </c>
      <c r="AG871">
        <v>494</v>
      </c>
      <c r="AH871">
        <v>1</v>
      </c>
      <c r="AI871">
        <v>136</v>
      </c>
      <c r="AJ871">
        <v>1</v>
      </c>
      <c r="AK871">
        <v>23</v>
      </c>
      <c r="AL871">
        <v>2</v>
      </c>
      <c r="AM871">
        <v>159</v>
      </c>
      <c r="AN871">
        <v>12</v>
      </c>
      <c r="AO871">
        <v>2439</v>
      </c>
      <c r="AP871">
        <v>15</v>
      </c>
      <c r="AQ871">
        <v>3330</v>
      </c>
      <c r="AR871">
        <v>0.13167028199566161</v>
      </c>
      <c r="AS871">
        <v>7.9284164859002165E-2</v>
      </c>
      <c r="AT871">
        <v>0.15021691973969631</v>
      </c>
      <c r="AU871">
        <v>5.3579175704989157E-2</v>
      </c>
      <c r="AV871">
        <v>1.475054229934924E-2</v>
      </c>
      <c r="AW871">
        <v>1.7245119305856829E-2</v>
      </c>
      <c r="AX871">
        <v>0.2645336225596529</v>
      </c>
      <c r="AY871">
        <v>0.36117136659436011</v>
      </c>
      <c r="AZ871">
        <v>0.24728850325379609</v>
      </c>
      <c r="BA871">
        <v>1</v>
      </c>
      <c r="BB871">
        <v>0.9</v>
      </c>
      <c r="BC871">
        <v>1</v>
      </c>
      <c r="BD871">
        <v>0.77955531453362259</v>
      </c>
      <c r="BE871">
        <v>4</v>
      </c>
      <c r="BF871">
        <v>0.91988882863340571</v>
      </c>
      <c r="BG871">
        <v>0.92</v>
      </c>
      <c r="BH871" t="s">
        <v>164</v>
      </c>
      <c r="BI871">
        <v>0.92</v>
      </c>
      <c r="BJ871" t="s">
        <v>164</v>
      </c>
      <c r="BK871" s="2">
        <f t="shared" si="27"/>
        <v>0</v>
      </c>
      <c r="BL871" t="b">
        <f t="shared" si="28"/>
        <v>1</v>
      </c>
    </row>
    <row r="872" spans="1:64" x14ac:dyDescent="0.35">
      <c r="A872" t="s">
        <v>2346</v>
      </c>
      <c r="B872" t="s">
        <v>2343</v>
      </c>
      <c r="C872">
        <v>2015</v>
      </c>
      <c r="D872" t="s">
        <v>2344</v>
      </c>
      <c r="E872" t="s">
        <v>2345</v>
      </c>
      <c r="F872" t="s">
        <v>66</v>
      </c>
      <c r="G872" t="s">
        <v>101</v>
      </c>
      <c r="H872" t="s">
        <v>129</v>
      </c>
      <c r="I872" t="s">
        <v>129</v>
      </c>
      <c r="J872" t="s">
        <v>70</v>
      </c>
      <c r="L872">
        <v>3</v>
      </c>
      <c r="M872" t="b">
        <v>0</v>
      </c>
      <c r="N872">
        <v>1</v>
      </c>
      <c r="O872">
        <v>4</v>
      </c>
      <c r="P872">
        <v>18</v>
      </c>
      <c r="Q872">
        <v>4</v>
      </c>
      <c r="R872">
        <v>14</v>
      </c>
      <c r="S872">
        <v>7</v>
      </c>
      <c r="T872">
        <v>47</v>
      </c>
      <c r="U872">
        <v>1463</v>
      </c>
      <c r="V872">
        <v>218</v>
      </c>
      <c r="W872">
        <v>34</v>
      </c>
      <c r="X872">
        <v>6.4117647058823533</v>
      </c>
      <c r="Y872">
        <v>7</v>
      </c>
      <c r="Z872">
        <v>264</v>
      </c>
      <c r="AA872">
        <v>2</v>
      </c>
      <c r="AB872">
        <v>41</v>
      </c>
      <c r="AC872">
        <v>9</v>
      </c>
      <c r="AD872">
        <v>8</v>
      </c>
      <c r="AE872">
        <v>363</v>
      </c>
      <c r="AF872">
        <v>1</v>
      </c>
      <c r="AG872">
        <v>100</v>
      </c>
      <c r="AH872">
        <v>1</v>
      </c>
      <c r="AI872">
        <v>7</v>
      </c>
      <c r="AJ872">
        <v>1</v>
      </c>
      <c r="AK872">
        <v>1</v>
      </c>
      <c r="AL872">
        <v>2</v>
      </c>
      <c r="AM872">
        <v>8</v>
      </c>
      <c r="AN872">
        <v>10</v>
      </c>
      <c r="AO872">
        <v>405</v>
      </c>
      <c r="AP872">
        <v>17</v>
      </c>
      <c r="AQ872">
        <v>668</v>
      </c>
      <c r="AR872">
        <v>0.18045112781954889</v>
      </c>
      <c r="AS872">
        <v>2.802460697197539E-2</v>
      </c>
      <c r="AT872">
        <v>0.24812030075187971</v>
      </c>
      <c r="AU872">
        <v>6.8352699931647304E-2</v>
      </c>
      <c r="AV872">
        <v>4.7846889952153108E-3</v>
      </c>
      <c r="AW872">
        <v>5.4682159945317844E-3</v>
      </c>
      <c r="AX872">
        <v>0.27682843472317159</v>
      </c>
      <c r="AY872">
        <v>0.45659603554340389</v>
      </c>
      <c r="AZ872">
        <v>0.2713602187286398</v>
      </c>
      <c r="BA872">
        <v>1</v>
      </c>
      <c r="BB872">
        <v>0.90196078431372551</v>
      </c>
      <c r="BC872">
        <v>1.1333333333333331</v>
      </c>
      <c r="BD872">
        <v>0.79460013670539975</v>
      </c>
      <c r="BE872">
        <v>4</v>
      </c>
      <c r="BF872">
        <v>0.95747356358811464</v>
      </c>
      <c r="BG872">
        <v>0.95</v>
      </c>
      <c r="BH872" t="s">
        <v>164</v>
      </c>
      <c r="BI872">
        <v>0.96</v>
      </c>
      <c r="BJ872" t="s">
        <v>164</v>
      </c>
      <c r="BK872" s="2">
        <f t="shared" si="27"/>
        <v>-1.0000000000000009E-2</v>
      </c>
      <c r="BL872" t="b">
        <f t="shared" si="28"/>
        <v>1</v>
      </c>
    </row>
    <row r="873" spans="1:64" x14ac:dyDescent="0.35">
      <c r="A873" t="s">
        <v>2347</v>
      </c>
      <c r="B873" t="s">
        <v>2343</v>
      </c>
      <c r="C873">
        <v>2016</v>
      </c>
      <c r="D873" t="s">
        <v>2344</v>
      </c>
      <c r="E873" t="s">
        <v>2345</v>
      </c>
      <c r="F873" t="s">
        <v>66</v>
      </c>
      <c r="G873" t="s">
        <v>101</v>
      </c>
      <c r="H873" t="s">
        <v>129</v>
      </c>
      <c r="I873" t="s">
        <v>129</v>
      </c>
      <c r="J873" t="s">
        <v>70</v>
      </c>
      <c r="L873">
        <v>3</v>
      </c>
      <c r="M873" t="b">
        <v>0</v>
      </c>
      <c r="N873">
        <v>1</v>
      </c>
      <c r="O873">
        <v>6</v>
      </c>
      <c r="P873">
        <v>17</v>
      </c>
      <c r="Q873">
        <v>5</v>
      </c>
      <c r="R873">
        <v>12</v>
      </c>
      <c r="S873">
        <v>7</v>
      </c>
      <c r="T873">
        <v>45</v>
      </c>
      <c r="U873">
        <v>2347</v>
      </c>
      <c r="V873">
        <v>198</v>
      </c>
      <c r="W873">
        <v>30</v>
      </c>
      <c r="X873">
        <v>6.6</v>
      </c>
      <c r="Y873">
        <v>5</v>
      </c>
      <c r="Z873">
        <v>397</v>
      </c>
      <c r="AA873">
        <v>3</v>
      </c>
      <c r="AB873">
        <v>221</v>
      </c>
      <c r="AC873">
        <v>4</v>
      </c>
      <c r="AD873">
        <v>4</v>
      </c>
      <c r="AE873">
        <v>247</v>
      </c>
      <c r="AF873">
        <v>1</v>
      </c>
      <c r="AG873">
        <v>85</v>
      </c>
      <c r="AH873">
        <v>1</v>
      </c>
      <c r="AI873">
        <v>8</v>
      </c>
      <c r="AJ873">
        <v>2</v>
      </c>
      <c r="AK873">
        <v>19</v>
      </c>
      <c r="AL873">
        <v>3</v>
      </c>
      <c r="AM873">
        <v>27</v>
      </c>
      <c r="AN873">
        <v>9</v>
      </c>
      <c r="AO873">
        <v>703</v>
      </c>
      <c r="AP873">
        <v>12</v>
      </c>
      <c r="AQ873">
        <v>865</v>
      </c>
      <c r="AR873">
        <v>0.16915210907541539</v>
      </c>
      <c r="AS873">
        <v>9.4162760971452916E-2</v>
      </c>
      <c r="AT873">
        <v>0.1052407328504474</v>
      </c>
      <c r="AU873">
        <v>3.6216446527481891E-2</v>
      </c>
      <c r="AV873">
        <v>3.408606731998296E-3</v>
      </c>
      <c r="AW873">
        <v>1.1504047720494249E-2</v>
      </c>
      <c r="AX873">
        <v>0.29953131657435023</v>
      </c>
      <c r="AY873">
        <v>0.3685556028973157</v>
      </c>
      <c r="AZ873">
        <v>0.28802726885385599</v>
      </c>
      <c r="BA873">
        <v>1</v>
      </c>
      <c r="BB873">
        <v>0.93333333333333324</v>
      </c>
      <c r="BC873">
        <v>0.8</v>
      </c>
      <c r="BD873">
        <v>0.80501704303366006</v>
      </c>
      <c r="BE873">
        <v>4</v>
      </c>
      <c r="BF873">
        <v>0.88458759409174836</v>
      </c>
      <c r="BG873">
        <v>0.9</v>
      </c>
      <c r="BH873" t="s">
        <v>164</v>
      </c>
      <c r="BI873">
        <v>0.88</v>
      </c>
      <c r="BJ873" t="s">
        <v>164</v>
      </c>
      <c r="BK873" s="2">
        <f t="shared" si="27"/>
        <v>2.0000000000000018E-2</v>
      </c>
      <c r="BL873" t="b">
        <f t="shared" si="28"/>
        <v>1</v>
      </c>
    </row>
    <row r="874" spans="1:64" x14ac:dyDescent="0.35">
      <c r="A874" t="s">
        <v>2348</v>
      </c>
      <c r="B874" t="s">
        <v>2343</v>
      </c>
      <c r="C874">
        <v>2017</v>
      </c>
      <c r="D874" t="s">
        <v>2344</v>
      </c>
      <c r="E874" t="s">
        <v>2345</v>
      </c>
      <c r="F874" t="s">
        <v>66</v>
      </c>
      <c r="G874" t="s">
        <v>101</v>
      </c>
      <c r="H874" t="s">
        <v>129</v>
      </c>
      <c r="I874" t="s">
        <v>129</v>
      </c>
      <c r="J874" t="s">
        <v>70</v>
      </c>
      <c r="L874">
        <v>3</v>
      </c>
      <c r="M874" t="b">
        <v>0</v>
      </c>
      <c r="N874">
        <v>1</v>
      </c>
      <c r="O874">
        <v>1</v>
      </c>
      <c r="P874">
        <v>14</v>
      </c>
      <c r="Q874">
        <v>3</v>
      </c>
      <c r="R874">
        <v>11</v>
      </c>
      <c r="S874">
        <v>6</v>
      </c>
      <c r="T874">
        <v>40</v>
      </c>
      <c r="U874">
        <v>1028</v>
      </c>
      <c r="V874">
        <v>185</v>
      </c>
      <c r="W874">
        <v>29</v>
      </c>
      <c r="X874">
        <v>6.3793103448275863</v>
      </c>
      <c r="Y874">
        <v>7</v>
      </c>
      <c r="Z874">
        <v>179</v>
      </c>
      <c r="AA874">
        <v>2</v>
      </c>
      <c r="AB874">
        <v>62</v>
      </c>
      <c r="AC874">
        <v>8</v>
      </c>
      <c r="AD874">
        <v>7</v>
      </c>
      <c r="AE874">
        <v>99</v>
      </c>
      <c r="AF874">
        <v>1</v>
      </c>
      <c r="AG874">
        <v>38</v>
      </c>
      <c r="AH874">
        <v>1</v>
      </c>
      <c r="AI874">
        <v>1</v>
      </c>
      <c r="AJ874">
        <v>1</v>
      </c>
      <c r="AK874">
        <v>3</v>
      </c>
      <c r="AL874">
        <v>3</v>
      </c>
      <c r="AM874">
        <v>20</v>
      </c>
      <c r="AN874">
        <v>10</v>
      </c>
      <c r="AO874">
        <v>279</v>
      </c>
      <c r="AP874">
        <v>16</v>
      </c>
      <c r="AQ874">
        <v>340</v>
      </c>
      <c r="AR874">
        <v>0.17412451361867701</v>
      </c>
      <c r="AS874">
        <v>6.0311284046692608E-2</v>
      </c>
      <c r="AT874">
        <v>9.6303501945525297E-2</v>
      </c>
      <c r="AU874">
        <v>3.6964980544747082E-2</v>
      </c>
      <c r="AV874">
        <v>9.727626459143969E-4</v>
      </c>
      <c r="AW874">
        <v>1.9455252918287941E-2</v>
      </c>
      <c r="AX874">
        <v>0.27140077821011671</v>
      </c>
      <c r="AY874">
        <v>0.33073929961089488</v>
      </c>
      <c r="AZ874">
        <v>0.25194552529182879</v>
      </c>
      <c r="BA874">
        <v>0.83333333333333337</v>
      </c>
      <c r="BB874">
        <v>0.89655172413793105</v>
      </c>
      <c r="BC874">
        <v>1.0666666666666671</v>
      </c>
      <c r="BD874">
        <v>0.78246595330739299</v>
      </c>
      <c r="BE874">
        <v>4</v>
      </c>
      <c r="BF874">
        <v>0.89475441936133104</v>
      </c>
      <c r="BG874">
        <v>0.89</v>
      </c>
      <c r="BH874" t="s">
        <v>164</v>
      </c>
      <c r="BI874">
        <v>0.89</v>
      </c>
      <c r="BJ874" t="s">
        <v>164</v>
      </c>
      <c r="BK874" s="2">
        <f t="shared" si="27"/>
        <v>0</v>
      </c>
      <c r="BL874" t="b">
        <f t="shared" si="28"/>
        <v>1</v>
      </c>
    </row>
    <row r="875" spans="1:64" x14ac:dyDescent="0.35">
      <c r="A875" t="s">
        <v>2349</v>
      </c>
      <c r="B875" t="s">
        <v>2343</v>
      </c>
      <c r="C875">
        <v>2020</v>
      </c>
      <c r="D875" t="s">
        <v>2344</v>
      </c>
      <c r="E875" t="s">
        <v>2345</v>
      </c>
      <c r="F875" t="s">
        <v>66</v>
      </c>
      <c r="G875" t="s">
        <v>101</v>
      </c>
      <c r="H875" t="s">
        <v>129</v>
      </c>
      <c r="I875" t="s">
        <v>129</v>
      </c>
      <c r="J875" t="s">
        <v>70</v>
      </c>
      <c r="L875">
        <v>3</v>
      </c>
      <c r="M875" t="b">
        <v>0</v>
      </c>
      <c r="N875">
        <v>4</v>
      </c>
      <c r="O875">
        <v>4</v>
      </c>
      <c r="P875">
        <v>4</v>
      </c>
      <c r="Q875">
        <v>5</v>
      </c>
      <c r="R875">
        <v>-1</v>
      </c>
      <c r="S875">
        <v>3</v>
      </c>
      <c r="T875">
        <v>23</v>
      </c>
      <c r="U875">
        <v>371</v>
      </c>
      <c r="V875">
        <v>68</v>
      </c>
      <c r="W875">
        <v>17</v>
      </c>
      <c r="X875">
        <v>4</v>
      </c>
      <c r="Y875">
        <v>1</v>
      </c>
      <c r="Z875">
        <v>42</v>
      </c>
      <c r="AA875">
        <v>0</v>
      </c>
      <c r="AB875">
        <v>0</v>
      </c>
      <c r="AC875">
        <v>2</v>
      </c>
      <c r="AD875">
        <v>1</v>
      </c>
      <c r="AE875">
        <v>55</v>
      </c>
      <c r="AF875">
        <v>1</v>
      </c>
      <c r="AG875">
        <v>4</v>
      </c>
      <c r="AH875">
        <v>2</v>
      </c>
      <c r="AI875">
        <v>79</v>
      </c>
      <c r="AJ875">
        <v>1</v>
      </c>
      <c r="AK875">
        <v>6</v>
      </c>
      <c r="AL875">
        <v>3</v>
      </c>
      <c r="AM875">
        <v>85</v>
      </c>
      <c r="AN875">
        <v>2</v>
      </c>
      <c r="AO875">
        <v>46</v>
      </c>
      <c r="AP875">
        <v>2</v>
      </c>
      <c r="AQ875">
        <v>97</v>
      </c>
      <c r="AR875">
        <v>0.1132075471698113</v>
      </c>
      <c r="AS875">
        <v>0</v>
      </c>
      <c r="AT875">
        <v>0.14824797843665771</v>
      </c>
      <c r="AU875">
        <v>1.078167115902965E-2</v>
      </c>
      <c r="AV875">
        <v>0.2129380053908356</v>
      </c>
      <c r="AW875">
        <v>0.22911051212938011</v>
      </c>
      <c r="AX875">
        <v>0.12398921832884099</v>
      </c>
      <c r="AY875">
        <v>0.26145552560646901</v>
      </c>
      <c r="AZ875">
        <v>-0.1051212938005391</v>
      </c>
      <c r="BA875">
        <v>0.33333333333333331</v>
      </c>
      <c r="BB875">
        <v>0.5</v>
      </c>
      <c r="BC875">
        <v>0.1333333333333333</v>
      </c>
      <c r="BD875">
        <v>0.559299191374663</v>
      </c>
      <c r="BE875">
        <v>4</v>
      </c>
      <c r="BF875">
        <v>0.38149146451033239</v>
      </c>
      <c r="BG875">
        <v>0.41</v>
      </c>
      <c r="BH875" t="s">
        <v>71</v>
      </c>
      <c r="BI875">
        <v>0.38</v>
      </c>
      <c r="BJ875" t="s">
        <v>104</v>
      </c>
      <c r="BK875" s="2">
        <f t="shared" si="27"/>
        <v>2.9999999999999971E-2</v>
      </c>
      <c r="BL875" t="b">
        <f t="shared" si="28"/>
        <v>0</v>
      </c>
    </row>
    <row r="876" spans="1:64" x14ac:dyDescent="0.35">
      <c r="A876" t="s">
        <v>2350</v>
      </c>
      <c r="B876" t="s">
        <v>2351</v>
      </c>
      <c r="C876">
        <v>2014</v>
      </c>
      <c r="D876" t="s">
        <v>2352</v>
      </c>
      <c r="E876" t="s">
        <v>2353</v>
      </c>
      <c r="F876" t="s">
        <v>66</v>
      </c>
      <c r="G876" t="s">
        <v>144</v>
      </c>
      <c r="H876" t="s">
        <v>898</v>
      </c>
      <c r="I876" t="s">
        <v>898</v>
      </c>
      <c r="J876" t="s">
        <v>70</v>
      </c>
      <c r="L876">
        <v>3</v>
      </c>
      <c r="M876" t="b">
        <v>0</v>
      </c>
      <c r="N876">
        <v>1</v>
      </c>
      <c r="O876">
        <v>1</v>
      </c>
      <c r="P876">
        <v>7</v>
      </c>
      <c r="Q876">
        <v>4</v>
      </c>
      <c r="R876">
        <v>3</v>
      </c>
      <c r="S876">
        <v>4</v>
      </c>
      <c r="T876">
        <v>30</v>
      </c>
      <c r="U876">
        <v>418</v>
      </c>
      <c r="V876">
        <v>133</v>
      </c>
      <c r="W876">
        <v>25</v>
      </c>
      <c r="X876">
        <v>5.32</v>
      </c>
      <c r="Y876">
        <v>3</v>
      </c>
      <c r="Z876">
        <v>117</v>
      </c>
      <c r="AA876">
        <v>0</v>
      </c>
      <c r="AB876">
        <v>0</v>
      </c>
      <c r="AC876">
        <v>2</v>
      </c>
      <c r="AD876">
        <v>2</v>
      </c>
      <c r="AE876">
        <v>160</v>
      </c>
      <c r="AF876">
        <v>3</v>
      </c>
      <c r="AG876">
        <v>7</v>
      </c>
      <c r="AH876">
        <v>1</v>
      </c>
      <c r="AI876">
        <v>45</v>
      </c>
      <c r="AJ876">
        <v>3</v>
      </c>
      <c r="AK876">
        <v>7</v>
      </c>
      <c r="AL876">
        <v>4</v>
      </c>
      <c r="AM876">
        <v>52</v>
      </c>
      <c r="AN876">
        <v>6</v>
      </c>
      <c r="AO876">
        <v>124</v>
      </c>
      <c r="AP876">
        <v>5</v>
      </c>
      <c r="AQ876">
        <v>277</v>
      </c>
      <c r="AR876">
        <v>0.27990430622009571</v>
      </c>
      <c r="AS876">
        <v>0</v>
      </c>
      <c r="AT876">
        <v>0.38277511961722488</v>
      </c>
      <c r="AU876">
        <v>1.6746411483253589E-2</v>
      </c>
      <c r="AV876">
        <v>0.1076555023923445</v>
      </c>
      <c r="AW876">
        <v>0.1244019138755981</v>
      </c>
      <c r="AX876">
        <v>0.29665071770334928</v>
      </c>
      <c r="AY876">
        <v>0.66267942583732053</v>
      </c>
      <c r="AZ876">
        <v>0.17224880382775121</v>
      </c>
      <c r="BA876">
        <v>0.5</v>
      </c>
      <c r="BB876">
        <v>0.72000000000000008</v>
      </c>
      <c r="BC876">
        <v>0.33333333333333331</v>
      </c>
      <c r="BD876">
        <v>0.73265550239234445</v>
      </c>
      <c r="BE876">
        <v>4</v>
      </c>
      <c r="BF876">
        <v>0.57149720893141942</v>
      </c>
      <c r="BG876">
        <v>0.63</v>
      </c>
      <c r="BH876" t="s">
        <v>86</v>
      </c>
      <c r="BI876">
        <v>0.56999999999999995</v>
      </c>
      <c r="BJ876" t="s">
        <v>71</v>
      </c>
      <c r="BK876" s="2">
        <f t="shared" si="27"/>
        <v>6.0000000000000053E-2</v>
      </c>
      <c r="BL876" t="b">
        <f t="shared" si="28"/>
        <v>0</v>
      </c>
    </row>
    <row r="877" spans="1:64" x14ac:dyDescent="0.35">
      <c r="A877" t="s">
        <v>2354</v>
      </c>
      <c r="B877" t="s">
        <v>2351</v>
      </c>
      <c r="C877">
        <v>2015</v>
      </c>
      <c r="D877" t="s">
        <v>2352</v>
      </c>
      <c r="E877" t="s">
        <v>2353</v>
      </c>
      <c r="F877" t="s">
        <v>66</v>
      </c>
      <c r="G877" t="s">
        <v>144</v>
      </c>
      <c r="H877" t="s">
        <v>898</v>
      </c>
      <c r="I877" t="s">
        <v>898</v>
      </c>
      <c r="J877" t="s">
        <v>70</v>
      </c>
      <c r="L877">
        <v>3</v>
      </c>
      <c r="M877" t="b">
        <v>0</v>
      </c>
      <c r="N877">
        <v>3</v>
      </c>
      <c r="O877">
        <v>2</v>
      </c>
      <c r="P877">
        <v>6</v>
      </c>
      <c r="Q877">
        <v>4</v>
      </c>
      <c r="R877">
        <v>2</v>
      </c>
      <c r="S877">
        <v>4</v>
      </c>
      <c r="T877">
        <v>24</v>
      </c>
      <c r="U877">
        <v>322</v>
      </c>
      <c r="V877">
        <v>89</v>
      </c>
      <c r="W877">
        <v>18</v>
      </c>
      <c r="X877">
        <v>4.9444444444444446</v>
      </c>
      <c r="Y877">
        <v>2</v>
      </c>
      <c r="Z877">
        <v>22</v>
      </c>
      <c r="AA877">
        <v>0</v>
      </c>
      <c r="AB877">
        <v>0</v>
      </c>
      <c r="AC877">
        <v>3</v>
      </c>
      <c r="AD877">
        <v>3</v>
      </c>
      <c r="AE877">
        <v>106</v>
      </c>
      <c r="AF877">
        <v>0</v>
      </c>
      <c r="AG877">
        <v>0</v>
      </c>
      <c r="AH877">
        <v>1</v>
      </c>
      <c r="AI877">
        <v>28</v>
      </c>
      <c r="AJ877">
        <v>2</v>
      </c>
      <c r="AK877">
        <v>3</v>
      </c>
      <c r="AL877">
        <v>3</v>
      </c>
      <c r="AM877">
        <v>31</v>
      </c>
      <c r="AN877">
        <v>2</v>
      </c>
      <c r="AO877">
        <v>22</v>
      </c>
      <c r="AP877">
        <v>5</v>
      </c>
      <c r="AQ877">
        <v>128</v>
      </c>
      <c r="AR877">
        <v>6.8322981366459631E-2</v>
      </c>
      <c r="AS877">
        <v>0</v>
      </c>
      <c r="AT877">
        <v>0.32919254658385089</v>
      </c>
      <c r="AU877">
        <v>0</v>
      </c>
      <c r="AV877">
        <v>8.6956521739130432E-2</v>
      </c>
      <c r="AW877">
        <v>9.627329192546584E-2</v>
      </c>
      <c r="AX877">
        <v>6.8322981366459631E-2</v>
      </c>
      <c r="AY877">
        <v>0.39751552795031048</v>
      </c>
      <c r="AZ877">
        <v>-2.7950310559006208E-2</v>
      </c>
      <c r="BA877">
        <v>0.5</v>
      </c>
      <c r="BB877">
        <v>0.65740740740740744</v>
      </c>
      <c r="BC877">
        <v>0.33333333333333331</v>
      </c>
      <c r="BD877">
        <v>0.60753105590062106</v>
      </c>
      <c r="BE877">
        <v>4</v>
      </c>
      <c r="BF877">
        <v>0.52456794916034044</v>
      </c>
      <c r="BG877">
        <v>0.54</v>
      </c>
      <c r="BH877" t="s">
        <v>71</v>
      </c>
      <c r="BI877">
        <v>0.52</v>
      </c>
      <c r="BJ877" t="s">
        <v>71</v>
      </c>
      <c r="BK877" s="2">
        <f t="shared" si="27"/>
        <v>2.0000000000000018E-2</v>
      </c>
      <c r="BL877" t="b">
        <f t="shared" si="28"/>
        <v>1</v>
      </c>
    </row>
    <row r="878" spans="1:64" x14ac:dyDescent="0.35">
      <c r="A878" t="s">
        <v>2355</v>
      </c>
      <c r="B878" t="s">
        <v>2351</v>
      </c>
      <c r="C878">
        <v>2016</v>
      </c>
      <c r="D878" t="s">
        <v>2352</v>
      </c>
      <c r="E878" t="s">
        <v>2353</v>
      </c>
      <c r="F878" t="s">
        <v>66</v>
      </c>
      <c r="G878" t="s">
        <v>144</v>
      </c>
      <c r="H878" t="s">
        <v>898</v>
      </c>
      <c r="I878" t="s">
        <v>898</v>
      </c>
      <c r="J878" t="s">
        <v>70</v>
      </c>
      <c r="L878">
        <v>3</v>
      </c>
      <c r="M878" t="b">
        <v>0</v>
      </c>
      <c r="N878">
        <v>1</v>
      </c>
      <c r="O878">
        <v>1</v>
      </c>
      <c r="P878">
        <v>3</v>
      </c>
      <c r="Q878">
        <v>1</v>
      </c>
      <c r="R878">
        <v>2</v>
      </c>
      <c r="S878">
        <v>4</v>
      </c>
      <c r="T878">
        <v>19</v>
      </c>
      <c r="U878">
        <v>410</v>
      </c>
      <c r="V878">
        <v>67</v>
      </c>
      <c r="W878">
        <v>14</v>
      </c>
      <c r="X878">
        <v>4.7857142857142856</v>
      </c>
      <c r="Y878">
        <v>3</v>
      </c>
      <c r="Z878">
        <v>75</v>
      </c>
      <c r="AA878">
        <v>0</v>
      </c>
      <c r="AB878">
        <v>0</v>
      </c>
      <c r="AC878">
        <v>3</v>
      </c>
      <c r="AD878">
        <v>3</v>
      </c>
      <c r="AE878">
        <v>139</v>
      </c>
      <c r="AF878">
        <v>2</v>
      </c>
      <c r="AG878">
        <v>6</v>
      </c>
      <c r="AH878">
        <v>1</v>
      </c>
      <c r="AI878">
        <v>15</v>
      </c>
      <c r="AJ878">
        <v>0</v>
      </c>
      <c r="AK878">
        <v>0</v>
      </c>
      <c r="AL878">
        <v>1</v>
      </c>
      <c r="AM878">
        <v>15</v>
      </c>
      <c r="AN878">
        <v>5</v>
      </c>
      <c r="AO878">
        <v>81</v>
      </c>
      <c r="AP878">
        <v>6</v>
      </c>
      <c r="AQ878">
        <v>214</v>
      </c>
      <c r="AR878">
        <v>0.18292682926829271</v>
      </c>
      <c r="AS878">
        <v>0</v>
      </c>
      <c r="AT878">
        <v>0.33902439024390252</v>
      </c>
      <c r="AU878">
        <v>1.4634146341463421E-2</v>
      </c>
      <c r="AV878">
        <v>3.6585365853658527E-2</v>
      </c>
      <c r="AW878">
        <v>3.6585365853658527E-2</v>
      </c>
      <c r="AX878">
        <v>0.19756097560975611</v>
      </c>
      <c r="AY878">
        <v>0.52195121951219514</v>
      </c>
      <c r="AZ878">
        <v>0.16097560975609759</v>
      </c>
      <c r="BA878">
        <v>0.5</v>
      </c>
      <c r="BB878">
        <v>0.63095238095238093</v>
      </c>
      <c r="BC878">
        <v>0.4</v>
      </c>
      <c r="BD878">
        <v>0.72560975609756106</v>
      </c>
      <c r="BE878">
        <v>4</v>
      </c>
      <c r="BF878">
        <v>0.56414053426248545</v>
      </c>
      <c r="BG878">
        <v>0.59</v>
      </c>
      <c r="BH878" t="s">
        <v>71</v>
      </c>
      <c r="BI878">
        <v>0.56000000000000005</v>
      </c>
      <c r="BJ878" t="s">
        <v>71</v>
      </c>
      <c r="BK878" s="2">
        <f t="shared" si="27"/>
        <v>2.9999999999999916E-2</v>
      </c>
      <c r="BL878" t="b">
        <f t="shared" si="28"/>
        <v>1</v>
      </c>
    </row>
    <row r="879" spans="1:64" x14ac:dyDescent="0.35">
      <c r="A879" t="s">
        <v>2356</v>
      </c>
      <c r="B879" t="s">
        <v>2351</v>
      </c>
      <c r="C879">
        <v>2017</v>
      </c>
      <c r="D879" t="s">
        <v>2352</v>
      </c>
      <c r="E879" t="s">
        <v>2353</v>
      </c>
      <c r="F879" t="s">
        <v>66</v>
      </c>
      <c r="G879" t="s">
        <v>144</v>
      </c>
      <c r="H879" t="s">
        <v>898</v>
      </c>
      <c r="I879" t="s">
        <v>898</v>
      </c>
      <c r="J879" t="s">
        <v>70</v>
      </c>
      <c r="L879">
        <v>3</v>
      </c>
      <c r="M879" t="b">
        <v>0</v>
      </c>
      <c r="N879">
        <v>1</v>
      </c>
      <c r="O879">
        <v>1</v>
      </c>
      <c r="P879">
        <v>5</v>
      </c>
      <c r="Q879">
        <v>4</v>
      </c>
      <c r="R879">
        <v>1</v>
      </c>
      <c r="S879">
        <v>4</v>
      </c>
      <c r="T879">
        <v>29</v>
      </c>
      <c r="U879">
        <v>308</v>
      </c>
      <c r="V879">
        <v>109</v>
      </c>
      <c r="W879">
        <v>22</v>
      </c>
      <c r="X879">
        <v>4.9545454545454541</v>
      </c>
      <c r="Y879">
        <v>3</v>
      </c>
      <c r="Z879">
        <v>33</v>
      </c>
      <c r="AA879">
        <v>0</v>
      </c>
      <c r="AB879">
        <v>0</v>
      </c>
      <c r="AC879">
        <v>3</v>
      </c>
      <c r="AD879">
        <v>3</v>
      </c>
      <c r="AE879">
        <v>44</v>
      </c>
      <c r="AF879">
        <v>2</v>
      </c>
      <c r="AG879">
        <v>26</v>
      </c>
      <c r="AH879">
        <v>2</v>
      </c>
      <c r="AI879">
        <v>73</v>
      </c>
      <c r="AJ879">
        <v>1</v>
      </c>
      <c r="AK879">
        <v>2</v>
      </c>
      <c r="AL879">
        <v>3</v>
      </c>
      <c r="AM879">
        <v>75</v>
      </c>
      <c r="AN879">
        <v>5</v>
      </c>
      <c r="AO879">
        <v>59</v>
      </c>
      <c r="AP879">
        <v>6</v>
      </c>
      <c r="AQ879">
        <v>77</v>
      </c>
      <c r="AR879">
        <v>0.1071428571428571</v>
      </c>
      <c r="AS879">
        <v>0</v>
      </c>
      <c r="AT879">
        <v>0.14285714285714279</v>
      </c>
      <c r="AU879">
        <v>8.4415584415584416E-2</v>
      </c>
      <c r="AV879">
        <v>0.23701298701298701</v>
      </c>
      <c r="AW879">
        <v>0.2435064935064935</v>
      </c>
      <c r="AX879">
        <v>0.19155844155844159</v>
      </c>
      <c r="AY879">
        <v>0.25</v>
      </c>
      <c r="AZ879">
        <v>-5.1948051948051938E-2</v>
      </c>
      <c r="BA879">
        <v>0.5</v>
      </c>
      <c r="BB879">
        <v>0.65909090909090906</v>
      </c>
      <c r="BC879">
        <v>0.4</v>
      </c>
      <c r="BD879">
        <v>0.59253246753246747</v>
      </c>
      <c r="BE879">
        <v>4</v>
      </c>
      <c r="BF879">
        <v>0.53790584415584419</v>
      </c>
      <c r="BG879">
        <v>0.57999999999999996</v>
      </c>
      <c r="BH879" t="s">
        <v>71</v>
      </c>
      <c r="BI879">
        <v>0.54</v>
      </c>
      <c r="BJ879" t="s">
        <v>71</v>
      </c>
      <c r="BK879" s="2">
        <f t="shared" si="27"/>
        <v>3.9999999999999925E-2</v>
      </c>
      <c r="BL879" t="b">
        <f t="shared" si="28"/>
        <v>1</v>
      </c>
    </row>
    <row r="880" spans="1:64" x14ac:dyDescent="0.35">
      <c r="A880" t="s">
        <v>2357</v>
      </c>
      <c r="B880" t="s">
        <v>2351</v>
      </c>
      <c r="C880">
        <v>2020</v>
      </c>
      <c r="D880" t="s">
        <v>2352</v>
      </c>
      <c r="E880" t="s">
        <v>2353</v>
      </c>
      <c r="F880" t="s">
        <v>66</v>
      </c>
      <c r="G880" t="s">
        <v>144</v>
      </c>
      <c r="H880" t="s">
        <v>898</v>
      </c>
      <c r="I880" t="s">
        <v>898</v>
      </c>
      <c r="J880" t="s">
        <v>70</v>
      </c>
      <c r="L880">
        <v>3</v>
      </c>
      <c r="M880" t="b">
        <v>0</v>
      </c>
      <c r="N880">
        <v>1</v>
      </c>
      <c r="O880">
        <v>2</v>
      </c>
      <c r="P880">
        <v>9</v>
      </c>
      <c r="Q880">
        <v>6</v>
      </c>
      <c r="R880">
        <v>3</v>
      </c>
      <c r="S880">
        <v>5</v>
      </c>
      <c r="T880">
        <v>30</v>
      </c>
      <c r="U880">
        <v>1640</v>
      </c>
      <c r="V880">
        <v>153</v>
      </c>
      <c r="W880">
        <v>27</v>
      </c>
      <c r="X880">
        <v>5.666666666666667</v>
      </c>
      <c r="Y880">
        <v>5</v>
      </c>
      <c r="Z880">
        <v>196</v>
      </c>
      <c r="AA880">
        <v>1</v>
      </c>
      <c r="AB880">
        <v>11</v>
      </c>
      <c r="AC880">
        <v>2</v>
      </c>
      <c r="AD880">
        <v>2</v>
      </c>
      <c r="AE880">
        <v>697</v>
      </c>
      <c r="AF880">
        <v>1</v>
      </c>
      <c r="AG880">
        <v>43</v>
      </c>
      <c r="AH880">
        <v>2</v>
      </c>
      <c r="AI880">
        <v>40</v>
      </c>
      <c r="AJ880">
        <v>3</v>
      </c>
      <c r="AK880">
        <v>5</v>
      </c>
      <c r="AL880">
        <v>5</v>
      </c>
      <c r="AM880">
        <v>45</v>
      </c>
      <c r="AN880">
        <v>7</v>
      </c>
      <c r="AO880">
        <v>250</v>
      </c>
      <c r="AP880">
        <v>8</v>
      </c>
      <c r="AQ880">
        <v>904</v>
      </c>
      <c r="AR880">
        <v>0.1195121951219512</v>
      </c>
      <c r="AS880">
        <v>6.7073170731707316E-3</v>
      </c>
      <c r="AT880">
        <v>0.42499999999999999</v>
      </c>
      <c r="AU880">
        <v>2.621951219512195E-2</v>
      </c>
      <c r="AV880">
        <v>2.4390243902439029E-2</v>
      </c>
      <c r="AW880">
        <v>2.7439024390243899E-2</v>
      </c>
      <c r="AX880">
        <v>0.1524390243902439</v>
      </c>
      <c r="AY880">
        <v>0.551219512195122</v>
      </c>
      <c r="AZ880">
        <v>0.125</v>
      </c>
      <c r="BA880">
        <v>0.66666666666666663</v>
      </c>
      <c r="BB880">
        <v>0.77777777777777779</v>
      </c>
      <c r="BC880">
        <v>0.53333333333333333</v>
      </c>
      <c r="BD880">
        <v>0.703125</v>
      </c>
      <c r="BE880">
        <v>4</v>
      </c>
      <c r="BF880">
        <v>0.67022569444444446</v>
      </c>
      <c r="BG880">
        <v>0.68</v>
      </c>
      <c r="BH880" t="s">
        <v>86</v>
      </c>
      <c r="BI880">
        <v>0.67</v>
      </c>
      <c r="BJ880" t="s">
        <v>86</v>
      </c>
      <c r="BK880" s="2">
        <f t="shared" si="27"/>
        <v>1.0000000000000009E-2</v>
      </c>
      <c r="BL880" t="b">
        <f t="shared" si="28"/>
        <v>1</v>
      </c>
    </row>
    <row r="881" spans="1:64" x14ac:dyDescent="0.35">
      <c r="A881" t="s">
        <v>2358</v>
      </c>
      <c r="B881" t="s">
        <v>2359</v>
      </c>
      <c r="C881">
        <v>2019</v>
      </c>
      <c r="D881" t="s">
        <v>2360</v>
      </c>
      <c r="E881" t="s">
        <v>2361</v>
      </c>
      <c r="F881" t="s">
        <v>66</v>
      </c>
      <c r="G881" t="s">
        <v>101</v>
      </c>
      <c r="H881" t="s">
        <v>195</v>
      </c>
      <c r="I881" t="s">
        <v>2362</v>
      </c>
      <c r="J881" t="s">
        <v>70</v>
      </c>
      <c r="L881">
        <v>1</v>
      </c>
      <c r="M881" t="b">
        <v>0</v>
      </c>
      <c r="N881">
        <v>1</v>
      </c>
      <c r="O881">
        <v>2</v>
      </c>
      <c r="P881">
        <v>4</v>
      </c>
      <c r="Q881">
        <v>3</v>
      </c>
      <c r="R881">
        <v>1</v>
      </c>
      <c r="S881">
        <v>5</v>
      </c>
      <c r="T881">
        <v>22</v>
      </c>
      <c r="U881">
        <v>308</v>
      </c>
      <c r="V881">
        <v>91</v>
      </c>
      <c r="W881">
        <v>16</v>
      </c>
      <c r="X881">
        <v>5.6875</v>
      </c>
      <c r="Y881">
        <v>3</v>
      </c>
      <c r="Z881">
        <v>36</v>
      </c>
      <c r="AA881">
        <v>1</v>
      </c>
      <c r="AB881">
        <v>1</v>
      </c>
      <c r="AC881">
        <v>4</v>
      </c>
      <c r="AD881">
        <v>4</v>
      </c>
      <c r="AE881">
        <v>70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6</v>
      </c>
      <c r="AL881">
        <v>2</v>
      </c>
      <c r="AM881">
        <v>7</v>
      </c>
      <c r="AN881">
        <v>5</v>
      </c>
      <c r="AO881">
        <v>38</v>
      </c>
      <c r="AP881">
        <v>8</v>
      </c>
      <c r="AQ881">
        <v>107</v>
      </c>
      <c r="AR881">
        <v>0.11688311688311689</v>
      </c>
      <c r="AS881">
        <v>3.246753246753247E-3</v>
      </c>
      <c r="AT881">
        <v>0.22727272727272729</v>
      </c>
      <c r="AU881">
        <v>3.246753246753247E-3</v>
      </c>
      <c r="AV881">
        <v>3.246753246753247E-3</v>
      </c>
      <c r="AW881">
        <v>2.2727272727272731E-2</v>
      </c>
      <c r="AX881">
        <v>0.1233766233766234</v>
      </c>
      <c r="AY881">
        <v>0.34740259740259738</v>
      </c>
      <c r="AZ881">
        <v>0.1006493506493507</v>
      </c>
      <c r="BA881">
        <v>0.66666666666666663</v>
      </c>
      <c r="BB881">
        <v>0.78125</v>
      </c>
      <c r="BC881">
        <v>0.53333333333333333</v>
      </c>
      <c r="BD881">
        <v>0.6879058441558441</v>
      </c>
      <c r="BE881">
        <v>4</v>
      </c>
      <c r="BF881">
        <v>0.66728896103896096</v>
      </c>
      <c r="BG881">
        <v>0.67</v>
      </c>
      <c r="BH881" t="s">
        <v>86</v>
      </c>
      <c r="BI881">
        <v>0.67</v>
      </c>
      <c r="BJ881" t="s">
        <v>86</v>
      </c>
      <c r="BK881" s="2">
        <f t="shared" si="27"/>
        <v>0</v>
      </c>
      <c r="BL881" t="b">
        <f t="shared" si="28"/>
        <v>1</v>
      </c>
    </row>
    <row r="882" spans="1:64" x14ac:dyDescent="0.35">
      <c r="A882" t="s">
        <v>2363</v>
      </c>
      <c r="B882" t="s">
        <v>2364</v>
      </c>
      <c r="C882">
        <v>2015</v>
      </c>
      <c r="D882" t="s">
        <v>2365</v>
      </c>
      <c r="E882" t="s">
        <v>2366</v>
      </c>
      <c r="F882" t="s">
        <v>66</v>
      </c>
      <c r="G882" t="s">
        <v>101</v>
      </c>
      <c r="H882" t="s">
        <v>170</v>
      </c>
      <c r="I882" t="s">
        <v>2367</v>
      </c>
      <c r="J882" t="s">
        <v>70</v>
      </c>
      <c r="L882">
        <v>3</v>
      </c>
      <c r="M882" t="b">
        <v>0</v>
      </c>
      <c r="N882">
        <v>3</v>
      </c>
      <c r="O882">
        <v>1</v>
      </c>
      <c r="P882">
        <v>4</v>
      </c>
      <c r="Q882">
        <v>3</v>
      </c>
      <c r="R882">
        <v>1</v>
      </c>
      <c r="S882">
        <v>4</v>
      </c>
      <c r="T882">
        <v>16</v>
      </c>
      <c r="U882">
        <v>76</v>
      </c>
      <c r="V882">
        <v>60</v>
      </c>
      <c r="W882">
        <v>13</v>
      </c>
      <c r="X882">
        <v>4.615384615384615</v>
      </c>
      <c r="Y882">
        <v>2</v>
      </c>
      <c r="Z882">
        <v>3</v>
      </c>
      <c r="AA882">
        <v>0</v>
      </c>
      <c r="AB882">
        <v>0</v>
      </c>
      <c r="AC882">
        <v>2</v>
      </c>
      <c r="AD882">
        <v>2</v>
      </c>
      <c r="AE882">
        <v>15</v>
      </c>
      <c r="AF882">
        <v>0</v>
      </c>
      <c r="AG882">
        <v>0</v>
      </c>
      <c r="AH882">
        <v>3</v>
      </c>
      <c r="AI882">
        <v>16</v>
      </c>
      <c r="AJ882">
        <v>2</v>
      </c>
      <c r="AK882">
        <v>2</v>
      </c>
      <c r="AL882">
        <v>5</v>
      </c>
      <c r="AM882">
        <v>18</v>
      </c>
      <c r="AN882">
        <v>2</v>
      </c>
      <c r="AO882">
        <v>3</v>
      </c>
      <c r="AP882">
        <v>4</v>
      </c>
      <c r="AQ882">
        <v>18</v>
      </c>
      <c r="AR882">
        <v>3.9473684210526307E-2</v>
      </c>
      <c r="AS882">
        <v>0</v>
      </c>
      <c r="AT882">
        <v>0.19736842105263161</v>
      </c>
      <c r="AU882">
        <v>0</v>
      </c>
      <c r="AV882">
        <v>0.2105263157894737</v>
      </c>
      <c r="AW882">
        <v>0.23684210526315791</v>
      </c>
      <c r="AX882">
        <v>3.9473684210526307E-2</v>
      </c>
      <c r="AY882">
        <v>0.23684210526315791</v>
      </c>
      <c r="AZ882">
        <v>-0.19736842105263161</v>
      </c>
      <c r="BA882">
        <v>0.5</v>
      </c>
      <c r="BB882">
        <v>0.60256410256410253</v>
      </c>
      <c r="BC882">
        <v>0.26666666666666672</v>
      </c>
      <c r="BD882">
        <v>0.5016447368421052</v>
      </c>
      <c r="BE882">
        <v>4</v>
      </c>
      <c r="BF882">
        <v>0.46771887651821858</v>
      </c>
      <c r="BG882">
        <v>0.5</v>
      </c>
      <c r="BH882" t="s">
        <v>71</v>
      </c>
      <c r="BI882">
        <v>0.47</v>
      </c>
      <c r="BJ882" t="s">
        <v>71</v>
      </c>
      <c r="BK882" s="2">
        <f t="shared" si="27"/>
        <v>3.0000000000000027E-2</v>
      </c>
      <c r="BL882" t="b">
        <f t="shared" si="28"/>
        <v>1</v>
      </c>
    </row>
    <row r="883" spans="1:64" x14ac:dyDescent="0.35">
      <c r="A883" t="s">
        <v>2368</v>
      </c>
      <c r="B883" t="s">
        <v>2364</v>
      </c>
      <c r="C883">
        <v>2019</v>
      </c>
      <c r="D883" t="s">
        <v>2365</v>
      </c>
      <c r="E883" t="s">
        <v>2366</v>
      </c>
      <c r="F883" t="s">
        <v>66</v>
      </c>
      <c r="G883" t="s">
        <v>101</v>
      </c>
      <c r="H883" t="s">
        <v>170</v>
      </c>
      <c r="I883" t="s">
        <v>2367</v>
      </c>
      <c r="J883" t="s">
        <v>70</v>
      </c>
      <c r="L883">
        <v>3</v>
      </c>
      <c r="M883" t="b">
        <v>0</v>
      </c>
      <c r="N883">
        <v>1</v>
      </c>
      <c r="O883">
        <v>1</v>
      </c>
      <c r="P883">
        <v>5</v>
      </c>
      <c r="Q883">
        <v>2</v>
      </c>
      <c r="R883">
        <v>3</v>
      </c>
      <c r="S883">
        <v>4</v>
      </c>
      <c r="T883">
        <v>21</v>
      </c>
      <c r="U883">
        <v>328</v>
      </c>
      <c r="V883">
        <v>101</v>
      </c>
      <c r="W883">
        <v>17</v>
      </c>
      <c r="X883">
        <v>5.9411764705882364</v>
      </c>
      <c r="Y883">
        <v>1</v>
      </c>
      <c r="Z883">
        <v>1</v>
      </c>
      <c r="AA883">
        <v>0</v>
      </c>
      <c r="AB883">
        <v>0</v>
      </c>
      <c r="AC883">
        <v>3</v>
      </c>
      <c r="AD883">
        <v>3</v>
      </c>
      <c r="AE883">
        <v>220</v>
      </c>
      <c r="AF883">
        <v>1</v>
      </c>
      <c r="AG883">
        <v>1</v>
      </c>
      <c r="AH883">
        <v>1</v>
      </c>
      <c r="AI883">
        <v>1</v>
      </c>
      <c r="AJ883">
        <v>0</v>
      </c>
      <c r="AK883">
        <v>0</v>
      </c>
      <c r="AL883">
        <v>2</v>
      </c>
      <c r="AM883">
        <v>5</v>
      </c>
      <c r="AN883">
        <v>2</v>
      </c>
      <c r="AO883">
        <v>2</v>
      </c>
      <c r="AP883">
        <v>4</v>
      </c>
      <c r="AQ883">
        <v>221</v>
      </c>
      <c r="AR883">
        <v>3.0487804878048782E-3</v>
      </c>
      <c r="AS883">
        <v>0</v>
      </c>
      <c r="AT883">
        <v>0.67073170731707321</v>
      </c>
      <c r="AU883">
        <v>3.0487804878048782E-3</v>
      </c>
      <c r="AV883">
        <v>3.0487804878048782E-3</v>
      </c>
      <c r="AW883">
        <v>1.524390243902439E-2</v>
      </c>
      <c r="AX883">
        <v>6.0975609756097563E-3</v>
      </c>
      <c r="AY883">
        <v>0.67378048780487809</v>
      </c>
      <c r="AZ883">
        <v>-9.1463414634146336E-3</v>
      </c>
      <c r="BA883">
        <v>0.5</v>
      </c>
      <c r="BB883">
        <v>0.82352941176470607</v>
      </c>
      <c r="BC883">
        <v>0.26666666666666672</v>
      </c>
      <c r="BD883">
        <v>0.61928353658536583</v>
      </c>
      <c r="BE883">
        <v>4</v>
      </c>
      <c r="BF883">
        <v>0.5523699037541846</v>
      </c>
      <c r="BG883">
        <v>0.55000000000000004</v>
      </c>
      <c r="BH883" t="s">
        <v>71</v>
      </c>
      <c r="BI883">
        <v>0.55000000000000004</v>
      </c>
      <c r="BJ883" t="s">
        <v>71</v>
      </c>
      <c r="BK883" s="2">
        <f t="shared" si="27"/>
        <v>0</v>
      </c>
      <c r="BL883" t="b">
        <f t="shared" si="28"/>
        <v>1</v>
      </c>
    </row>
    <row r="884" spans="1:64" x14ac:dyDescent="0.35">
      <c r="A884" t="s">
        <v>2369</v>
      </c>
      <c r="B884" t="s">
        <v>2370</v>
      </c>
      <c r="C884">
        <v>2014</v>
      </c>
      <c r="D884" t="s">
        <v>2371</v>
      </c>
      <c r="E884" t="s">
        <v>2372</v>
      </c>
      <c r="F884" t="s">
        <v>66</v>
      </c>
      <c r="G884" t="s">
        <v>144</v>
      </c>
      <c r="H884" t="s">
        <v>898</v>
      </c>
      <c r="I884" t="s">
        <v>898</v>
      </c>
      <c r="J884" t="s">
        <v>70</v>
      </c>
      <c r="L884">
        <v>3</v>
      </c>
      <c r="M884" t="b">
        <v>0</v>
      </c>
      <c r="N884">
        <v>3</v>
      </c>
      <c r="O884">
        <v>1</v>
      </c>
      <c r="P884">
        <v>0</v>
      </c>
      <c r="Q884">
        <v>1</v>
      </c>
      <c r="R884">
        <v>-1</v>
      </c>
      <c r="S884">
        <v>4</v>
      </c>
      <c r="T884">
        <v>6</v>
      </c>
      <c r="U884">
        <v>25</v>
      </c>
      <c r="V884">
        <v>24</v>
      </c>
      <c r="W884">
        <v>6</v>
      </c>
      <c r="X884">
        <v>4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</v>
      </c>
      <c r="AK884">
        <v>2</v>
      </c>
      <c r="AL884">
        <v>2</v>
      </c>
      <c r="AM884">
        <v>2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0.08</v>
      </c>
      <c r="AX884">
        <v>0</v>
      </c>
      <c r="AY884">
        <v>0</v>
      </c>
      <c r="AZ884">
        <v>-0.08</v>
      </c>
      <c r="BA884">
        <v>0.5</v>
      </c>
      <c r="BB884">
        <v>0.5</v>
      </c>
      <c r="BC884">
        <v>0</v>
      </c>
      <c r="BD884">
        <v>0.57499999999999996</v>
      </c>
      <c r="BE884">
        <v>4</v>
      </c>
      <c r="BF884">
        <v>0.39374999999999999</v>
      </c>
      <c r="BG884">
        <v>0.4</v>
      </c>
      <c r="BH884" t="s">
        <v>71</v>
      </c>
      <c r="BI884">
        <v>0.39</v>
      </c>
      <c r="BJ884" t="s">
        <v>104</v>
      </c>
      <c r="BK884" s="2">
        <f t="shared" si="27"/>
        <v>1.0000000000000009E-2</v>
      </c>
      <c r="BL884" t="b">
        <f t="shared" si="28"/>
        <v>0</v>
      </c>
    </row>
    <row r="885" spans="1:64" x14ac:dyDescent="0.35">
      <c r="A885" t="s">
        <v>2373</v>
      </c>
      <c r="B885" t="s">
        <v>2370</v>
      </c>
      <c r="C885">
        <v>2015</v>
      </c>
      <c r="D885" t="s">
        <v>2371</v>
      </c>
      <c r="E885" t="s">
        <v>2372</v>
      </c>
      <c r="F885" t="s">
        <v>66</v>
      </c>
      <c r="G885" t="s">
        <v>144</v>
      </c>
      <c r="H885" t="s">
        <v>898</v>
      </c>
      <c r="I885" t="s">
        <v>898</v>
      </c>
      <c r="J885" t="s">
        <v>70</v>
      </c>
      <c r="L885">
        <v>3</v>
      </c>
      <c r="M885" t="b">
        <v>0</v>
      </c>
      <c r="N885">
        <v>1</v>
      </c>
      <c r="O885">
        <v>1</v>
      </c>
      <c r="P885">
        <v>6</v>
      </c>
      <c r="Q885">
        <v>3</v>
      </c>
      <c r="R885">
        <v>3</v>
      </c>
      <c r="S885">
        <v>4</v>
      </c>
      <c r="T885">
        <v>29</v>
      </c>
      <c r="U885">
        <v>363</v>
      </c>
      <c r="V885">
        <v>105</v>
      </c>
      <c r="W885">
        <v>22</v>
      </c>
      <c r="X885">
        <v>4.7727272727272716</v>
      </c>
      <c r="Y885">
        <v>3</v>
      </c>
      <c r="Z885">
        <v>22</v>
      </c>
      <c r="AA885">
        <v>0</v>
      </c>
      <c r="AB885">
        <v>0</v>
      </c>
      <c r="AC885">
        <v>2</v>
      </c>
      <c r="AD885">
        <v>2</v>
      </c>
      <c r="AE885">
        <v>82</v>
      </c>
      <c r="AF885">
        <v>1</v>
      </c>
      <c r="AG885">
        <v>27</v>
      </c>
      <c r="AH885">
        <v>2</v>
      </c>
      <c r="AI885">
        <v>23</v>
      </c>
      <c r="AJ885">
        <v>2</v>
      </c>
      <c r="AK885">
        <v>14</v>
      </c>
      <c r="AL885">
        <v>4</v>
      </c>
      <c r="AM885">
        <v>37</v>
      </c>
      <c r="AN885">
        <v>4</v>
      </c>
      <c r="AO885">
        <v>49</v>
      </c>
      <c r="AP885">
        <v>5</v>
      </c>
      <c r="AQ885">
        <v>104</v>
      </c>
      <c r="AR885">
        <v>6.0606060606060608E-2</v>
      </c>
      <c r="AS885">
        <v>0</v>
      </c>
      <c r="AT885">
        <v>0.22589531680440769</v>
      </c>
      <c r="AU885">
        <v>7.43801652892562E-2</v>
      </c>
      <c r="AV885">
        <v>6.3360881542699726E-2</v>
      </c>
      <c r="AW885">
        <v>0.1019283746556474</v>
      </c>
      <c r="AX885">
        <v>0.13498622589531681</v>
      </c>
      <c r="AY885">
        <v>0.28650137741046833</v>
      </c>
      <c r="AZ885">
        <v>3.3057851239669422E-2</v>
      </c>
      <c r="BA885">
        <v>0.5</v>
      </c>
      <c r="BB885">
        <v>0.62878787878787856</v>
      </c>
      <c r="BC885">
        <v>0.33333333333333331</v>
      </c>
      <c r="BD885">
        <v>0.64566115702479332</v>
      </c>
      <c r="BE885">
        <v>4</v>
      </c>
      <c r="BF885">
        <v>0.52694559228650129</v>
      </c>
      <c r="BG885">
        <v>0.53</v>
      </c>
      <c r="BH885" t="s">
        <v>71</v>
      </c>
      <c r="BI885">
        <v>0.53</v>
      </c>
      <c r="BJ885" t="s">
        <v>71</v>
      </c>
      <c r="BK885" s="2">
        <f t="shared" si="27"/>
        <v>0</v>
      </c>
      <c r="BL885" t="b">
        <f t="shared" si="28"/>
        <v>1</v>
      </c>
    </row>
    <row r="886" spans="1:64" x14ac:dyDescent="0.35">
      <c r="A886" t="s">
        <v>2374</v>
      </c>
      <c r="B886" t="s">
        <v>2370</v>
      </c>
      <c r="C886">
        <v>2016</v>
      </c>
      <c r="D886" t="s">
        <v>2371</v>
      </c>
      <c r="E886" t="s">
        <v>2372</v>
      </c>
      <c r="F886" t="s">
        <v>66</v>
      </c>
      <c r="G886" t="s">
        <v>144</v>
      </c>
      <c r="H886" t="s">
        <v>898</v>
      </c>
      <c r="I886" t="s">
        <v>898</v>
      </c>
      <c r="J886" t="s">
        <v>70</v>
      </c>
      <c r="L886">
        <v>3</v>
      </c>
      <c r="M886" t="b">
        <v>0</v>
      </c>
      <c r="N886">
        <v>2</v>
      </c>
      <c r="O886">
        <v>4</v>
      </c>
      <c r="P886">
        <v>8</v>
      </c>
      <c r="Q886">
        <v>2</v>
      </c>
      <c r="R886">
        <v>6</v>
      </c>
      <c r="S886">
        <v>5</v>
      </c>
      <c r="T886">
        <v>22</v>
      </c>
      <c r="U886">
        <v>293</v>
      </c>
      <c r="V886">
        <v>102</v>
      </c>
      <c r="W886">
        <v>19</v>
      </c>
      <c r="X886">
        <v>5.3684210526315788</v>
      </c>
      <c r="Y886">
        <v>4</v>
      </c>
      <c r="Z886">
        <v>48</v>
      </c>
      <c r="AA886">
        <v>1</v>
      </c>
      <c r="AB886">
        <v>6</v>
      </c>
      <c r="AC886">
        <v>3</v>
      </c>
      <c r="AD886">
        <v>3</v>
      </c>
      <c r="AE886">
        <v>46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4</v>
      </c>
      <c r="AL886">
        <v>1</v>
      </c>
      <c r="AM886">
        <v>4</v>
      </c>
      <c r="AN886">
        <v>5</v>
      </c>
      <c r="AO886">
        <v>54</v>
      </c>
      <c r="AP886">
        <v>8</v>
      </c>
      <c r="AQ886">
        <v>100</v>
      </c>
      <c r="AR886">
        <v>0.16382252559726959</v>
      </c>
      <c r="AS886">
        <v>2.0477815699658699E-2</v>
      </c>
      <c r="AT886">
        <v>0.1569965870307167</v>
      </c>
      <c r="AU886">
        <v>0</v>
      </c>
      <c r="AV886">
        <v>0</v>
      </c>
      <c r="AW886">
        <v>1.36518771331058E-2</v>
      </c>
      <c r="AX886">
        <v>0.18430034129692829</v>
      </c>
      <c r="AY886">
        <v>0.34129692832764508</v>
      </c>
      <c r="AZ886">
        <v>0.17064846416382251</v>
      </c>
      <c r="BA886">
        <v>0.66666666666666663</v>
      </c>
      <c r="BB886">
        <v>0.72807017543859642</v>
      </c>
      <c r="BC886">
        <v>0.53333333333333333</v>
      </c>
      <c r="BD886">
        <v>0.73165529010238894</v>
      </c>
      <c r="BE886">
        <v>4</v>
      </c>
      <c r="BF886">
        <v>0.6649313663852463</v>
      </c>
      <c r="BG886">
        <v>0.66</v>
      </c>
      <c r="BH886" t="s">
        <v>86</v>
      </c>
      <c r="BI886">
        <v>0.66</v>
      </c>
      <c r="BJ886" t="s">
        <v>86</v>
      </c>
      <c r="BK886" s="2">
        <f t="shared" si="27"/>
        <v>0</v>
      </c>
      <c r="BL886" t="b">
        <f t="shared" si="28"/>
        <v>1</v>
      </c>
    </row>
    <row r="887" spans="1:64" x14ac:dyDescent="0.35">
      <c r="A887" t="s">
        <v>2375</v>
      </c>
      <c r="B887" t="s">
        <v>2370</v>
      </c>
      <c r="C887">
        <v>2017</v>
      </c>
      <c r="D887" t="s">
        <v>2371</v>
      </c>
      <c r="E887" t="s">
        <v>2372</v>
      </c>
      <c r="F887" t="s">
        <v>66</v>
      </c>
      <c r="G887" t="s">
        <v>144</v>
      </c>
      <c r="H887" t="s">
        <v>898</v>
      </c>
      <c r="I887" t="s">
        <v>898</v>
      </c>
      <c r="J887" t="s">
        <v>70</v>
      </c>
      <c r="L887">
        <v>3</v>
      </c>
      <c r="M887" t="b">
        <v>0</v>
      </c>
      <c r="N887">
        <v>1</v>
      </c>
      <c r="O887">
        <v>1</v>
      </c>
      <c r="P887">
        <v>3</v>
      </c>
      <c r="Q887">
        <v>4</v>
      </c>
      <c r="R887">
        <v>-1</v>
      </c>
      <c r="S887">
        <v>4</v>
      </c>
      <c r="T887">
        <v>21</v>
      </c>
      <c r="U887">
        <v>737</v>
      </c>
      <c r="V887">
        <v>90</v>
      </c>
      <c r="W887">
        <v>20</v>
      </c>
      <c r="X887">
        <v>4.5</v>
      </c>
      <c r="Y887">
        <v>3</v>
      </c>
      <c r="Z887">
        <v>76</v>
      </c>
      <c r="AA887">
        <v>0</v>
      </c>
      <c r="AB887">
        <v>0</v>
      </c>
      <c r="AC887">
        <v>2</v>
      </c>
      <c r="AD887">
        <v>2</v>
      </c>
      <c r="AE887">
        <v>193</v>
      </c>
      <c r="AF887">
        <v>0</v>
      </c>
      <c r="AG887">
        <v>0</v>
      </c>
      <c r="AH887">
        <v>2</v>
      </c>
      <c r="AI887">
        <v>146</v>
      </c>
      <c r="AJ887">
        <v>1</v>
      </c>
      <c r="AK887">
        <v>13</v>
      </c>
      <c r="AL887">
        <v>3</v>
      </c>
      <c r="AM887">
        <v>159</v>
      </c>
      <c r="AN887">
        <v>3</v>
      </c>
      <c r="AO887">
        <v>76</v>
      </c>
      <c r="AP887">
        <v>5</v>
      </c>
      <c r="AQ887">
        <v>269</v>
      </c>
      <c r="AR887">
        <v>0.10312075983717781</v>
      </c>
      <c r="AS887">
        <v>0</v>
      </c>
      <c r="AT887">
        <v>0.26187245590230662</v>
      </c>
      <c r="AU887">
        <v>0</v>
      </c>
      <c r="AV887">
        <v>0.19810040705563089</v>
      </c>
      <c r="AW887">
        <v>0.2157394843962008</v>
      </c>
      <c r="AX887">
        <v>0.10312075983717781</v>
      </c>
      <c r="AY887">
        <v>0.3649932157394844</v>
      </c>
      <c r="AZ887">
        <v>-0.1126187245590231</v>
      </c>
      <c r="BA887">
        <v>0.5</v>
      </c>
      <c r="BB887">
        <v>0.58333333333333337</v>
      </c>
      <c r="BC887">
        <v>0.33333333333333331</v>
      </c>
      <c r="BD887">
        <v>0.55461329715061047</v>
      </c>
      <c r="BE887">
        <v>4</v>
      </c>
      <c r="BF887">
        <v>0.49281999095431928</v>
      </c>
      <c r="BG887">
        <v>0.52</v>
      </c>
      <c r="BH887" t="s">
        <v>71</v>
      </c>
      <c r="BI887">
        <v>0.49</v>
      </c>
      <c r="BJ887" t="s">
        <v>71</v>
      </c>
      <c r="BK887" s="2">
        <f t="shared" si="27"/>
        <v>3.0000000000000027E-2</v>
      </c>
      <c r="BL887" t="b">
        <f t="shared" si="28"/>
        <v>1</v>
      </c>
    </row>
    <row r="888" spans="1:64" x14ac:dyDescent="0.35">
      <c r="A888" t="s">
        <v>2376</v>
      </c>
      <c r="B888" t="s">
        <v>2370</v>
      </c>
      <c r="C888">
        <v>2020</v>
      </c>
      <c r="D888" t="s">
        <v>2371</v>
      </c>
      <c r="E888" t="s">
        <v>2372</v>
      </c>
      <c r="F888" t="s">
        <v>66</v>
      </c>
      <c r="G888" t="s">
        <v>144</v>
      </c>
      <c r="H888" t="s">
        <v>898</v>
      </c>
      <c r="I888" t="s">
        <v>898</v>
      </c>
      <c r="J888" t="s">
        <v>70</v>
      </c>
      <c r="L888">
        <v>3</v>
      </c>
      <c r="M888" t="b">
        <v>0</v>
      </c>
      <c r="N888">
        <v>1</v>
      </c>
      <c r="O888">
        <v>2</v>
      </c>
      <c r="P888">
        <v>12</v>
      </c>
      <c r="Q888">
        <v>6</v>
      </c>
      <c r="R888">
        <v>6</v>
      </c>
      <c r="S888">
        <v>6</v>
      </c>
      <c r="T888">
        <v>47</v>
      </c>
      <c r="U888">
        <v>4600</v>
      </c>
      <c r="V888">
        <v>200</v>
      </c>
      <c r="W888">
        <v>35</v>
      </c>
      <c r="X888">
        <v>5.7142857142857144</v>
      </c>
      <c r="Y888">
        <v>4</v>
      </c>
      <c r="Z888">
        <v>1224</v>
      </c>
      <c r="AA888">
        <v>1</v>
      </c>
      <c r="AB888">
        <v>39</v>
      </c>
      <c r="AC888">
        <v>5</v>
      </c>
      <c r="AD888">
        <v>5</v>
      </c>
      <c r="AE888">
        <v>946</v>
      </c>
      <c r="AF888">
        <v>3</v>
      </c>
      <c r="AG888">
        <v>56</v>
      </c>
      <c r="AH888">
        <v>0</v>
      </c>
      <c r="AI888">
        <v>0</v>
      </c>
      <c r="AJ888">
        <v>3</v>
      </c>
      <c r="AK888">
        <v>23</v>
      </c>
      <c r="AL888">
        <v>4</v>
      </c>
      <c r="AM888">
        <v>230</v>
      </c>
      <c r="AN888">
        <v>8</v>
      </c>
      <c r="AO888">
        <v>1319</v>
      </c>
      <c r="AP888">
        <v>10</v>
      </c>
      <c r="AQ888">
        <v>2209</v>
      </c>
      <c r="AR888">
        <v>0.26608695652173908</v>
      </c>
      <c r="AS888">
        <v>8.4782608695652181E-3</v>
      </c>
      <c r="AT888">
        <v>0.2056521739130435</v>
      </c>
      <c r="AU888">
        <v>1.2173913043478261E-2</v>
      </c>
      <c r="AV888">
        <v>0</v>
      </c>
      <c r="AW888">
        <v>0.05</v>
      </c>
      <c r="AX888">
        <v>0.28673913043478261</v>
      </c>
      <c r="AY888">
        <v>0.48021739130434782</v>
      </c>
      <c r="AZ888">
        <v>0.23673913043478259</v>
      </c>
      <c r="BA888">
        <v>0.83333333333333337</v>
      </c>
      <c r="BB888">
        <v>0.7857142857142857</v>
      </c>
      <c r="BC888">
        <v>0.66666666666666663</v>
      </c>
      <c r="BD888">
        <v>0.77296195652173905</v>
      </c>
      <c r="BE888">
        <v>4</v>
      </c>
      <c r="BF888">
        <v>0.76466906055900619</v>
      </c>
      <c r="BG888">
        <v>0.77</v>
      </c>
      <c r="BH888" t="s">
        <v>86</v>
      </c>
      <c r="BI888">
        <v>0.76</v>
      </c>
      <c r="BJ888" t="s">
        <v>86</v>
      </c>
      <c r="BK888" s="2">
        <f t="shared" si="27"/>
        <v>1.0000000000000009E-2</v>
      </c>
      <c r="BL888" t="b">
        <f t="shared" si="28"/>
        <v>1</v>
      </c>
    </row>
    <row r="889" spans="1:64" x14ac:dyDescent="0.35">
      <c r="A889" t="s">
        <v>2377</v>
      </c>
      <c r="B889" t="s">
        <v>2378</v>
      </c>
      <c r="C889">
        <v>2016</v>
      </c>
      <c r="D889" t="s">
        <v>2379</v>
      </c>
      <c r="E889" t="s">
        <v>2380</v>
      </c>
      <c r="F889" t="s">
        <v>66</v>
      </c>
      <c r="G889" t="s">
        <v>67</v>
      </c>
      <c r="H889" t="s">
        <v>138</v>
      </c>
      <c r="I889" t="s">
        <v>2381</v>
      </c>
      <c r="J889" t="s">
        <v>70</v>
      </c>
      <c r="L889">
        <v>1</v>
      </c>
      <c r="M889" t="b">
        <v>0</v>
      </c>
      <c r="N889">
        <v>1</v>
      </c>
      <c r="O889">
        <v>3</v>
      </c>
      <c r="P889">
        <v>9</v>
      </c>
      <c r="Q889">
        <v>5</v>
      </c>
      <c r="R889">
        <v>4</v>
      </c>
      <c r="S889">
        <v>6</v>
      </c>
      <c r="T889">
        <v>32</v>
      </c>
      <c r="U889">
        <v>1069</v>
      </c>
      <c r="V889">
        <v>128</v>
      </c>
      <c r="W889">
        <v>23</v>
      </c>
      <c r="X889">
        <v>5.5652173913043477</v>
      </c>
      <c r="Y889">
        <v>1</v>
      </c>
      <c r="Z889">
        <v>25</v>
      </c>
      <c r="AA889">
        <v>0</v>
      </c>
      <c r="AB889">
        <v>0</v>
      </c>
      <c r="AC889">
        <v>4</v>
      </c>
      <c r="AD889">
        <v>4</v>
      </c>
      <c r="AE889">
        <v>149</v>
      </c>
      <c r="AF889">
        <v>0</v>
      </c>
      <c r="AG889">
        <v>0</v>
      </c>
      <c r="AH889">
        <v>2</v>
      </c>
      <c r="AI889">
        <v>79</v>
      </c>
      <c r="AJ889">
        <v>1</v>
      </c>
      <c r="AK889">
        <v>21</v>
      </c>
      <c r="AL889">
        <v>3</v>
      </c>
      <c r="AM889">
        <v>100</v>
      </c>
      <c r="AN889">
        <v>1</v>
      </c>
      <c r="AO889">
        <v>25</v>
      </c>
      <c r="AP889">
        <v>5</v>
      </c>
      <c r="AQ889">
        <v>174</v>
      </c>
      <c r="AR889">
        <v>2.3386342376052381E-2</v>
      </c>
      <c r="AS889">
        <v>0</v>
      </c>
      <c r="AT889">
        <v>0.13938260056127219</v>
      </c>
      <c r="AU889">
        <v>0</v>
      </c>
      <c r="AV889">
        <v>7.3900841908325535E-2</v>
      </c>
      <c r="AW889">
        <v>9.3545369504209538E-2</v>
      </c>
      <c r="AX889">
        <v>2.3386342376052381E-2</v>
      </c>
      <c r="AY889">
        <v>0.16276894293732461</v>
      </c>
      <c r="AZ889">
        <v>-7.015902712815715E-2</v>
      </c>
      <c r="BA889">
        <v>0.83333333333333337</v>
      </c>
      <c r="BB889">
        <v>0.76086956521739124</v>
      </c>
      <c r="BC889">
        <v>0.33333333333333331</v>
      </c>
      <c r="BD889">
        <v>0.58115060804490171</v>
      </c>
      <c r="BE889">
        <v>4</v>
      </c>
      <c r="BF889">
        <v>0.62717170998223992</v>
      </c>
      <c r="BG889">
        <v>0.64</v>
      </c>
      <c r="BH889" t="s">
        <v>86</v>
      </c>
      <c r="BI889">
        <v>0.63</v>
      </c>
      <c r="BJ889" t="s">
        <v>86</v>
      </c>
      <c r="BK889" s="2">
        <f t="shared" si="27"/>
        <v>1.0000000000000009E-2</v>
      </c>
      <c r="BL889" t="b">
        <f t="shared" si="28"/>
        <v>1</v>
      </c>
    </row>
    <row r="890" spans="1:64" x14ac:dyDescent="0.35">
      <c r="A890" t="s">
        <v>2382</v>
      </c>
      <c r="B890" t="s">
        <v>2378</v>
      </c>
      <c r="C890">
        <v>2021</v>
      </c>
      <c r="D890" t="s">
        <v>2379</v>
      </c>
      <c r="E890" t="s">
        <v>2380</v>
      </c>
      <c r="F890" t="s">
        <v>66</v>
      </c>
      <c r="G890" t="s">
        <v>67</v>
      </c>
      <c r="H890" t="s">
        <v>138</v>
      </c>
      <c r="I890" t="s">
        <v>2381</v>
      </c>
      <c r="J890" t="s">
        <v>70</v>
      </c>
      <c r="L890">
        <v>1</v>
      </c>
      <c r="M890" t="b">
        <v>0</v>
      </c>
      <c r="N890">
        <v>3</v>
      </c>
      <c r="O890">
        <v>1</v>
      </c>
      <c r="P890">
        <v>3</v>
      </c>
      <c r="Q890">
        <v>3</v>
      </c>
      <c r="R890">
        <v>0</v>
      </c>
      <c r="S890">
        <v>4</v>
      </c>
      <c r="T890">
        <v>22</v>
      </c>
      <c r="U890">
        <v>228</v>
      </c>
      <c r="V890">
        <v>74</v>
      </c>
      <c r="W890">
        <v>17</v>
      </c>
      <c r="X890">
        <v>4.3529411764705879</v>
      </c>
      <c r="Y890">
        <v>2</v>
      </c>
      <c r="Z890">
        <v>14</v>
      </c>
      <c r="AA890">
        <v>0</v>
      </c>
      <c r="AB890">
        <v>0</v>
      </c>
      <c r="AC890">
        <v>3</v>
      </c>
      <c r="AD890">
        <v>3</v>
      </c>
      <c r="AE890">
        <v>25</v>
      </c>
      <c r="AF890">
        <v>4</v>
      </c>
      <c r="AG890">
        <v>15</v>
      </c>
      <c r="AH890">
        <v>2</v>
      </c>
      <c r="AI890">
        <v>29</v>
      </c>
      <c r="AJ890">
        <v>2</v>
      </c>
      <c r="AK890">
        <v>6</v>
      </c>
      <c r="AL890">
        <v>4</v>
      </c>
      <c r="AM890">
        <v>35</v>
      </c>
      <c r="AN890">
        <v>6</v>
      </c>
      <c r="AO890">
        <v>29</v>
      </c>
      <c r="AP890">
        <v>5</v>
      </c>
      <c r="AQ890">
        <v>39</v>
      </c>
      <c r="AR890">
        <v>6.1403508771929821E-2</v>
      </c>
      <c r="AS890">
        <v>0</v>
      </c>
      <c r="AT890">
        <v>0.1096491228070175</v>
      </c>
      <c r="AU890">
        <v>6.5789473684210523E-2</v>
      </c>
      <c r="AV890">
        <v>0.12719298245614041</v>
      </c>
      <c r="AW890">
        <v>0.15350877192982459</v>
      </c>
      <c r="AX890">
        <v>0.12719298245614041</v>
      </c>
      <c r="AY890">
        <v>0.1710526315789474</v>
      </c>
      <c r="AZ890">
        <v>-2.6315789473684209E-2</v>
      </c>
      <c r="BA890">
        <v>0.5</v>
      </c>
      <c r="BB890">
        <v>0.55882352941176461</v>
      </c>
      <c r="BC890">
        <v>0.33333333333333331</v>
      </c>
      <c r="BD890">
        <v>0.60855263157894735</v>
      </c>
      <c r="BE890">
        <v>4</v>
      </c>
      <c r="BF890">
        <v>0.50017737358101133</v>
      </c>
      <c r="BG890">
        <v>0.51</v>
      </c>
      <c r="BH890" t="s">
        <v>71</v>
      </c>
      <c r="BI890">
        <v>0.5</v>
      </c>
      <c r="BJ890" t="s">
        <v>71</v>
      </c>
      <c r="BK890" s="2">
        <f t="shared" si="27"/>
        <v>1.0000000000000009E-2</v>
      </c>
      <c r="BL890" t="b">
        <f t="shared" si="28"/>
        <v>1</v>
      </c>
    </row>
    <row r="891" spans="1:64" x14ac:dyDescent="0.35">
      <c r="A891" t="s">
        <v>2383</v>
      </c>
      <c r="B891" t="s">
        <v>2384</v>
      </c>
      <c r="C891">
        <v>2016</v>
      </c>
      <c r="D891" t="s">
        <v>2385</v>
      </c>
      <c r="E891" t="s">
        <v>2386</v>
      </c>
      <c r="F891" t="s">
        <v>66</v>
      </c>
      <c r="G891" t="s">
        <v>101</v>
      </c>
      <c r="H891" t="s">
        <v>129</v>
      </c>
      <c r="I891" t="s">
        <v>2387</v>
      </c>
      <c r="J891" t="s">
        <v>70</v>
      </c>
      <c r="L891">
        <v>1</v>
      </c>
      <c r="M891" t="b">
        <v>0</v>
      </c>
      <c r="N891">
        <v>1</v>
      </c>
      <c r="O891">
        <v>2</v>
      </c>
      <c r="P891">
        <v>9</v>
      </c>
      <c r="Q891">
        <v>3</v>
      </c>
      <c r="R891">
        <v>6</v>
      </c>
      <c r="S891">
        <v>6</v>
      </c>
      <c r="T891">
        <v>21</v>
      </c>
      <c r="U891">
        <v>2233</v>
      </c>
      <c r="V891">
        <v>91</v>
      </c>
      <c r="W891">
        <v>16</v>
      </c>
      <c r="X891">
        <v>5.6875</v>
      </c>
      <c r="Y891">
        <v>4</v>
      </c>
      <c r="Z891">
        <v>76</v>
      </c>
      <c r="AA891">
        <v>0</v>
      </c>
      <c r="AB891">
        <v>0</v>
      </c>
      <c r="AC891">
        <v>2</v>
      </c>
      <c r="AD891">
        <v>2</v>
      </c>
      <c r="AE891">
        <v>130</v>
      </c>
      <c r="AF891">
        <v>0</v>
      </c>
      <c r="AG891">
        <v>0</v>
      </c>
      <c r="AH891">
        <v>1</v>
      </c>
      <c r="AI891">
        <v>741</v>
      </c>
      <c r="AJ891">
        <v>2</v>
      </c>
      <c r="AK891">
        <v>9</v>
      </c>
      <c r="AL891">
        <v>3</v>
      </c>
      <c r="AM891">
        <v>750</v>
      </c>
      <c r="AN891">
        <v>4</v>
      </c>
      <c r="AO891">
        <v>76</v>
      </c>
      <c r="AP891">
        <v>6</v>
      </c>
      <c r="AQ891">
        <v>206</v>
      </c>
      <c r="AR891">
        <v>3.4034930586654723E-2</v>
      </c>
      <c r="AS891">
        <v>0</v>
      </c>
      <c r="AT891">
        <v>5.8217644424540978E-2</v>
      </c>
      <c r="AU891">
        <v>0</v>
      </c>
      <c r="AV891">
        <v>0.33184057321988358</v>
      </c>
      <c r="AW891">
        <v>0.33587102552619802</v>
      </c>
      <c r="AX891">
        <v>3.4034930586654723E-2</v>
      </c>
      <c r="AY891">
        <v>9.22525750111957E-2</v>
      </c>
      <c r="AZ891">
        <v>-0.30183609493954322</v>
      </c>
      <c r="BA891">
        <v>0.83333333333333337</v>
      </c>
      <c r="BB891">
        <v>0.78125</v>
      </c>
      <c r="BC891">
        <v>0.4</v>
      </c>
      <c r="BD891">
        <v>0.43635244066278539</v>
      </c>
      <c r="BE891">
        <v>4</v>
      </c>
      <c r="BF891">
        <v>0.61273394349902977</v>
      </c>
      <c r="BG891">
        <v>0.71</v>
      </c>
      <c r="BH891" t="s">
        <v>86</v>
      </c>
      <c r="BI891">
        <v>0.61</v>
      </c>
      <c r="BJ891" t="s">
        <v>86</v>
      </c>
      <c r="BK891" s="2">
        <f t="shared" si="27"/>
        <v>9.9999999999999978E-2</v>
      </c>
      <c r="BL891" t="b">
        <f t="shared" si="28"/>
        <v>1</v>
      </c>
    </row>
    <row r="892" spans="1:64" x14ac:dyDescent="0.35">
      <c r="A892" t="s">
        <v>2388</v>
      </c>
      <c r="B892" t="s">
        <v>2384</v>
      </c>
      <c r="C892">
        <v>2021</v>
      </c>
      <c r="D892" t="s">
        <v>2385</v>
      </c>
      <c r="E892" t="s">
        <v>2386</v>
      </c>
      <c r="F892" t="s">
        <v>66</v>
      </c>
      <c r="G892" t="s">
        <v>101</v>
      </c>
      <c r="H892" t="s">
        <v>129</v>
      </c>
      <c r="I892" t="s">
        <v>2387</v>
      </c>
      <c r="J892" t="s">
        <v>70</v>
      </c>
      <c r="L892">
        <v>1</v>
      </c>
      <c r="M892" t="b">
        <v>0</v>
      </c>
      <c r="N892">
        <v>1</v>
      </c>
      <c r="O892">
        <v>2</v>
      </c>
      <c r="P892">
        <v>4</v>
      </c>
      <c r="Q892">
        <v>1</v>
      </c>
      <c r="R892">
        <v>3</v>
      </c>
      <c r="S892">
        <v>5</v>
      </c>
      <c r="T892">
        <v>13</v>
      </c>
      <c r="U892">
        <v>143</v>
      </c>
      <c r="V892">
        <v>59</v>
      </c>
      <c r="W892">
        <v>11</v>
      </c>
      <c r="X892">
        <v>5.3636363636363633</v>
      </c>
      <c r="Y892">
        <v>1</v>
      </c>
      <c r="Z892">
        <v>18</v>
      </c>
      <c r="AA892">
        <v>0</v>
      </c>
      <c r="AB892">
        <v>0</v>
      </c>
      <c r="AC892">
        <v>2</v>
      </c>
      <c r="AD892">
        <v>2</v>
      </c>
      <c r="AE892">
        <v>19</v>
      </c>
      <c r="AF892">
        <v>0</v>
      </c>
      <c r="AG892">
        <v>0</v>
      </c>
      <c r="AH892">
        <v>1</v>
      </c>
      <c r="AI892">
        <v>26</v>
      </c>
      <c r="AJ892">
        <v>0</v>
      </c>
      <c r="AK892">
        <v>0</v>
      </c>
      <c r="AL892">
        <v>1</v>
      </c>
      <c r="AM892">
        <v>26</v>
      </c>
      <c r="AN892">
        <v>1</v>
      </c>
      <c r="AO892">
        <v>18</v>
      </c>
      <c r="AP892">
        <v>3</v>
      </c>
      <c r="AQ892">
        <v>37</v>
      </c>
      <c r="AR892">
        <v>0.12587412587412589</v>
      </c>
      <c r="AS892">
        <v>0</v>
      </c>
      <c r="AT892">
        <v>0.13286713286713289</v>
      </c>
      <c r="AU892">
        <v>0</v>
      </c>
      <c r="AV892">
        <v>0.1818181818181818</v>
      </c>
      <c r="AW892">
        <v>0.1818181818181818</v>
      </c>
      <c r="AX892">
        <v>0.12587412587412589</v>
      </c>
      <c r="AY892">
        <v>0.25874125874125881</v>
      </c>
      <c r="AZ892">
        <v>-5.5944055944055937E-2</v>
      </c>
      <c r="BA892">
        <v>0.66666666666666663</v>
      </c>
      <c r="BB892">
        <v>0.72727272727272718</v>
      </c>
      <c r="BC892">
        <v>0.2</v>
      </c>
      <c r="BD892">
        <v>0.590034965034965</v>
      </c>
      <c r="BE892">
        <v>4</v>
      </c>
      <c r="BF892">
        <v>0.54599358974358969</v>
      </c>
      <c r="BG892">
        <v>0.56999999999999995</v>
      </c>
      <c r="BH892" t="s">
        <v>71</v>
      </c>
      <c r="BI892">
        <v>0.55000000000000004</v>
      </c>
      <c r="BJ892" t="s">
        <v>71</v>
      </c>
      <c r="BK892" s="2">
        <f t="shared" si="27"/>
        <v>1.9999999999999907E-2</v>
      </c>
      <c r="BL892" t="b">
        <f t="shared" si="28"/>
        <v>1</v>
      </c>
    </row>
    <row r="893" spans="1:64" x14ac:dyDescent="0.35">
      <c r="A893" t="s">
        <v>2389</v>
      </c>
      <c r="B893" t="s">
        <v>2390</v>
      </c>
      <c r="C893">
        <v>2017</v>
      </c>
      <c r="D893" t="s">
        <v>2391</v>
      </c>
      <c r="E893" t="s">
        <v>2392</v>
      </c>
      <c r="F893" t="s">
        <v>66</v>
      </c>
      <c r="G893" t="s">
        <v>101</v>
      </c>
      <c r="H893" t="s">
        <v>184</v>
      </c>
      <c r="I893" t="s">
        <v>2393</v>
      </c>
      <c r="J893" t="s">
        <v>70</v>
      </c>
      <c r="L893">
        <v>1</v>
      </c>
      <c r="M893" t="b">
        <v>0</v>
      </c>
      <c r="N893">
        <v>3</v>
      </c>
      <c r="O893">
        <v>2</v>
      </c>
      <c r="P893">
        <v>3</v>
      </c>
      <c r="Q893">
        <v>3</v>
      </c>
      <c r="R893">
        <v>0</v>
      </c>
      <c r="S893">
        <v>4</v>
      </c>
      <c r="T893">
        <v>16</v>
      </c>
      <c r="U893">
        <v>435</v>
      </c>
      <c r="V893">
        <v>70</v>
      </c>
      <c r="W893">
        <v>15</v>
      </c>
      <c r="X893">
        <v>4.666666666666667</v>
      </c>
      <c r="Y893">
        <v>1</v>
      </c>
      <c r="Z893">
        <v>19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</v>
      </c>
      <c r="AG893">
        <v>4</v>
      </c>
      <c r="AH893">
        <v>2</v>
      </c>
      <c r="AI893">
        <v>224</v>
      </c>
      <c r="AJ893">
        <v>1</v>
      </c>
      <c r="AK893">
        <v>1</v>
      </c>
      <c r="AL893">
        <v>3</v>
      </c>
      <c r="AM893">
        <v>225</v>
      </c>
      <c r="AN893">
        <v>3</v>
      </c>
      <c r="AO893">
        <v>23</v>
      </c>
      <c r="AP893">
        <v>1</v>
      </c>
      <c r="AQ893">
        <v>19</v>
      </c>
      <c r="AR893">
        <v>4.3678160919540229E-2</v>
      </c>
      <c r="AS893">
        <v>0</v>
      </c>
      <c r="AT893">
        <v>0</v>
      </c>
      <c r="AU893">
        <v>9.1954022988505746E-3</v>
      </c>
      <c r="AV893">
        <v>0.51494252873563218</v>
      </c>
      <c r="AW893">
        <v>0.51724137931034486</v>
      </c>
      <c r="AX893">
        <v>5.2873563218390797E-2</v>
      </c>
      <c r="AY893">
        <v>4.3678160919540229E-2</v>
      </c>
      <c r="AZ893">
        <v>-0.46436781609195399</v>
      </c>
      <c r="BA893">
        <v>0.5</v>
      </c>
      <c r="BB893">
        <v>0.61111111111111116</v>
      </c>
      <c r="BC893">
        <v>6.6666666666666666E-2</v>
      </c>
      <c r="BD893">
        <v>0.33477011494252867</v>
      </c>
      <c r="BE893">
        <v>4</v>
      </c>
      <c r="BF893">
        <v>0.37813697318007672</v>
      </c>
      <c r="BG893">
        <v>0.46</v>
      </c>
      <c r="BH893" t="s">
        <v>71</v>
      </c>
      <c r="BI893">
        <v>0.38</v>
      </c>
      <c r="BJ893" t="s">
        <v>104</v>
      </c>
      <c r="BK893" s="2">
        <f t="shared" si="27"/>
        <v>8.0000000000000016E-2</v>
      </c>
      <c r="BL893" t="b">
        <f t="shared" si="28"/>
        <v>0</v>
      </c>
    </row>
    <row r="894" spans="1:64" x14ac:dyDescent="0.35">
      <c r="A894" t="s">
        <v>2394</v>
      </c>
      <c r="B894" t="s">
        <v>2395</v>
      </c>
      <c r="C894">
        <v>2014</v>
      </c>
      <c r="D894" t="s">
        <v>2396</v>
      </c>
      <c r="E894" t="s">
        <v>2397</v>
      </c>
      <c r="F894" t="s">
        <v>66</v>
      </c>
      <c r="G894" t="s">
        <v>144</v>
      </c>
      <c r="H894" t="s">
        <v>144</v>
      </c>
      <c r="I894" t="s">
        <v>144</v>
      </c>
      <c r="J894" t="s">
        <v>70</v>
      </c>
      <c r="L894">
        <v>5</v>
      </c>
      <c r="M894" t="b">
        <v>0</v>
      </c>
      <c r="N894">
        <v>1</v>
      </c>
      <c r="O894">
        <v>2</v>
      </c>
      <c r="P894">
        <v>6</v>
      </c>
      <c r="Q894">
        <v>5</v>
      </c>
      <c r="R894">
        <v>1</v>
      </c>
      <c r="S894">
        <v>5</v>
      </c>
      <c r="T894">
        <v>27</v>
      </c>
      <c r="U894">
        <v>665</v>
      </c>
      <c r="V894">
        <v>124</v>
      </c>
      <c r="W894">
        <v>24</v>
      </c>
      <c r="X894">
        <v>5.166666666666667</v>
      </c>
      <c r="Y894">
        <v>2</v>
      </c>
      <c r="Z894">
        <v>36</v>
      </c>
      <c r="AA894">
        <v>0</v>
      </c>
      <c r="AB894">
        <v>0</v>
      </c>
      <c r="AC894">
        <v>2</v>
      </c>
      <c r="AD894">
        <v>2</v>
      </c>
      <c r="AE894">
        <v>51</v>
      </c>
      <c r="AF894">
        <v>1</v>
      </c>
      <c r="AG894">
        <v>32</v>
      </c>
      <c r="AH894">
        <v>1</v>
      </c>
      <c r="AI894">
        <v>19</v>
      </c>
      <c r="AJ894">
        <v>3</v>
      </c>
      <c r="AK894">
        <v>70</v>
      </c>
      <c r="AL894">
        <v>5</v>
      </c>
      <c r="AM894">
        <v>108</v>
      </c>
      <c r="AN894">
        <v>3</v>
      </c>
      <c r="AO894">
        <v>68</v>
      </c>
      <c r="AP894">
        <v>4</v>
      </c>
      <c r="AQ894">
        <v>87</v>
      </c>
      <c r="AR894">
        <v>5.4135338345864661E-2</v>
      </c>
      <c r="AS894">
        <v>0</v>
      </c>
      <c r="AT894">
        <v>7.6691729323308269E-2</v>
      </c>
      <c r="AU894">
        <v>4.8120300751879702E-2</v>
      </c>
      <c r="AV894">
        <v>2.8571428571428571E-2</v>
      </c>
      <c r="AW894">
        <v>0.162406015037594</v>
      </c>
      <c r="AX894">
        <v>0.10225563909774441</v>
      </c>
      <c r="AY894">
        <v>0.1308270676691729</v>
      </c>
      <c r="AZ894">
        <v>-6.0150375939849628E-2</v>
      </c>
      <c r="BA894">
        <v>0.66666666666666663</v>
      </c>
      <c r="BB894">
        <v>0.69444444444444453</v>
      </c>
      <c r="BC894">
        <v>0.26666666666666672</v>
      </c>
      <c r="BD894">
        <v>0.58740601503759393</v>
      </c>
      <c r="BE894">
        <v>4</v>
      </c>
      <c r="BF894">
        <v>0.55379594820384292</v>
      </c>
      <c r="BG894">
        <v>0.57999999999999996</v>
      </c>
      <c r="BH894" t="s">
        <v>71</v>
      </c>
      <c r="BI894">
        <v>0.55000000000000004</v>
      </c>
      <c r="BJ894" t="s">
        <v>71</v>
      </c>
      <c r="BK894" s="2">
        <f t="shared" si="27"/>
        <v>2.9999999999999916E-2</v>
      </c>
      <c r="BL894" t="b">
        <f t="shared" si="28"/>
        <v>1</v>
      </c>
    </row>
    <row r="895" spans="1:64" x14ac:dyDescent="0.35">
      <c r="A895" t="s">
        <v>2398</v>
      </c>
      <c r="B895" t="s">
        <v>2395</v>
      </c>
      <c r="C895">
        <v>2015</v>
      </c>
      <c r="D895" t="s">
        <v>2396</v>
      </c>
      <c r="E895" t="s">
        <v>2397</v>
      </c>
      <c r="F895" t="s">
        <v>66</v>
      </c>
      <c r="G895" t="s">
        <v>144</v>
      </c>
      <c r="H895" t="s">
        <v>144</v>
      </c>
      <c r="I895" t="s">
        <v>144</v>
      </c>
      <c r="J895" t="s">
        <v>70</v>
      </c>
      <c r="L895">
        <v>5</v>
      </c>
      <c r="M895" t="b">
        <v>0</v>
      </c>
      <c r="N895">
        <v>1</v>
      </c>
      <c r="O895">
        <v>2</v>
      </c>
      <c r="P895">
        <v>12</v>
      </c>
      <c r="Q895">
        <v>5</v>
      </c>
      <c r="R895">
        <v>7</v>
      </c>
      <c r="S895">
        <v>6</v>
      </c>
      <c r="T895">
        <v>43</v>
      </c>
      <c r="U895">
        <v>552</v>
      </c>
      <c r="V895">
        <v>191</v>
      </c>
      <c r="W895">
        <v>31</v>
      </c>
      <c r="X895">
        <v>6.161290322580645</v>
      </c>
      <c r="Y895">
        <v>5</v>
      </c>
      <c r="Z895">
        <v>116</v>
      </c>
      <c r="AA895">
        <v>1</v>
      </c>
      <c r="AB895">
        <v>2</v>
      </c>
      <c r="AC895">
        <v>5</v>
      </c>
      <c r="AD895">
        <v>5</v>
      </c>
      <c r="AE895">
        <v>18</v>
      </c>
      <c r="AF895">
        <v>2</v>
      </c>
      <c r="AG895">
        <v>55</v>
      </c>
      <c r="AH895">
        <v>1</v>
      </c>
      <c r="AI895">
        <v>60</v>
      </c>
      <c r="AJ895">
        <v>5</v>
      </c>
      <c r="AK895">
        <v>70</v>
      </c>
      <c r="AL895">
        <v>6</v>
      </c>
      <c r="AM895">
        <v>130</v>
      </c>
      <c r="AN895">
        <v>8</v>
      </c>
      <c r="AO895">
        <v>173</v>
      </c>
      <c r="AP895">
        <v>11</v>
      </c>
      <c r="AQ895">
        <v>136</v>
      </c>
      <c r="AR895">
        <v>0.2101449275362319</v>
      </c>
      <c r="AS895">
        <v>3.6231884057971011E-3</v>
      </c>
      <c r="AT895">
        <v>3.2608695652173912E-2</v>
      </c>
      <c r="AU895">
        <v>9.9637681159420288E-2</v>
      </c>
      <c r="AV895">
        <v>0.108695652173913</v>
      </c>
      <c r="AW895">
        <v>0.23550724637681161</v>
      </c>
      <c r="AX895">
        <v>0.31340579710144928</v>
      </c>
      <c r="AY895">
        <v>0.24637681159420291</v>
      </c>
      <c r="AZ895">
        <v>7.7898550724637694E-2</v>
      </c>
      <c r="BA895">
        <v>0.83333333333333337</v>
      </c>
      <c r="BB895">
        <v>0.86021505376344087</v>
      </c>
      <c r="BC895">
        <v>0.73333333333333328</v>
      </c>
      <c r="BD895">
        <v>0.67368659420289856</v>
      </c>
      <c r="BE895">
        <v>4</v>
      </c>
      <c r="BF895">
        <v>0.77514207865825147</v>
      </c>
      <c r="BG895">
        <v>0.79</v>
      </c>
      <c r="BH895" t="s">
        <v>86</v>
      </c>
      <c r="BI895">
        <v>0.78</v>
      </c>
      <c r="BJ895" t="s">
        <v>86</v>
      </c>
      <c r="BK895" s="2">
        <f t="shared" si="27"/>
        <v>1.0000000000000009E-2</v>
      </c>
      <c r="BL895" t="b">
        <f t="shared" si="28"/>
        <v>1</v>
      </c>
    </row>
    <row r="896" spans="1:64" x14ac:dyDescent="0.35">
      <c r="A896" t="s">
        <v>2399</v>
      </c>
      <c r="B896" t="s">
        <v>2395</v>
      </c>
      <c r="C896">
        <v>2017</v>
      </c>
      <c r="D896" t="s">
        <v>2396</v>
      </c>
      <c r="E896" t="s">
        <v>2397</v>
      </c>
      <c r="F896" t="s">
        <v>66</v>
      </c>
      <c r="G896" t="s">
        <v>144</v>
      </c>
      <c r="H896" t="s">
        <v>144</v>
      </c>
      <c r="I896" t="s">
        <v>144</v>
      </c>
      <c r="J896" t="s">
        <v>70</v>
      </c>
      <c r="L896">
        <v>5</v>
      </c>
      <c r="M896" t="b">
        <v>0</v>
      </c>
      <c r="N896">
        <v>1</v>
      </c>
      <c r="O896">
        <v>1</v>
      </c>
      <c r="P896">
        <v>6</v>
      </c>
      <c r="Q896">
        <v>4</v>
      </c>
      <c r="R896">
        <v>2</v>
      </c>
      <c r="S896">
        <v>4</v>
      </c>
      <c r="T896">
        <v>28</v>
      </c>
      <c r="U896">
        <v>367</v>
      </c>
      <c r="V896">
        <v>105</v>
      </c>
      <c r="W896">
        <v>22</v>
      </c>
      <c r="X896">
        <v>4.7727272727272716</v>
      </c>
      <c r="Y896">
        <v>2</v>
      </c>
      <c r="Z896">
        <v>51</v>
      </c>
      <c r="AA896">
        <v>0</v>
      </c>
      <c r="AB896">
        <v>0</v>
      </c>
      <c r="AC896">
        <v>7</v>
      </c>
      <c r="AD896">
        <v>7</v>
      </c>
      <c r="AE896">
        <v>48</v>
      </c>
      <c r="AF896">
        <v>1</v>
      </c>
      <c r="AG896">
        <v>2</v>
      </c>
      <c r="AH896">
        <v>2</v>
      </c>
      <c r="AI896">
        <v>42</v>
      </c>
      <c r="AJ896">
        <v>2</v>
      </c>
      <c r="AK896">
        <v>14</v>
      </c>
      <c r="AL896">
        <v>4</v>
      </c>
      <c r="AM896">
        <v>56</v>
      </c>
      <c r="AN896">
        <v>3</v>
      </c>
      <c r="AO896">
        <v>53</v>
      </c>
      <c r="AP896">
        <v>9</v>
      </c>
      <c r="AQ896">
        <v>99</v>
      </c>
      <c r="AR896">
        <v>0.13896457765667569</v>
      </c>
      <c r="AS896">
        <v>0</v>
      </c>
      <c r="AT896">
        <v>0.13079019073569481</v>
      </c>
      <c r="AU896">
        <v>5.4495912806539508E-3</v>
      </c>
      <c r="AV896">
        <v>0.11444141689373299</v>
      </c>
      <c r="AW896">
        <v>0.1525885558583106</v>
      </c>
      <c r="AX896">
        <v>0.1444141689373297</v>
      </c>
      <c r="AY896">
        <v>0.26975476839237061</v>
      </c>
      <c r="AZ896">
        <v>-8.1743869209809361E-3</v>
      </c>
      <c r="BA896">
        <v>0.5</v>
      </c>
      <c r="BB896">
        <v>0.62878787878787856</v>
      </c>
      <c r="BC896">
        <v>0.6</v>
      </c>
      <c r="BD896">
        <v>0.61989100817438691</v>
      </c>
      <c r="BE896">
        <v>4</v>
      </c>
      <c r="BF896">
        <v>0.58716972174056636</v>
      </c>
      <c r="BG896">
        <v>0.61</v>
      </c>
      <c r="BH896" t="s">
        <v>86</v>
      </c>
      <c r="BI896">
        <v>0.59</v>
      </c>
      <c r="BJ896" t="s">
        <v>71</v>
      </c>
      <c r="BK896" s="2">
        <f t="shared" si="27"/>
        <v>2.0000000000000018E-2</v>
      </c>
      <c r="BL896" t="b">
        <f t="shared" si="28"/>
        <v>0</v>
      </c>
    </row>
    <row r="897" spans="1:64" x14ac:dyDescent="0.35">
      <c r="A897" t="s">
        <v>2400</v>
      </c>
      <c r="B897" t="s">
        <v>2395</v>
      </c>
      <c r="C897">
        <v>2019</v>
      </c>
      <c r="D897" t="s">
        <v>2396</v>
      </c>
      <c r="E897" t="s">
        <v>2397</v>
      </c>
      <c r="F897" t="s">
        <v>66</v>
      </c>
      <c r="G897" t="s">
        <v>144</v>
      </c>
      <c r="H897" t="s">
        <v>144</v>
      </c>
      <c r="I897" t="s">
        <v>144</v>
      </c>
      <c r="J897" t="s">
        <v>70</v>
      </c>
      <c r="L897">
        <v>5</v>
      </c>
      <c r="M897" t="b">
        <v>0</v>
      </c>
      <c r="N897">
        <v>3</v>
      </c>
      <c r="O897">
        <v>1</v>
      </c>
      <c r="P897">
        <v>3</v>
      </c>
      <c r="Q897">
        <v>7</v>
      </c>
      <c r="R897">
        <v>-4</v>
      </c>
      <c r="S897">
        <v>3</v>
      </c>
      <c r="T897">
        <v>19</v>
      </c>
      <c r="U897">
        <v>2217</v>
      </c>
      <c r="V897">
        <v>70</v>
      </c>
      <c r="W897">
        <v>16</v>
      </c>
      <c r="X897">
        <v>4.375</v>
      </c>
      <c r="Y897">
        <v>3</v>
      </c>
      <c r="Z897">
        <v>589</v>
      </c>
      <c r="AA897">
        <v>0</v>
      </c>
      <c r="AB897">
        <v>0</v>
      </c>
      <c r="AC897">
        <v>2</v>
      </c>
      <c r="AD897">
        <v>2</v>
      </c>
      <c r="AE897">
        <v>448</v>
      </c>
      <c r="AF897">
        <v>0</v>
      </c>
      <c r="AG897">
        <v>0</v>
      </c>
      <c r="AH897">
        <v>1</v>
      </c>
      <c r="AI897">
        <v>149</v>
      </c>
      <c r="AJ897">
        <v>2</v>
      </c>
      <c r="AK897">
        <v>50</v>
      </c>
      <c r="AL897">
        <v>3</v>
      </c>
      <c r="AM897">
        <v>199</v>
      </c>
      <c r="AN897">
        <v>3</v>
      </c>
      <c r="AO897">
        <v>589</v>
      </c>
      <c r="AP897">
        <v>5</v>
      </c>
      <c r="AQ897">
        <v>1037</v>
      </c>
      <c r="AR897">
        <v>0.2656743346865133</v>
      </c>
      <c r="AS897">
        <v>0</v>
      </c>
      <c r="AT897">
        <v>0.20207487595850249</v>
      </c>
      <c r="AU897">
        <v>0</v>
      </c>
      <c r="AV897">
        <v>6.7207938655841223E-2</v>
      </c>
      <c r="AW897">
        <v>8.9760938204781232E-2</v>
      </c>
      <c r="AX897">
        <v>0.2656743346865133</v>
      </c>
      <c r="AY897">
        <v>0.46774921064501579</v>
      </c>
      <c r="AZ897">
        <v>0.1759133964817321</v>
      </c>
      <c r="BA897">
        <v>0.33333333333333331</v>
      </c>
      <c r="BB897">
        <v>0.5625</v>
      </c>
      <c r="BC897">
        <v>0.33333333333333331</v>
      </c>
      <c r="BD897">
        <v>0.73494587280108248</v>
      </c>
      <c r="BE897">
        <v>4</v>
      </c>
      <c r="BF897">
        <v>0.4910281348669373</v>
      </c>
      <c r="BG897">
        <v>0.5</v>
      </c>
      <c r="BH897" t="s">
        <v>71</v>
      </c>
      <c r="BI897">
        <v>0.49</v>
      </c>
      <c r="BJ897" t="s">
        <v>71</v>
      </c>
      <c r="BK897" s="2">
        <f t="shared" si="27"/>
        <v>1.0000000000000009E-2</v>
      </c>
      <c r="BL897" t="b">
        <f t="shared" si="28"/>
        <v>1</v>
      </c>
    </row>
    <row r="898" spans="1:64" x14ac:dyDescent="0.35">
      <c r="A898" t="s">
        <v>2401</v>
      </c>
      <c r="B898" t="s">
        <v>2395</v>
      </c>
      <c r="C898">
        <v>2020</v>
      </c>
      <c r="D898" t="s">
        <v>2396</v>
      </c>
      <c r="E898" t="s">
        <v>2397</v>
      </c>
      <c r="F898" t="s">
        <v>66</v>
      </c>
      <c r="G898" t="s">
        <v>144</v>
      </c>
      <c r="H898" t="s">
        <v>144</v>
      </c>
      <c r="I898" t="s">
        <v>144</v>
      </c>
      <c r="J898" t="s">
        <v>70</v>
      </c>
      <c r="L898">
        <v>5</v>
      </c>
      <c r="M898" t="b">
        <v>0</v>
      </c>
      <c r="N898">
        <v>3</v>
      </c>
      <c r="O898">
        <v>2</v>
      </c>
      <c r="P898">
        <v>4</v>
      </c>
      <c r="Q898">
        <v>5</v>
      </c>
      <c r="R898">
        <v>-1</v>
      </c>
      <c r="S898">
        <v>4</v>
      </c>
      <c r="T898">
        <v>24</v>
      </c>
      <c r="U898">
        <v>814</v>
      </c>
      <c r="V898">
        <v>79</v>
      </c>
      <c r="W898">
        <v>19</v>
      </c>
      <c r="X898">
        <v>4.1578947368421053</v>
      </c>
      <c r="Y898">
        <v>2</v>
      </c>
      <c r="Z898">
        <v>35</v>
      </c>
      <c r="AA898">
        <v>0</v>
      </c>
      <c r="AB898">
        <v>0</v>
      </c>
      <c r="AC898">
        <v>2</v>
      </c>
      <c r="AD898">
        <v>2</v>
      </c>
      <c r="AE898">
        <v>190</v>
      </c>
      <c r="AF898">
        <v>1</v>
      </c>
      <c r="AG898">
        <v>1</v>
      </c>
      <c r="AH898">
        <v>2</v>
      </c>
      <c r="AI898">
        <v>37</v>
      </c>
      <c r="AJ898">
        <v>3</v>
      </c>
      <c r="AK898">
        <v>14</v>
      </c>
      <c r="AL898">
        <v>5</v>
      </c>
      <c r="AM898">
        <v>51</v>
      </c>
      <c r="AN898">
        <v>3</v>
      </c>
      <c r="AO898">
        <v>36</v>
      </c>
      <c r="AP898">
        <v>4</v>
      </c>
      <c r="AQ898">
        <v>225</v>
      </c>
      <c r="AR898">
        <v>4.2997542997542999E-2</v>
      </c>
      <c r="AS898">
        <v>0</v>
      </c>
      <c r="AT898">
        <v>0.2334152334152334</v>
      </c>
      <c r="AU898">
        <v>1.228501228501228E-3</v>
      </c>
      <c r="AV898">
        <v>4.5454545454545463E-2</v>
      </c>
      <c r="AW898">
        <v>6.2653562653562658E-2</v>
      </c>
      <c r="AX898">
        <v>4.4226044226044217E-2</v>
      </c>
      <c r="AY898">
        <v>0.2764127764127764</v>
      </c>
      <c r="AZ898">
        <v>-1.8427518427518431E-2</v>
      </c>
      <c r="BA898">
        <v>0.5</v>
      </c>
      <c r="BB898">
        <v>0.52631578947368418</v>
      </c>
      <c r="BC898">
        <v>0.26666666666666672</v>
      </c>
      <c r="BD898">
        <v>0.61348280098280095</v>
      </c>
      <c r="BE898">
        <v>4</v>
      </c>
      <c r="BF898">
        <v>0.47661631428078788</v>
      </c>
      <c r="BG898">
        <v>0.48</v>
      </c>
      <c r="BH898" t="s">
        <v>71</v>
      </c>
      <c r="BI898">
        <v>0.48</v>
      </c>
      <c r="BJ898" t="s">
        <v>71</v>
      </c>
      <c r="BK898" s="2">
        <f t="shared" si="27"/>
        <v>0</v>
      </c>
      <c r="BL898" t="b">
        <f t="shared" si="28"/>
        <v>1</v>
      </c>
    </row>
    <row r="899" spans="1:64" x14ac:dyDescent="0.35">
      <c r="A899" t="s">
        <v>2402</v>
      </c>
      <c r="B899" t="s">
        <v>2403</v>
      </c>
      <c r="C899">
        <v>2018</v>
      </c>
      <c r="D899" t="s">
        <v>2404</v>
      </c>
      <c r="E899" t="s">
        <v>2405</v>
      </c>
      <c r="F899" t="s">
        <v>66</v>
      </c>
      <c r="G899" t="s">
        <v>101</v>
      </c>
      <c r="H899" t="s">
        <v>211</v>
      </c>
      <c r="I899" t="s">
        <v>2406</v>
      </c>
      <c r="J899" t="s">
        <v>70</v>
      </c>
      <c r="L899">
        <v>1</v>
      </c>
      <c r="M899" t="b">
        <v>0</v>
      </c>
      <c r="N899">
        <v>1</v>
      </c>
      <c r="O899">
        <v>2</v>
      </c>
      <c r="P899">
        <v>4</v>
      </c>
      <c r="Q899">
        <v>4</v>
      </c>
      <c r="R899">
        <v>0</v>
      </c>
      <c r="S899">
        <v>5</v>
      </c>
      <c r="T899">
        <v>17</v>
      </c>
      <c r="U899">
        <v>209</v>
      </c>
      <c r="V899">
        <v>59</v>
      </c>
      <c r="W899">
        <v>12</v>
      </c>
      <c r="X899">
        <v>4.916666666666667</v>
      </c>
      <c r="Y899">
        <v>5</v>
      </c>
      <c r="Z899">
        <v>86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2</v>
      </c>
      <c r="AI899">
        <v>15</v>
      </c>
      <c r="AJ899">
        <v>2</v>
      </c>
      <c r="AK899">
        <v>7</v>
      </c>
      <c r="AL899">
        <v>4</v>
      </c>
      <c r="AM899">
        <v>22</v>
      </c>
      <c r="AN899">
        <v>5</v>
      </c>
      <c r="AO899">
        <v>86</v>
      </c>
      <c r="AP899">
        <v>5</v>
      </c>
      <c r="AQ899">
        <v>86</v>
      </c>
      <c r="AR899">
        <v>0.41148325358851667</v>
      </c>
      <c r="AS899">
        <v>0</v>
      </c>
      <c r="AT899">
        <v>0</v>
      </c>
      <c r="AU899">
        <v>0</v>
      </c>
      <c r="AV899">
        <v>7.1770334928229665E-2</v>
      </c>
      <c r="AW899">
        <v>0.10526315789473679</v>
      </c>
      <c r="AX899">
        <v>0.41148325358851667</v>
      </c>
      <c r="AY899">
        <v>0.41148325358851667</v>
      </c>
      <c r="AZ899">
        <v>0.30622009569377989</v>
      </c>
      <c r="BA899">
        <v>0.66666666666666663</v>
      </c>
      <c r="BB899">
        <v>0.65277777777777779</v>
      </c>
      <c r="BC899">
        <v>0.33333333333333331</v>
      </c>
      <c r="BD899">
        <v>0.81638755980861244</v>
      </c>
      <c r="BE899">
        <v>4</v>
      </c>
      <c r="BF899">
        <v>0.61729133439659756</v>
      </c>
      <c r="BG899">
        <v>0.63</v>
      </c>
      <c r="BH899" t="s">
        <v>86</v>
      </c>
      <c r="BI899">
        <v>0.62</v>
      </c>
      <c r="BJ899" t="s">
        <v>86</v>
      </c>
      <c r="BK899" s="2">
        <f t="shared" ref="BK899:BK932" si="29">BG899-BI899</f>
        <v>1.0000000000000009E-2</v>
      </c>
      <c r="BL899" t="b">
        <f t="shared" ref="BL899:BL932" si="30">EXACT(BH899,BJ899)</f>
        <v>1</v>
      </c>
    </row>
    <row r="900" spans="1:64" x14ac:dyDescent="0.35">
      <c r="A900" t="s">
        <v>2407</v>
      </c>
      <c r="B900" t="s">
        <v>2408</v>
      </c>
      <c r="C900">
        <v>2014</v>
      </c>
      <c r="D900" t="s">
        <v>2409</v>
      </c>
      <c r="E900" t="s">
        <v>2410</v>
      </c>
      <c r="F900" t="s">
        <v>66</v>
      </c>
      <c r="G900" t="s">
        <v>67</v>
      </c>
      <c r="H900" t="s">
        <v>84</v>
      </c>
      <c r="I900" t="s">
        <v>84</v>
      </c>
      <c r="J900" t="s">
        <v>70</v>
      </c>
      <c r="L900">
        <v>5</v>
      </c>
      <c r="M900" t="b">
        <v>0</v>
      </c>
      <c r="N900">
        <v>1</v>
      </c>
      <c r="O900">
        <v>1</v>
      </c>
      <c r="P900">
        <v>6</v>
      </c>
      <c r="Q900">
        <v>5</v>
      </c>
      <c r="R900">
        <v>1</v>
      </c>
      <c r="S900">
        <v>4</v>
      </c>
      <c r="T900">
        <v>28</v>
      </c>
      <c r="U900">
        <v>130</v>
      </c>
      <c r="V900">
        <v>123</v>
      </c>
      <c r="W900">
        <v>23</v>
      </c>
      <c r="X900">
        <v>5.3478260869565224</v>
      </c>
      <c r="Y900">
        <v>3</v>
      </c>
      <c r="Z900">
        <v>12</v>
      </c>
      <c r="AA900">
        <v>0</v>
      </c>
      <c r="AB900">
        <v>0</v>
      </c>
      <c r="AC900">
        <v>2</v>
      </c>
      <c r="AD900">
        <v>2</v>
      </c>
      <c r="AE900">
        <v>38</v>
      </c>
      <c r="AF900">
        <v>2</v>
      </c>
      <c r="AG900">
        <v>3</v>
      </c>
      <c r="AH900">
        <v>2</v>
      </c>
      <c r="AI900">
        <v>29</v>
      </c>
      <c r="AJ900">
        <v>2</v>
      </c>
      <c r="AK900">
        <v>3</v>
      </c>
      <c r="AL900">
        <v>4</v>
      </c>
      <c r="AM900">
        <v>32</v>
      </c>
      <c r="AN900">
        <v>5</v>
      </c>
      <c r="AO900">
        <v>15</v>
      </c>
      <c r="AP900">
        <v>5</v>
      </c>
      <c r="AQ900">
        <v>50</v>
      </c>
      <c r="AR900">
        <v>9.2307692307692313E-2</v>
      </c>
      <c r="AS900">
        <v>0</v>
      </c>
      <c r="AT900">
        <v>0.29230769230769232</v>
      </c>
      <c r="AU900">
        <v>2.3076923076923082E-2</v>
      </c>
      <c r="AV900">
        <v>0.22307692307692309</v>
      </c>
      <c r="AW900">
        <v>0.2461538461538462</v>
      </c>
      <c r="AX900">
        <v>0.1153846153846154</v>
      </c>
      <c r="AY900">
        <v>0.38461538461538458</v>
      </c>
      <c r="AZ900">
        <v>-0.1307692307692308</v>
      </c>
      <c r="BA900">
        <v>0.5</v>
      </c>
      <c r="BB900">
        <v>0.7246376811594204</v>
      </c>
      <c r="BC900">
        <v>0.33333333333333331</v>
      </c>
      <c r="BD900">
        <v>0.54326923076923073</v>
      </c>
      <c r="BE900">
        <v>4</v>
      </c>
      <c r="BF900">
        <v>0.52531006131549607</v>
      </c>
      <c r="BG900">
        <v>0.56000000000000005</v>
      </c>
      <c r="BH900" t="s">
        <v>71</v>
      </c>
      <c r="BI900">
        <v>0.53</v>
      </c>
      <c r="BJ900" t="s">
        <v>71</v>
      </c>
      <c r="BK900" s="2">
        <f t="shared" si="29"/>
        <v>3.0000000000000027E-2</v>
      </c>
      <c r="BL900" t="b">
        <f t="shared" si="30"/>
        <v>1</v>
      </c>
    </row>
    <row r="901" spans="1:64" x14ac:dyDescent="0.35">
      <c r="A901" t="s">
        <v>2411</v>
      </c>
      <c r="B901" t="s">
        <v>2408</v>
      </c>
      <c r="C901">
        <v>2015</v>
      </c>
      <c r="D901" t="s">
        <v>2409</v>
      </c>
      <c r="E901" t="s">
        <v>2410</v>
      </c>
      <c r="F901" t="s">
        <v>66</v>
      </c>
      <c r="G901" t="s">
        <v>67</v>
      </c>
      <c r="H901" t="s">
        <v>84</v>
      </c>
      <c r="I901" t="s">
        <v>84</v>
      </c>
      <c r="J901" t="s">
        <v>70</v>
      </c>
      <c r="L901">
        <v>5</v>
      </c>
      <c r="M901" t="b">
        <v>0</v>
      </c>
      <c r="N901">
        <v>4</v>
      </c>
      <c r="O901">
        <v>3</v>
      </c>
      <c r="P901">
        <v>4</v>
      </c>
      <c r="Q901">
        <v>4</v>
      </c>
      <c r="R901">
        <v>0</v>
      </c>
      <c r="S901">
        <v>3</v>
      </c>
      <c r="T901">
        <v>21</v>
      </c>
      <c r="U901">
        <v>117</v>
      </c>
      <c r="V901">
        <v>87</v>
      </c>
      <c r="W901">
        <v>18</v>
      </c>
      <c r="X901">
        <v>4.833333333333333</v>
      </c>
      <c r="Y901">
        <v>2</v>
      </c>
      <c r="Z901">
        <v>16</v>
      </c>
      <c r="AA901">
        <v>0</v>
      </c>
      <c r="AB901">
        <v>0</v>
      </c>
      <c r="AC901">
        <v>2</v>
      </c>
      <c r="AD901">
        <v>2</v>
      </c>
      <c r="AE901">
        <v>32</v>
      </c>
      <c r="AF901">
        <v>3</v>
      </c>
      <c r="AG901">
        <v>3</v>
      </c>
      <c r="AH901">
        <v>2</v>
      </c>
      <c r="AI901">
        <v>17</v>
      </c>
      <c r="AJ901">
        <v>2</v>
      </c>
      <c r="AK901">
        <v>7</v>
      </c>
      <c r="AL901">
        <v>4</v>
      </c>
      <c r="AM901">
        <v>24</v>
      </c>
      <c r="AN901">
        <v>5</v>
      </c>
      <c r="AO901">
        <v>19</v>
      </c>
      <c r="AP901">
        <v>4</v>
      </c>
      <c r="AQ901">
        <v>48</v>
      </c>
      <c r="AR901">
        <v>0.13675213675213679</v>
      </c>
      <c r="AS901">
        <v>0</v>
      </c>
      <c r="AT901">
        <v>0.27350427350427348</v>
      </c>
      <c r="AU901">
        <v>2.564102564102564E-2</v>
      </c>
      <c r="AV901">
        <v>0.14529914529914531</v>
      </c>
      <c r="AW901">
        <v>0.20512820512820509</v>
      </c>
      <c r="AX901">
        <v>0.1623931623931624</v>
      </c>
      <c r="AY901">
        <v>0.41025641025641019</v>
      </c>
      <c r="AZ901">
        <v>-4.2735042735042722E-2</v>
      </c>
      <c r="BA901">
        <v>0.33333333333333331</v>
      </c>
      <c r="BB901">
        <v>0.63888888888888884</v>
      </c>
      <c r="BC901">
        <v>0.26666666666666672</v>
      </c>
      <c r="BD901">
        <v>0.59829059829059827</v>
      </c>
      <c r="BE901">
        <v>4</v>
      </c>
      <c r="BF901">
        <v>0.45929487179487177</v>
      </c>
      <c r="BG901">
        <v>0.5</v>
      </c>
      <c r="BH901" t="s">
        <v>71</v>
      </c>
      <c r="BI901">
        <v>0.46</v>
      </c>
      <c r="BJ901" t="s">
        <v>71</v>
      </c>
      <c r="BK901" s="2">
        <f t="shared" si="29"/>
        <v>3.999999999999998E-2</v>
      </c>
      <c r="BL901" t="b">
        <f t="shared" si="30"/>
        <v>1</v>
      </c>
    </row>
    <row r="902" spans="1:64" x14ac:dyDescent="0.35">
      <c r="A902" t="s">
        <v>2412</v>
      </c>
      <c r="B902" t="s">
        <v>2408</v>
      </c>
      <c r="C902">
        <v>2016</v>
      </c>
      <c r="D902" t="s">
        <v>2409</v>
      </c>
      <c r="E902" t="s">
        <v>2410</v>
      </c>
      <c r="F902" t="s">
        <v>66</v>
      </c>
      <c r="G902" t="s">
        <v>67</v>
      </c>
      <c r="H902" t="s">
        <v>84</v>
      </c>
      <c r="I902" t="s">
        <v>84</v>
      </c>
      <c r="J902" t="s">
        <v>70</v>
      </c>
      <c r="L902">
        <v>5</v>
      </c>
      <c r="M902" t="b">
        <v>0</v>
      </c>
      <c r="N902">
        <v>3</v>
      </c>
      <c r="O902">
        <v>2</v>
      </c>
      <c r="P902">
        <v>5</v>
      </c>
      <c r="Q902">
        <v>6</v>
      </c>
      <c r="R902">
        <v>-1</v>
      </c>
      <c r="S902">
        <v>4</v>
      </c>
      <c r="T902">
        <v>30</v>
      </c>
      <c r="U902">
        <v>199</v>
      </c>
      <c r="V902">
        <v>113</v>
      </c>
      <c r="W902">
        <v>22</v>
      </c>
      <c r="X902">
        <v>5.1363636363636367</v>
      </c>
      <c r="Y902">
        <v>1</v>
      </c>
      <c r="Z902">
        <v>61</v>
      </c>
      <c r="AA902">
        <v>0</v>
      </c>
      <c r="AB902">
        <v>0</v>
      </c>
      <c r="AC902">
        <v>1</v>
      </c>
      <c r="AD902">
        <v>1</v>
      </c>
      <c r="AE902">
        <v>17</v>
      </c>
      <c r="AF902">
        <v>2</v>
      </c>
      <c r="AG902">
        <v>2</v>
      </c>
      <c r="AH902">
        <v>2</v>
      </c>
      <c r="AI902">
        <v>33</v>
      </c>
      <c r="AJ902">
        <v>2</v>
      </c>
      <c r="AK902">
        <v>14</v>
      </c>
      <c r="AL902">
        <v>4</v>
      </c>
      <c r="AM902">
        <v>47</v>
      </c>
      <c r="AN902">
        <v>3</v>
      </c>
      <c r="AO902">
        <v>63</v>
      </c>
      <c r="AP902">
        <v>2</v>
      </c>
      <c r="AQ902">
        <v>78</v>
      </c>
      <c r="AR902">
        <v>0.30653266331658291</v>
      </c>
      <c r="AS902">
        <v>0</v>
      </c>
      <c r="AT902">
        <v>8.5427135678391955E-2</v>
      </c>
      <c r="AU902">
        <v>1.0050251256281411E-2</v>
      </c>
      <c r="AV902">
        <v>0.16582914572864321</v>
      </c>
      <c r="AW902">
        <v>0.23618090452261309</v>
      </c>
      <c r="AX902">
        <v>0.3165829145728643</v>
      </c>
      <c r="AY902">
        <v>0.39195979899497491</v>
      </c>
      <c r="AZ902">
        <v>8.0402010050251244E-2</v>
      </c>
      <c r="BA902">
        <v>0.5</v>
      </c>
      <c r="BB902">
        <v>0.68939393939393945</v>
      </c>
      <c r="BC902">
        <v>0.1333333333333333</v>
      </c>
      <c r="BD902">
        <v>0.67525125628140692</v>
      </c>
      <c r="BE902">
        <v>4</v>
      </c>
      <c r="BF902">
        <v>0.49949463225216989</v>
      </c>
      <c r="BG902">
        <v>0.48</v>
      </c>
      <c r="BH902" t="s">
        <v>71</v>
      </c>
      <c r="BI902">
        <v>0.5</v>
      </c>
      <c r="BJ902" t="s">
        <v>71</v>
      </c>
      <c r="BK902" s="2">
        <f t="shared" si="29"/>
        <v>-2.0000000000000018E-2</v>
      </c>
      <c r="BL902" t="b">
        <f t="shared" si="30"/>
        <v>1</v>
      </c>
    </row>
    <row r="903" spans="1:64" x14ac:dyDescent="0.35">
      <c r="A903" t="s">
        <v>2413</v>
      </c>
      <c r="B903" t="s">
        <v>2408</v>
      </c>
      <c r="C903">
        <v>2017</v>
      </c>
      <c r="D903" t="s">
        <v>2409</v>
      </c>
      <c r="E903" t="s">
        <v>2410</v>
      </c>
      <c r="F903" t="s">
        <v>66</v>
      </c>
      <c r="G903" t="s">
        <v>67</v>
      </c>
      <c r="H903" t="s">
        <v>84</v>
      </c>
      <c r="I903" t="s">
        <v>84</v>
      </c>
      <c r="J903" t="s">
        <v>70</v>
      </c>
      <c r="L903">
        <v>5</v>
      </c>
      <c r="M903" t="b">
        <v>0</v>
      </c>
      <c r="N903">
        <v>5</v>
      </c>
      <c r="O903">
        <v>1</v>
      </c>
      <c r="P903">
        <v>1</v>
      </c>
      <c r="Q903">
        <v>1</v>
      </c>
      <c r="R903">
        <v>0</v>
      </c>
      <c r="S903">
        <v>2</v>
      </c>
      <c r="T903">
        <v>9</v>
      </c>
      <c r="U903">
        <v>112</v>
      </c>
      <c r="V903">
        <v>32</v>
      </c>
      <c r="W903">
        <v>8</v>
      </c>
      <c r="X903">
        <v>4</v>
      </c>
      <c r="Y903">
        <v>1</v>
      </c>
      <c r="Z903">
        <v>28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2</v>
      </c>
      <c r="AG903">
        <v>11</v>
      </c>
      <c r="AH903">
        <v>0</v>
      </c>
      <c r="AI903">
        <v>0</v>
      </c>
      <c r="AJ903">
        <v>1</v>
      </c>
      <c r="AK903">
        <v>8</v>
      </c>
      <c r="AL903">
        <v>1</v>
      </c>
      <c r="AM903">
        <v>8</v>
      </c>
      <c r="AN903">
        <v>3</v>
      </c>
      <c r="AO903">
        <v>39</v>
      </c>
      <c r="AP903">
        <v>1</v>
      </c>
      <c r="AQ903">
        <v>28</v>
      </c>
      <c r="AR903">
        <v>0.25</v>
      </c>
      <c r="AS903">
        <v>0</v>
      </c>
      <c r="AT903">
        <v>0</v>
      </c>
      <c r="AU903">
        <v>9.8214285714285712E-2</v>
      </c>
      <c r="AV903">
        <v>0</v>
      </c>
      <c r="AW903">
        <v>7.1428571428571425E-2</v>
      </c>
      <c r="AX903">
        <v>0.3482142857142857</v>
      </c>
      <c r="AY903">
        <v>0.25</v>
      </c>
      <c r="AZ903">
        <v>0.2767857142857143</v>
      </c>
      <c r="BA903">
        <v>0.16666666666666671</v>
      </c>
      <c r="BB903">
        <v>0.5</v>
      </c>
      <c r="BC903">
        <v>6.6666666666666666E-2</v>
      </c>
      <c r="BD903">
        <v>0.79799107142857151</v>
      </c>
      <c r="BE903">
        <v>4</v>
      </c>
      <c r="BF903">
        <v>0.3828311011904762</v>
      </c>
      <c r="BG903">
        <v>0.38</v>
      </c>
      <c r="BH903" t="s">
        <v>104</v>
      </c>
      <c r="BI903">
        <v>0.38</v>
      </c>
      <c r="BJ903" t="s">
        <v>104</v>
      </c>
      <c r="BK903" s="2">
        <f t="shared" si="29"/>
        <v>0</v>
      </c>
      <c r="BL903" t="b">
        <f t="shared" si="30"/>
        <v>1</v>
      </c>
    </row>
    <row r="904" spans="1:64" x14ac:dyDescent="0.35">
      <c r="A904" t="s">
        <v>2414</v>
      </c>
      <c r="B904" t="s">
        <v>2408</v>
      </c>
      <c r="C904">
        <v>2020</v>
      </c>
      <c r="D904" t="s">
        <v>2409</v>
      </c>
      <c r="E904" t="s">
        <v>2410</v>
      </c>
      <c r="F904" t="s">
        <v>66</v>
      </c>
      <c r="G904" t="s">
        <v>67</v>
      </c>
      <c r="H904" t="s">
        <v>84</v>
      </c>
      <c r="I904" t="s">
        <v>84</v>
      </c>
      <c r="J904" t="s">
        <v>70</v>
      </c>
      <c r="L904">
        <v>5</v>
      </c>
      <c r="M904" t="b">
        <v>0</v>
      </c>
      <c r="N904">
        <v>5</v>
      </c>
      <c r="O904">
        <v>1</v>
      </c>
      <c r="P904">
        <v>1</v>
      </c>
      <c r="Q904">
        <v>4</v>
      </c>
      <c r="R904">
        <v>-3</v>
      </c>
      <c r="S904">
        <v>2</v>
      </c>
      <c r="T904">
        <v>14</v>
      </c>
      <c r="U904">
        <v>491</v>
      </c>
      <c r="V904">
        <v>47</v>
      </c>
      <c r="W904">
        <v>12</v>
      </c>
      <c r="X904">
        <v>3.916666666666667</v>
      </c>
      <c r="Y904">
        <v>1</v>
      </c>
      <c r="Z904">
        <v>16</v>
      </c>
      <c r="AA904">
        <v>0</v>
      </c>
      <c r="AB904">
        <v>0</v>
      </c>
      <c r="AC904">
        <v>1</v>
      </c>
      <c r="AD904">
        <v>1</v>
      </c>
      <c r="AE904">
        <v>9</v>
      </c>
      <c r="AF904">
        <v>1</v>
      </c>
      <c r="AG904">
        <v>6</v>
      </c>
      <c r="AH904">
        <v>0</v>
      </c>
      <c r="AI904">
        <v>0</v>
      </c>
      <c r="AJ904">
        <v>1</v>
      </c>
      <c r="AK904">
        <v>6</v>
      </c>
      <c r="AL904">
        <v>1</v>
      </c>
      <c r="AM904">
        <v>6</v>
      </c>
      <c r="AN904">
        <v>2</v>
      </c>
      <c r="AO904">
        <v>22</v>
      </c>
      <c r="AP904">
        <v>2</v>
      </c>
      <c r="AQ904">
        <v>25</v>
      </c>
      <c r="AR904">
        <v>3.2586558044806507E-2</v>
      </c>
      <c r="AS904">
        <v>0</v>
      </c>
      <c r="AT904">
        <v>1.8329938900203669E-2</v>
      </c>
      <c r="AU904">
        <v>1.221995926680244E-2</v>
      </c>
      <c r="AV904">
        <v>0</v>
      </c>
      <c r="AW904">
        <v>1.221995926680244E-2</v>
      </c>
      <c r="AX904">
        <v>4.4806517311608958E-2</v>
      </c>
      <c r="AY904">
        <v>5.0916496945010187E-2</v>
      </c>
      <c r="AZ904">
        <v>3.2586558044806507E-2</v>
      </c>
      <c r="BA904">
        <v>0.16666666666666671</v>
      </c>
      <c r="BB904">
        <v>0.48611111111111122</v>
      </c>
      <c r="BC904">
        <v>0.1333333333333333</v>
      </c>
      <c r="BD904">
        <v>0.64536659877800406</v>
      </c>
      <c r="BE904">
        <v>4</v>
      </c>
      <c r="BF904">
        <v>0.35786942747227879</v>
      </c>
      <c r="BG904">
        <v>0.36</v>
      </c>
      <c r="BH904" t="s">
        <v>104</v>
      </c>
      <c r="BI904">
        <v>0.36</v>
      </c>
      <c r="BJ904" t="s">
        <v>104</v>
      </c>
      <c r="BK904" s="2">
        <f t="shared" si="29"/>
        <v>0</v>
      </c>
      <c r="BL904" t="b">
        <f t="shared" si="30"/>
        <v>1</v>
      </c>
    </row>
    <row r="905" spans="1:64" x14ac:dyDescent="0.35">
      <c r="A905" t="s">
        <v>2415</v>
      </c>
      <c r="B905" t="s">
        <v>2416</v>
      </c>
      <c r="C905">
        <v>2017</v>
      </c>
      <c r="D905" t="s">
        <v>2417</v>
      </c>
      <c r="E905" t="s">
        <v>2418</v>
      </c>
      <c r="F905" t="s">
        <v>66</v>
      </c>
      <c r="G905" t="s">
        <v>101</v>
      </c>
      <c r="H905" t="s">
        <v>211</v>
      </c>
      <c r="I905" t="s">
        <v>2419</v>
      </c>
      <c r="J905" t="s">
        <v>70</v>
      </c>
      <c r="L905">
        <v>1</v>
      </c>
      <c r="M905" t="b">
        <v>0</v>
      </c>
      <c r="N905">
        <v>1</v>
      </c>
      <c r="O905">
        <v>2</v>
      </c>
      <c r="P905">
        <v>5</v>
      </c>
      <c r="Q905">
        <v>3</v>
      </c>
      <c r="R905">
        <v>2</v>
      </c>
      <c r="S905">
        <v>5</v>
      </c>
      <c r="T905">
        <v>30</v>
      </c>
      <c r="U905">
        <v>864</v>
      </c>
      <c r="V905">
        <v>85</v>
      </c>
      <c r="W905">
        <v>18</v>
      </c>
      <c r="X905">
        <v>4.7222222222222223</v>
      </c>
      <c r="Y905">
        <v>2</v>
      </c>
      <c r="Z905">
        <v>34</v>
      </c>
      <c r="AA905">
        <v>1</v>
      </c>
      <c r="AB905">
        <v>18</v>
      </c>
      <c r="AC905">
        <v>8</v>
      </c>
      <c r="AD905">
        <v>8</v>
      </c>
      <c r="AE905">
        <v>156</v>
      </c>
      <c r="AF905">
        <v>1</v>
      </c>
      <c r="AG905">
        <v>1</v>
      </c>
      <c r="AH905">
        <v>1</v>
      </c>
      <c r="AI905">
        <v>15</v>
      </c>
      <c r="AJ905">
        <v>0</v>
      </c>
      <c r="AK905">
        <v>0</v>
      </c>
      <c r="AL905">
        <v>2</v>
      </c>
      <c r="AM905">
        <v>36</v>
      </c>
      <c r="AN905">
        <v>4</v>
      </c>
      <c r="AO905">
        <v>53</v>
      </c>
      <c r="AP905">
        <v>11</v>
      </c>
      <c r="AQ905">
        <v>208</v>
      </c>
      <c r="AR905">
        <v>3.9351851851851853E-2</v>
      </c>
      <c r="AS905">
        <v>2.0833333333333329E-2</v>
      </c>
      <c r="AT905">
        <v>0.18055555555555561</v>
      </c>
      <c r="AU905">
        <v>1.1574074074074069E-3</v>
      </c>
      <c r="AV905">
        <v>1.7361111111111108E-2</v>
      </c>
      <c r="AW905">
        <v>4.1666666666666657E-2</v>
      </c>
      <c r="AX905">
        <v>6.1342592592592587E-2</v>
      </c>
      <c r="AY905">
        <v>0.2407407407407407</v>
      </c>
      <c r="AZ905">
        <v>1.967592592592593E-2</v>
      </c>
      <c r="BA905">
        <v>0.66666666666666663</v>
      </c>
      <c r="BB905">
        <v>0.62037037037037035</v>
      </c>
      <c r="BC905">
        <v>0.73333333333333328</v>
      </c>
      <c r="BD905">
        <v>0.63729745370370372</v>
      </c>
      <c r="BE905">
        <v>4</v>
      </c>
      <c r="BF905">
        <v>0.66441695601851847</v>
      </c>
      <c r="BG905">
        <v>0.66</v>
      </c>
      <c r="BH905" t="s">
        <v>86</v>
      </c>
      <c r="BI905">
        <v>0.66</v>
      </c>
      <c r="BJ905" t="s">
        <v>86</v>
      </c>
      <c r="BK905" s="2">
        <f t="shared" si="29"/>
        <v>0</v>
      </c>
      <c r="BL905" t="b">
        <f t="shared" si="30"/>
        <v>1</v>
      </c>
    </row>
    <row r="906" spans="1:64" x14ac:dyDescent="0.35">
      <c r="A906" t="s">
        <v>2420</v>
      </c>
      <c r="B906" t="s">
        <v>2421</v>
      </c>
      <c r="C906">
        <v>2015</v>
      </c>
      <c r="D906" t="s">
        <v>2422</v>
      </c>
      <c r="E906" t="s">
        <v>2423</v>
      </c>
      <c r="F906" t="s">
        <v>66</v>
      </c>
      <c r="G906" t="s">
        <v>101</v>
      </c>
      <c r="H906" t="s">
        <v>348</v>
      </c>
      <c r="I906" t="s">
        <v>2114</v>
      </c>
      <c r="J906" t="s">
        <v>70</v>
      </c>
      <c r="L906">
        <v>1</v>
      </c>
      <c r="M906" t="b">
        <v>0</v>
      </c>
      <c r="N906">
        <v>4</v>
      </c>
      <c r="O906">
        <v>2</v>
      </c>
      <c r="P906">
        <v>3</v>
      </c>
      <c r="Q906">
        <v>3</v>
      </c>
      <c r="R906">
        <v>0</v>
      </c>
      <c r="S906">
        <v>3</v>
      </c>
      <c r="T906">
        <v>13</v>
      </c>
      <c r="U906">
        <v>86</v>
      </c>
      <c r="V906">
        <v>45</v>
      </c>
      <c r="W906">
        <v>11</v>
      </c>
      <c r="X906">
        <v>4.0909090909090908</v>
      </c>
      <c r="Y906">
        <v>3</v>
      </c>
      <c r="Z906">
        <v>8</v>
      </c>
      <c r="AA906">
        <v>0</v>
      </c>
      <c r="AB906">
        <v>0</v>
      </c>
      <c r="AC906">
        <v>2</v>
      </c>
      <c r="AD906">
        <v>2</v>
      </c>
      <c r="AE906">
        <v>11</v>
      </c>
      <c r="AF906">
        <v>2</v>
      </c>
      <c r="AG906">
        <v>42</v>
      </c>
      <c r="AH906">
        <v>1</v>
      </c>
      <c r="AI906">
        <v>5</v>
      </c>
      <c r="AJ906">
        <v>2</v>
      </c>
      <c r="AK906">
        <v>4</v>
      </c>
      <c r="AL906">
        <v>3</v>
      </c>
      <c r="AM906">
        <v>9</v>
      </c>
      <c r="AN906">
        <v>5</v>
      </c>
      <c r="AO906">
        <v>50</v>
      </c>
      <c r="AP906">
        <v>5</v>
      </c>
      <c r="AQ906">
        <v>19</v>
      </c>
      <c r="AR906">
        <v>9.3023255813953487E-2</v>
      </c>
      <c r="AS906">
        <v>0</v>
      </c>
      <c r="AT906">
        <v>0.12790697674418611</v>
      </c>
      <c r="AU906">
        <v>0.48837209302325579</v>
      </c>
      <c r="AV906">
        <v>5.8139534883720929E-2</v>
      </c>
      <c r="AW906">
        <v>0.10465116279069769</v>
      </c>
      <c r="AX906">
        <v>0.58139534883720934</v>
      </c>
      <c r="AY906">
        <v>0.22093023255813951</v>
      </c>
      <c r="AZ906">
        <v>0.47674418604651159</v>
      </c>
      <c r="BA906">
        <v>0.33333333333333331</v>
      </c>
      <c r="BB906">
        <v>0.51515151515151514</v>
      </c>
      <c r="BC906">
        <v>0.33333333333333331</v>
      </c>
      <c r="BD906">
        <v>0.92296511627906974</v>
      </c>
      <c r="BE906">
        <v>4</v>
      </c>
      <c r="BF906">
        <v>0.52619582452431291</v>
      </c>
      <c r="BG906">
        <v>0.54</v>
      </c>
      <c r="BH906" t="s">
        <v>71</v>
      </c>
      <c r="BI906">
        <v>0.53</v>
      </c>
      <c r="BJ906" t="s">
        <v>71</v>
      </c>
      <c r="BK906" s="2">
        <f t="shared" si="29"/>
        <v>1.0000000000000009E-2</v>
      </c>
      <c r="BL906" t="b">
        <f t="shared" si="30"/>
        <v>1</v>
      </c>
    </row>
    <row r="907" spans="1:64" x14ac:dyDescent="0.35">
      <c r="A907" t="s">
        <v>2424</v>
      </c>
      <c r="B907" t="s">
        <v>2421</v>
      </c>
      <c r="C907">
        <v>2018</v>
      </c>
      <c r="D907" t="s">
        <v>2422</v>
      </c>
      <c r="E907" t="s">
        <v>2423</v>
      </c>
      <c r="F907" t="s">
        <v>66</v>
      </c>
      <c r="G907" t="s">
        <v>101</v>
      </c>
      <c r="H907" t="s">
        <v>348</v>
      </c>
      <c r="I907" t="s">
        <v>2114</v>
      </c>
      <c r="J907" t="s">
        <v>70</v>
      </c>
      <c r="L907">
        <v>1</v>
      </c>
      <c r="M907" t="b">
        <v>0</v>
      </c>
      <c r="N907">
        <v>1</v>
      </c>
      <c r="O907">
        <v>2</v>
      </c>
      <c r="P907">
        <v>7</v>
      </c>
      <c r="Q907">
        <v>6</v>
      </c>
      <c r="R907">
        <v>1</v>
      </c>
      <c r="S907">
        <v>5</v>
      </c>
      <c r="T907">
        <v>37</v>
      </c>
      <c r="U907">
        <v>661</v>
      </c>
      <c r="V907">
        <v>124</v>
      </c>
      <c r="W907">
        <v>23</v>
      </c>
      <c r="X907">
        <v>5.3913043478260869</v>
      </c>
      <c r="Y907">
        <v>3</v>
      </c>
      <c r="Z907">
        <v>36</v>
      </c>
      <c r="AA907">
        <v>0</v>
      </c>
      <c r="AB907">
        <v>0</v>
      </c>
      <c r="AC907">
        <v>5</v>
      </c>
      <c r="AD907">
        <v>5</v>
      </c>
      <c r="AE907">
        <v>97</v>
      </c>
      <c r="AF907">
        <v>2</v>
      </c>
      <c r="AG907">
        <v>37</v>
      </c>
      <c r="AH907">
        <v>1</v>
      </c>
      <c r="AI907">
        <v>7</v>
      </c>
      <c r="AJ907">
        <v>2</v>
      </c>
      <c r="AK907">
        <v>11</v>
      </c>
      <c r="AL907">
        <v>3</v>
      </c>
      <c r="AM907">
        <v>18</v>
      </c>
      <c r="AN907">
        <v>5</v>
      </c>
      <c r="AO907">
        <v>73</v>
      </c>
      <c r="AP907">
        <v>8</v>
      </c>
      <c r="AQ907">
        <v>133</v>
      </c>
      <c r="AR907">
        <v>5.4462934947049922E-2</v>
      </c>
      <c r="AS907">
        <v>0</v>
      </c>
      <c r="AT907">
        <v>0.14674735249621779</v>
      </c>
      <c r="AU907">
        <v>5.5975794251134643E-2</v>
      </c>
      <c r="AV907">
        <v>1.059001512859304E-2</v>
      </c>
      <c r="AW907">
        <v>2.7231467473524961E-2</v>
      </c>
      <c r="AX907">
        <v>0.11043872919818459</v>
      </c>
      <c r="AY907">
        <v>0.2012102874432678</v>
      </c>
      <c r="AZ907">
        <v>8.3207261724659601E-2</v>
      </c>
      <c r="BA907">
        <v>0.66666666666666663</v>
      </c>
      <c r="BB907">
        <v>0.73188405797101452</v>
      </c>
      <c r="BC907">
        <v>0.53333333333333333</v>
      </c>
      <c r="BD907">
        <v>0.67700453857791221</v>
      </c>
      <c r="BE907">
        <v>4</v>
      </c>
      <c r="BF907">
        <v>0.65222214913723164</v>
      </c>
      <c r="BG907">
        <v>0.65</v>
      </c>
      <c r="BH907" t="s">
        <v>86</v>
      </c>
      <c r="BI907">
        <v>0.65</v>
      </c>
      <c r="BJ907" t="s">
        <v>86</v>
      </c>
      <c r="BK907" s="2">
        <f t="shared" si="29"/>
        <v>0</v>
      </c>
      <c r="BL907" t="b">
        <f t="shared" si="30"/>
        <v>1</v>
      </c>
    </row>
    <row r="908" spans="1:64" x14ac:dyDescent="0.35">
      <c r="A908" t="s">
        <v>2425</v>
      </c>
      <c r="B908" t="s">
        <v>2426</v>
      </c>
      <c r="C908">
        <v>2015</v>
      </c>
      <c r="D908" t="s">
        <v>2427</v>
      </c>
      <c r="E908" t="s">
        <v>2428</v>
      </c>
      <c r="F908" t="s">
        <v>66</v>
      </c>
      <c r="G908" t="s">
        <v>101</v>
      </c>
      <c r="H908" t="s">
        <v>170</v>
      </c>
      <c r="I908" t="s">
        <v>2429</v>
      </c>
      <c r="J908" t="s">
        <v>70</v>
      </c>
      <c r="L908">
        <v>1</v>
      </c>
      <c r="M908" t="b">
        <v>0</v>
      </c>
      <c r="N908">
        <v>1</v>
      </c>
      <c r="O908">
        <v>1</v>
      </c>
      <c r="P908">
        <v>8</v>
      </c>
      <c r="Q908">
        <v>3</v>
      </c>
      <c r="R908">
        <v>5</v>
      </c>
      <c r="S908">
        <v>5</v>
      </c>
      <c r="T908">
        <v>32</v>
      </c>
      <c r="U908">
        <v>530</v>
      </c>
      <c r="V908">
        <v>125</v>
      </c>
      <c r="W908">
        <v>22</v>
      </c>
      <c r="X908">
        <v>5.6818181818181817</v>
      </c>
      <c r="Y908">
        <v>4</v>
      </c>
      <c r="Z908">
        <v>60</v>
      </c>
      <c r="AA908">
        <v>0</v>
      </c>
      <c r="AB908">
        <v>0</v>
      </c>
      <c r="AC908">
        <v>3</v>
      </c>
      <c r="AD908">
        <v>3</v>
      </c>
      <c r="AE908">
        <v>38</v>
      </c>
      <c r="AF908">
        <v>1</v>
      </c>
      <c r="AG908">
        <v>18</v>
      </c>
      <c r="AH908">
        <v>0</v>
      </c>
      <c r="AI908">
        <v>0</v>
      </c>
      <c r="AJ908">
        <v>2</v>
      </c>
      <c r="AK908">
        <v>11</v>
      </c>
      <c r="AL908">
        <v>2</v>
      </c>
      <c r="AM908">
        <v>11</v>
      </c>
      <c r="AN908">
        <v>5</v>
      </c>
      <c r="AO908">
        <v>78</v>
      </c>
      <c r="AP908">
        <v>7</v>
      </c>
      <c r="AQ908">
        <v>98</v>
      </c>
      <c r="AR908">
        <v>0.1132075471698113</v>
      </c>
      <c r="AS908">
        <v>0</v>
      </c>
      <c r="AT908">
        <v>7.1698113207547168E-2</v>
      </c>
      <c r="AU908">
        <v>3.3962264150943403E-2</v>
      </c>
      <c r="AV908">
        <v>0</v>
      </c>
      <c r="AW908">
        <v>2.0754716981132071E-2</v>
      </c>
      <c r="AX908">
        <v>0.14716981132075471</v>
      </c>
      <c r="AY908">
        <v>0.18490566037735851</v>
      </c>
      <c r="AZ908">
        <v>0.12641509433962261</v>
      </c>
      <c r="BA908">
        <v>0.66666666666666663</v>
      </c>
      <c r="BB908">
        <v>0.78030303030303028</v>
      </c>
      <c r="BC908">
        <v>0.46666666666666667</v>
      </c>
      <c r="BD908">
        <v>0.70400943396226401</v>
      </c>
      <c r="BE908">
        <v>4</v>
      </c>
      <c r="BF908">
        <v>0.6544114493996569</v>
      </c>
      <c r="BG908">
        <v>0.65</v>
      </c>
      <c r="BH908" t="s">
        <v>86</v>
      </c>
      <c r="BI908">
        <v>0.65</v>
      </c>
      <c r="BJ908" t="s">
        <v>86</v>
      </c>
      <c r="BK908" s="2">
        <f t="shared" si="29"/>
        <v>0</v>
      </c>
      <c r="BL908" t="b">
        <f t="shared" si="30"/>
        <v>1</v>
      </c>
    </row>
    <row r="909" spans="1:64" x14ac:dyDescent="0.35">
      <c r="A909" t="s">
        <v>2430</v>
      </c>
      <c r="B909" t="s">
        <v>2426</v>
      </c>
      <c r="C909">
        <v>2018</v>
      </c>
      <c r="D909" t="s">
        <v>2427</v>
      </c>
      <c r="E909" t="s">
        <v>2428</v>
      </c>
      <c r="F909" t="s">
        <v>66</v>
      </c>
      <c r="G909" t="s">
        <v>101</v>
      </c>
      <c r="H909" t="s">
        <v>170</v>
      </c>
      <c r="I909" t="s">
        <v>2429</v>
      </c>
      <c r="J909" t="s">
        <v>70</v>
      </c>
      <c r="L909">
        <v>1</v>
      </c>
      <c r="M909" t="b">
        <v>0</v>
      </c>
      <c r="N909">
        <v>1</v>
      </c>
      <c r="O909">
        <v>2</v>
      </c>
      <c r="P909">
        <v>8</v>
      </c>
      <c r="Q909">
        <v>1</v>
      </c>
      <c r="R909">
        <v>7</v>
      </c>
      <c r="S909">
        <v>6</v>
      </c>
      <c r="T909">
        <v>23</v>
      </c>
      <c r="U909">
        <v>136</v>
      </c>
      <c r="V909">
        <v>113</v>
      </c>
      <c r="W909">
        <v>18</v>
      </c>
      <c r="X909">
        <v>6.2777777777777777</v>
      </c>
      <c r="Y909">
        <v>0</v>
      </c>
      <c r="Z909">
        <v>0</v>
      </c>
      <c r="AA909">
        <v>2</v>
      </c>
      <c r="AB909">
        <v>3</v>
      </c>
      <c r="AC909">
        <v>3</v>
      </c>
      <c r="AD909">
        <v>3</v>
      </c>
      <c r="AE909">
        <v>40</v>
      </c>
      <c r="AF909">
        <v>0</v>
      </c>
      <c r="AG909">
        <v>0</v>
      </c>
      <c r="AH909">
        <v>1</v>
      </c>
      <c r="AI909">
        <v>6</v>
      </c>
      <c r="AJ909">
        <v>1</v>
      </c>
      <c r="AK909">
        <v>1</v>
      </c>
      <c r="AL909">
        <v>2</v>
      </c>
      <c r="AM909">
        <v>7</v>
      </c>
      <c r="AN909">
        <v>2</v>
      </c>
      <c r="AO909">
        <v>3</v>
      </c>
      <c r="AP909">
        <v>5</v>
      </c>
      <c r="AQ909">
        <v>43</v>
      </c>
      <c r="AR909">
        <v>0</v>
      </c>
      <c r="AS909">
        <v>2.205882352941177E-2</v>
      </c>
      <c r="AT909">
        <v>0.29411764705882348</v>
      </c>
      <c r="AU909">
        <v>0</v>
      </c>
      <c r="AV909">
        <v>4.4117647058823532E-2</v>
      </c>
      <c r="AW909">
        <v>5.1470588235294122E-2</v>
      </c>
      <c r="AX909">
        <v>2.205882352941177E-2</v>
      </c>
      <c r="AY909">
        <v>0.31617647058823528</v>
      </c>
      <c r="AZ909">
        <v>-2.9411764705882349E-2</v>
      </c>
      <c r="BA909">
        <v>0.83333333333333337</v>
      </c>
      <c r="BB909">
        <v>0.87962962962962965</v>
      </c>
      <c r="BC909">
        <v>0.33333333333333331</v>
      </c>
      <c r="BD909">
        <v>0.60661764705882348</v>
      </c>
      <c r="BE909">
        <v>4</v>
      </c>
      <c r="BF909">
        <v>0.66322848583877991</v>
      </c>
      <c r="BG909">
        <v>0.66</v>
      </c>
      <c r="BH909" t="s">
        <v>86</v>
      </c>
      <c r="BI909">
        <v>0.66</v>
      </c>
      <c r="BJ909" t="s">
        <v>86</v>
      </c>
      <c r="BK909" s="2">
        <f t="shared" si="29"/>
        <v>0</v>
      </c>
      <c r="BL909" t="b">
        <f t="shared" si="30"/>
        <v>1</v>
      </c>
    </row>
    <row r="910" spans="1:64" x14ac:dyDescent="0.35">
      <c r="A910" t="s">
        <v>2431</v>
      </c>
      <c r="B910" t="s">
        <v>2426</v>
      </c>
      <c r="C910">
        <v>2021</v>
      </c>
      <c r="D910" t="s">
        <v>2427</v>
      </c>
      <c r="E910" t="s">
        <v>2428</v>
      </c>
      <c r="F910" t="s">
        <v>66</v>
      </c>
      <c r="G910" t="s">
        <v>101</v>
      </c>
      <c r="H910" t="s">
        <v>170</v>
      </c>
      <c r="I910" t="s">
        <v>2429</v>
      </c>
      <c r="J910" t="s">
        <v>70</v>
      </c>
      <c r="L910">
        <v>1</v>
      </c>
      <c r="M910" t="b">
        <v>0</v>
      </c>
      <c r="N910">
        <v>1</v>
      </c>
      <c r="O910">
        <v>1</v>
      </c>
      <c r="P910">
        <v>8</v>
      </c>
      <c r="Q910">
        <v>1</v>
      </c>
      <c r="R910">
        <v>7</v>
      </c>
      <c r="S910">
        <v>5</v>
      </c>
      <c r="T910">
        <v>22</v>
      </c>
      <c r="U910">
        <v>203</v>
      </c>
      <c r="V910">
        <v>108</v>
      </c>
      <c r="W910">
        <v>18</v>
      </c>
      <c r="X910">
        <v>6</v>
      </c>
      <c r="Y910">
        <v>5</v>
      </c>
      <c r="Z910">
        <v>37</v>
      </c>
      <c r="AA910">
        <v>1</v>
      </c>
      <c r="AB910">
        <v>1</v>
      </c>
      <c r="AC910">
        <v>3</v>
      </c>
      <c r="AD910">
        <v>3</v>
      </c>
      <c r="AE910">
        <v>37</v>
      </c>
      <c r="AF910">
        <v>0</v>
      </c>
      <c r="AG910">
        <v>0</v>
      </c>
      <c r="AH910">
        <v>1</v>
      </c>
      <c r="AI910">
        <v>45</v>
      </c>
      <c r="AJ910">
        <v>0</v>
      </c>
      <c r="AK910">
        <v>0</v>
      </c>
      <c r="AL910">
        <v>1</v>
      </c>
      <c r="AM910">
        <v>45</v>
      </c>
      <c r="AN910">
        <v>6</v>
      </c>
      <c r="AO910">
        <v>38</v>
      </c>
      <c r="AP910">
        <v>9</v>
      </c>
      <c r="AQ910">
        <v>75</v>
      </c>
      <c r="AR910">
        <v>0.18226600985221669</v>
      </c>
      <c r="AS910">
        <v>4.9261083743842374E-3</v>
      </c>
      <c r="AT910">
        <v>0.18226600985221669</v>
      </c>
      <c r="AU910">
        <v>0</v>
      </c>
      <c r="AV910">
        <v>0.22167487684729059</v>
      </c>
      <c r="AW910">
        <v>0.22167487684729059</v>
      </c>
      <c r="AX910">
        <v>0.18719211822660101</v>
      </c>
      <c r="AY910">
        <v>0.36945812807881773</v>
      </c>
      <c r="AZ910">
        <v>-3.4482758620689669E-2</v>
      </c>
      <c r="BA910">
        <v>0.66666666666666663</v>
      </c>
      <c r="BB910">
        <v>0.83333333333333337</v>
      </c>
      <c r="BC910">
        <v>0.6</v>
      </c>
      <c r="BD910">
        <v>0.60344827586206884</v>
      </c>
      <c r="BE910">
        <v>4</v>
      </c>
      <c r="BF910">
        <v>0.67586206896551726</v>
      </c>
      <c r="BG910">
        <v>0.71</v>
      </c>
      <c r="BH910" t="s">
        <v>86</v>
      </c>
      <c r="BI910">
        <v>0.68</v>
      </c>
      <c r="BJ910" t="s">
        <v>86</v>
      </c>
      <c r="BK910" s="2">
        <f t="shared" si="29"/>
        <v>2.9999999999999916E-2</v>
      </c>
      <c r="BL910" t="b">
        <f t="shared" si="30"/>
        <v>1</v>
      </c>
    </row>
    <row r="911" spans="1:64" x14ac:dyDescent="0.35">
      <c r="A911" t="s">
        <v>2432</v>
      </c>
      <c r="B911" t="s">
        <v>2433</v>
      </c>
      <c r="C911">
        <v>2015</v>
      </c>
      <c r="D911" t="s">
        <v>2434</v>
      </c>
      <c r="E911" t="s">
        <v>2435</v>
      </c>
      <c r="F911" t="s">
        <v>66</v>
      </c>
      <c r="G911" t="s">
        <v>101</v>
      </c>
      <c r="H911" t="s">
        <v>170</v>
      </c>
      <c r="I911" t="s">
        <v>1654</v>
      </c>
      <c r="J911" t="s">
        <v>70</v>
      </c>
      <c r="L911">
        <v>1</v>
      </c>
      <c r="M911" t="b">
        <v>0</v>
      </c>
      <c r="N911">
        <v>1</v>
      </c>
      <c r="O911">
        <v>3</v>
      </c>
      <c r="P911">
        <v>11</v>
      </c>
      <c r="Q911">
        <v>3</v>
      </c>
      <c r="R911">
        <v>8</v>
      </c>
      <c r="S911">
        <v>6</v>
      </c>
      <c r="T911">
        <v>41</v>
      </c>
      <c r="U911">
        <v>822</v>
      </c>
      <c r="V911">
        <v>164</v>
      </c>
      <c r="W911">
        <v>27</v>
      </c>
      <c r="X911">
        <v>6.0740740740740744</v>
      </c>
      <c r="Y911">
        <v>3</v>
      </c>
      <c r="Z911">
        <v>42</v>
      </c>
      <c r="AA911">
        <v>2</v>
      </c>
      <c r="AB911">
        <v>5</v>
      </c>
      <c r="AC911">
        <v>2</v>
      </c>
      <c r="AD911">
        <v>2</v>
      </c>
      <c r="AE911">
        <v>48</v>
      </c>
      <c r="AF911">
        <v>1</v>
      </c>
      <c r="AG911">
        <v>8</v>
      </c>
      <c r="AH911">
        <v>0</v>
      </c>
      <c r="AI911">
        <v>0</v>
      </c>
      <c r="AJ911">
        <v>2</v>
      </c>
      <c r="AK911">
        <v>7</v>
      </c>
      <c r="AL911">
        <v>2</v>
      </c>
      <c r="AM911">
        <v>7</v>
      </c>
      <c r="AN911">
        <v>6</v>
      </c>
      <c r="AO911">
        <v>55</v>
      </c>
      <c r="AP911">
        <v>7</v>
      </c>
      <c r="AQ911">
        <v>95</v>
      </c>
      <c r="AR911">
        <v>5.1094890510948912E-2</v>
      </c>
      <c r="AS911">
        <v>6.082725060827251E-3</v>
      </c>
      <c r="AT911">
        <v>5.8394160583941597E-2</v>
      </c>
      <c r="AU911">
        <v>9.7323600973236012E-3</v>
      </c>
      <c r="AV911">
        <v>0</v>
      </c>
      <c r="AW911">
        <v>8.5158150851581509E-3</v>
      </c>
      <c r="AX911">
        <v>6.6909975669099758E-2</v>
      </c>
      <c r="AY911">
        <v>0.1155717761557178</v>
      </c>
      <c r="AZ911">
        <v>5.8394160583941597E-2</v>
      </c>
      <c r="BA911">
        <v>0.83333333333333337</v>
      </c>
      <c r="BB911">
        <v>0.8456790123456791</v>
      </c>
      <c r="BC911">
        <v>0.46666666666666667</v>
      </c>
      <c r="BD911">
        <v>0.66149635036496346</v>
      </c>
      <c r="BE911">
        <v>4</v>
      </c>
      <c r="BF911">
        <v>0.70179384067766071</v>
      </c>
      <c r="BG911">
        <v>0.72</v>
      </c>
      <c r="BH911" t="s">
        <v>86</v>
      </c>
      <c r="BI911">
        <v>0.7</v>
      </c>
      <c r="BJ911" t="s">
        <v>86</v>
      </c>
      <c r="BK911" s="2">
        <f t="shared" si="29"/>
        <v>2.0000000000000018E-2</v>
      </c>
      <c r="BL911" t="b">
        <f t="shared" si="30"/>
        <v>1</v>
      </c>
    </row>
    <row r="912" spans="1:64" x14ac:dyDescent="0.35">
      <c r="A912" t="s">
        <v>2436</v>
      </c>
      <c r="B912" t="s">
        <v>2433</v>
      </c>
      <c r="C912">
        <v>2021</v>
      </c>
      <c r="D912" t="s">
        <v>2434</v>
      </c>
      <c r="E912" t="s">
        <v>2435</v>
      </c>
      <c r="F912" t="s">
        <v>66</v>
      </c>
      <c r="G912" t="s">
        <v>101</v>
      </c>
      <c r="H912" t="s">
        <v>170</v>
      </c>
      <c r="I912" t="s">
        <v>1654</v>
      </c>
      <c r="J912" t="s">
        <v>70</v>
      </c>
      <c r="L912">
        <v>1</v>
      </c>
      <c r="M912" t="b">
        <v>0</v>
      </c>
      <c r="N912">
        <v>4</v>
      </c>
      <c r="O912">
        <v>1</v>
      </c>
      <c r="P912">
        <v>1</v>
      </c>
      <c r="Q912">
        <v>4</v>
      </c>
      <c r="R912">
        <v>-3</v>
      </c>
      <c r="S912">
        <v>2</v>
      </c>
      <c r="T912">
        <v>18</v>
      </c>
      <c r="U912">
        <v>309</v>
      </c>
      <c r="V912">
        <v>38</v>
      </c>
      <c r="W912">
        <v>12</v>
      </c>
      <c r="X912">
        <v>3.166666666666667</v>
      </c>
      <c r="Y912">
        <v>2</v>
      </c>
      <c r="Z912">
        <v>6</v>
      </c>
      <c r="AA912">
        <v>0</v>
      </c>
      <c r="AB912">
        <v>0</v>
      </c>
      <c r="AC912">
        <v>2</v>
      </c>
      <c r="AD912">
        <v>2</v>
      </c>
      <c r="AE912">
        <v>22</v>
      </c>
      <c r="AF912">
        <v>0</v>
      </c>
      <c r="AG912">
        <v>0</v>
      </c>
      <c r="AH912">
        <v>1</v>
      </c>
      <c r="AI912">
        <v>10</v>
      </c>
      <c r="AJ912">
        <v>1</v>
      </c>
      <c r="AK912">
        <v>3</v>
      </c>
      <c r="AL912">
        <v>2</v>
      </c>
      <c r="AM912">
        <v>13</v>
      </c>
      <c r="AN912">
        <v>2</v>
      </c>
      <c r="AO912">
        <v>6</v>
      </c>
      <c r="AP912">
        <v>4</v>
      </c>
      <c r="AQ912">
        <v>28</v>
      </c>
      <c r="AR912">
        <v>1.9417475728155342E-2</v>
      </c>
      <c r="AS912">
        <v>0</v>
      </c>
      <c r="AT912">
        <v>7.1197411003236247E-2</v>
      </c>
      <c r="AU912">
        <v>0</v>
      </c>
      <c r="AV912">
        <v>3.2362459546925557E-2</v>
      </c>
      <c r="AW912">
        <v>4.2071197411003243E-2</v>
      </c>
      <c r="AX912">
        <v>1.9417475728155342E-2</v>
      </c>
      <c r="AY912">
        <v>9.0614886731391592E-2</v>
      </c>
      <c r="AZ912">
        <v>-2.2653721682847901E-2</v>
      </c>
      <c r="BA912">
        <v>0.16666666666666671</v>
      </c>
      <c r="BB912">
        <v>0.36111111111111122</v>
      </c>
      <c r="BC912">
        <v>0.26666666666666672</v>
      </c>
      <c r="BD912">
        <v>0.61084142394822005</v>
      </c>
      <c r="BE912">
        <v>4</v>
      </c>
      <c r="BF912">
        <v>0.35132146709816608</v>
      </c>
      <c r="BG912">
        <v>0.36</v>
      </c>
      <c r="BH912" t="s">
        <v>104</v>
      </c>
      <c r="BI912">
        <v>0.35</v>
      </c>
      <c r="BJ912" t="s">
        <v>104</v>
      </c>
      <c r="BK912" s="2">
        <f t="shared" si="29"/>
        <v>1.0000000000000009E-2</v>
      </c>
      <c r="BL912" t="b">
        <f t="shared" si="30"/>
        <v>1</v>
      </c>
    </row>
    <row r="913" spans="1:64" x14ac:dyDescent="0.35">
      <c r="A913" t="s">
        <v>2437</v>
      </c>
      <c r="B913" t="s">
        <v>2438</v>
      </c>
      <c r="C913">
        <v>2016</v>
      </c>
      <c r="D913" t="s">
        <v>2439</v>
      </c>
      <c r="E913" t="s">
        <v>2440</v>
      </c>
      <c r="F913" t="s">
        <v>66</v>
      </c>
      <c r="G913" t="s">
        <v>101</v>
      </c>
      <c r="H913" t="s">
        <v>195</v>
      </c>
      <c r="I913" t="s">
        <v>2441</v>
      </c>
      <c r="J913" t="s">
        <v>70</v>
      </c>
      <c r="L913">
        <v>1</v>
      </c>
      <c r="M913" t="b">
        <v>0</v>
      </c>
      <c r="N913">
        <v>1</v>
      </c>
      <c r="O913">
        <v>3</v>
      </c>
      <c r="P913">
        <v>10</v>
      </c>
      <c r="Q913">
        <v>1</v>
      </c>
      <c r="R913">
        <v>9</v>
      </c>
      <c r="S913">
        <v>6</v>
      </c>
      <c r="T913">
        <v>27</v>
      </c>
      <c r="U913">
        <v>858</v>
      </c>
      <c r="V913">
        <v>122</v>
      </c>
      <c r="W913">
        <v>20</v>
      </c>
      <c r="X913">
        <v>6.1</v>
      </c>
      <c r="Y913">
        <v>5</v>
      </c>
      <c r="Z913">
        <v>174</v>
      </c>
      <c r="AA913">
        <v>1</v>
      </c>
      <c r="AB913">
        <v>4</v>
      </c>
      <c r="AC913">
        <v>6</v>
      </c>
      <c r="AD913">
        <v>6</v>
      </c>
      <c r="AE913">
        <v>280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28</v>
      </c>
      <c r="AL913">
        <v>1</v>
      </c>
      <c r="AM913">
        <v>28</v>
      </c>
      <c r="AN913">
        <v>6</v>
      </c>
      <c r="AO913">
        <v>178</v>
      </c>
      <c r="AP913">
        <v>12</v>
      </c>
      <c r="AQ913">
        <v>458</v>
      </c>
      <c r="AR913">
        <v>0.20279720279720281</v>
      </c>
      <c r="AS913">
        <v>4.662004662004662E-3</v>
      </c>
      <c r="AT913">
        <v>0.32634032634032628</v>
      </c>
      <c r="AU913">
        <v>0</v>
      </c>
      <c r="AV913">
        <v>0</v>
      </c>
      <c r="AW913">
        <v>3.2634032634032632E-2</v>
      </c>
      <c r="AX913">
        <v>0.20745920745920751</v>
      </c>
      <c r="AY913">
        <v>0.53379953379953382</v>
      </c>
      <c r="AZ913">
        <v>0.17482517482517479</v>
      </c>
      <c r="BA913">
        <v>0.83333333333333337</v>
      </c>
      <c r="BB913">
        <v>0.85</v>
      </c>
      <c r="BC913">
        <v>0.8</v>
      </c>
      <c r="BD913">
        <v>0.73426573426573416</v>
      </c>
      <c r="BE913">
        <v>4</v>
      </c>
      <c r="BF913">
        <v>0.80439976689976689</v>
      </c>
      <c r="BG913">
        <v>0.82</v>
      </c>
      <c r="BH913" t="s">
        <v>164</v>
      </c>
      <c r="BI913">
        <v>0.8</v>
      </c>
      <c r="BJ913" t="s">
        <v>164</v>
      </c>
      <c r="BK913" s="2">
        <f t="shared" si="29"/>
        <v>1.9999999999999907E-2</v>
      </c>
      <c r="BL913" t="b">
        <f t="shared" si="30"/>
        <v>1</v>
      </c>
    </row>
    <row r="914" spans="1:64" x14ac:dyDescent="0.35">
      <c r="A914" t="s">
        <v>2442</v>
      </c>
      <c r="B914" t="s">
        <v>2438</v>
      </c>
      <c r="C914">
        <v>2020</v>
      </c>
      <c r="D914" t="s">
        <v>2439</v>
      </c>
      <c r="E914" t="s">
        <v>2440</v>
      </c>
      <c r="F914" t="s">
        <v>66</v>
      </c>
      <c r="G914" t="s">
        <v>101</v>
      </c>
      <c r="H914" t="s">
        <v>195</v>
      </c>
      <c r="I914" t="s">
        <v>2441</v>
      </c>
      <c r="J914" t="s">
        <v>70</v>
      </c>
      <c r="L914">
        <v>1</v>
      </c>
      <c r="M914" t="b">
        <v>0</v>
      </c>
      <c r="N914">
        <v>1</v>
      </c>
      <c r="O914">
        <v>1</v>
      </c>
      <c r="P914">
        <v>5</v>
      </c>
      <c r="Q914">
        <v>4</v>
      </c>
      <c r="R914">
        <v>1</v>
      </c>
      <c r="S914">
        <v>4</v>
      </c>
      <c r="T914">
        <v>22</v>
      </c>
      <c r="U914">
        <v>540</v>
      </c>
      <c r="V914">
        <v>88</v>
      </c>
      <c r="W914">
        <v>17</v>
      </c>
      <c r="X914">
        <v>5.1764705882352944</v>
      </c>
      <c r="Y914">
        <v>4</v>
      </c>
      <c r="Z914">
        <v>226</v>
      </c>
      <c r="AA914">
        <v>0</v>
      </c>
      <c r="AB914">
        <v>0</v>
      </c>
      <c r="AC914">
        <v>1</v>
      </c>
      <c r="AD914">
        <v>1</v>
      </c>
      <c r="AE914">
        <v>13</v>
      </c>
      <c r="AF914">
        <v>1</v>
      </c>
      <c r="AG914">
        <v>1</v>
      </c>
      <c r="AH914">
        <v>1</v>
      </c>
      <c r="AI914">
        <v>22</v>
      </c>
      <c r="AJ914">
        <v>2</v>
      </c>
      <c r="AK914">
        <v>46</v>
      </c>
      <c r="AL914">
        <v>3</v>
      </c>
      <c r="AM914">
        <v>68</v>
      </c>
      <c r="AN914">
        <v>5</v>
      </c>
      <c r="AO914">
        <v>227</v>
      </c>
      <c r="AP914">
        <v>5</v>
      </c>
      <c r="AQ914">
        <v>239</v>
      </c>
      <c r="AR914">
        <v>0.41851851851851851</v>
      </c>
      <c r="AS914">
        <v>0</v>
      </c>
      <c r="AT914">
        <v>2.4074074074074071E-2</v>
      </c>
      <c r="AU914">
        <v>1.8518518518518519E-3</v>
      </c>
      <c r="AV914">
        <v>4.0740740740740737E-2</v>
      </c>
      <c r="AW914">
        <v>0.12592592592592591</v>
      </c>
      <c r="AX914">
        <v>0.42037037037037039</v>
      </c>
      <c r="AY914">
        <v>0.44259259259259259</v>
      </c>
      <c r="AZ914">
        <v>0.29444444444444451</v>
      </c>
      <c r="BA914">
        <v>0.5</v>
      </c>
      <c r="BB914">
        <v>0.6960784313725491</v>
      </c>
      <c r="BC914">
        <v>0.33333333333333331</v>
      </c>
      <c r="BD914">
        <v>0.80902777777777779</v>
      </c>
      <c r="BE914">
        <v>4</v>
      </c>
      <c r="BF914">
        <v>0.58460988562091509</v>
      </c>
      <c r="BG914">
        <v>0.59</v>
      </c>
      <c r="BH914" t="s">
        <v>71</v>
      </c>
      <c r="BI914">
        <v>0.57999999999999996</v>
      </c>
      <c r="BJ914" t="s">
        <v>71</v>
      </c>
      <c r="BK914" s="2">
        <f t="shared" si="29"/>
        <v>1.0000000000000009E-2</v>
      </c>
      <c r="BL914" t="b">
        <f t="shared" si="30"/>
        <v>1</v>
      </c>
    </row>
    <row r="915" spans="1:64" x14ac:dyDescent="0.35">
      <c r="A915" t="s">
        <v>2443</v>
      </c>
      <c r="B915" t="s">
        <v>2444</v>
      </c>
      <c r="C915">
        <v>2014</v>
      </c>
      <c r="D915" t="s">
        <v>2445</v>
      </c>
      <c r="E915" t="s">
        <v>2446</v>
      </c>
      <c r="F915" t="s">
        <v>66</v>
      </c>
      <c r="G915" t="s">
        <v>67</v>
      </c>
      <c r="H915" t="s">
        <v>84</v>
      </c>
      <c r="I915" t="s">
        <v>1001</v>
      </c>
      <c r="J915" t="s">
        <v>70</v>
      </c>
      <c r="L915">
        <v>3</v>
      </c>
      <c r="M915" t="b">
        <v>0</v>
      </c>
      <c r="N915">
        <v>1</v>
      </c>
      <c r="O915">
        <v>1</v>
      </c>
      <c r="P915">
        <v>4</v>
      </c>
      <c r="Q915">
        <v>1</v>
      </c>
      <c r="R915">
        <v>3</v>
      </c>
      <c r="S915">
        <v>4</v>
      </c>
      <c r="T915">
        <v>13</v>
      </c>
      <c r="U915">
        <v>62</v>
      </c>
      <c r="V915">
        <v>68</v>
      </c>
      <c r="W915">
        <v>13</v>
      </c>
      <c r="X915">
        <v>5.2307692307692308</v>
      </c>
      <c r="Y915">
        <v>1</v>
      </c>
      <c r="Z915">
        <v>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</v>
      </c>
      <c r="AG915">
        <v>5</v>
      </c>
      <c r="AH915">
        <v>1</v>
      </c>
      <c r="AI915">
        <v>4</v>
      </c>
      <c r="AJ915">
        <v>0</v>
      </c>
      <c r="AK915">
        <v>0</v>
      </c>
      <c r="AL915">
        <v>1</v>
      </c>
      <c r="AM915">
        <v>4</v>
      </c>
      <c r="AN915">
        <v>3</v>
      </c>
      <c r="AO915">
        <v>8</v>
      </c>
      <c r="AP915">
        <v>1</v>
      </c>
      <c r="AQ915">
        <v>3</v>
      </c>
      <c r="AR915">
        <v>4.8387096774193547E-2</v>
      </c>
      <c r="AS915">
        <v>0</v>
      </c>
      <c r="AT915">
        <v>0</v>
      </c>
      <c r="AU915">
        <v>8.0645161290322578E-2</v>
      </c>
      <c r="AV915">
        <v>6.4516129032258063E-2</v>
      </c>
      <c r="AW915">
        <v>6.4516129032258063E-2</v>
      </c>
      <c r="AX915">
        <v>0.1290322580645161</v>
      </c>
      <c r="AY915">
        <v>4.8387096774193547E-2</v>
      </c>
      <c r="AZ915">
        <v>6.4516129032258063E-2</v>
      </c>
      <c r="BA915">
        <v>0.5</v>
      </c>
      <c r="BB915">
        <v>0.70512820512820518</v>
      </c>
      <c r="BC915">
        <v>6.6666666666666666E-2</v>
      </c>
      <c r="BD915">
        <v>0.66532258064516125</v>
      </c>
      <c r="BE915">
        <v>4</v>
      </c>
      <c r="BF915">
        <v>0.4842793631100083</v>
      </c>
      <c r="BG915">
        <v>0.48</v>
      </c>
      <c r="BH915" t="s">
        <v>71</v>
      </c>
      <c r="BI915">
        <v>0.48</v>
      </c>
      <c r="BJ915" t="s">
        <v>71</v>
      </c>
      <c r="BK915" s="2">
        <f t="shared" si="29"/>
        <v>0</v>
      </c>
      <c r="BL915" t="b">
        <f t="shared" si="30"/>
        <v>1</v>
      </c>
    </row>
    <row r="916" spans="1:64" x14ac:dyDescent="0.35">
      <c r="A916" t="s">
        <v>2447</v>
      </c>
      <c r="B916" t="s">
        <v>2444</v>
      </c>
      <c r="C916">
        <v>2015</v>
      </c>
      <c r="D916" t="s">
        <v>2445</v>
      </c>
      <c r="E916" t="s">
        <v>2446</v>
      </c>
      <c r="F916" t="s">
        <v>66</v>
      </c>
      <c r="G916" t="s">
        <v>67</v>
      </c>
      <c r="H916" t="s">
        <v>84</v>
      </c>
      <c r="I916" t="s">
        <v>1001</v>
      </c>
      <c r="J916" t="s">
        <v>70</v>
      </c>
      <c r="L916">
        <v>3</v>
      </c>
      <c r="M916" t="b">
        <v>0</v>
      </c>
      <c r="N916">
        <v>1</v>
      </c>
      <c r="O916">
        <v>1</v>
      </c>
      <c r="P916">
        <v>6</v>
      </c>
      <c r="Q916">
        <v>3</v>
      </c>
      <c r="R916">
        <v>3</v>
      </c>
      <c r="S916">
        <v>4</v>
      </c>
      <c r="T916">
        <v>25</v>
      </c>
      <c r="U916">
        <v>65</v>
      </c>
      <c r="V916">
        <v>115</v>
      </c>
      <c r="W916">
        <v>22</v>
      </c>
      <c r="X916">
        <v>5.2272727272727284</v>
      </c>
      <c r="Y916">
        <v>3</v>
      </c>
      <c r="Z916">
        <v>16</v>
      </c>
      <c r="AA916">
        <v>0</v>
      </c>
      <c r="AB916">
        <v>0</v>
      </c>
      <c r="AC916">
        <v>2</v>
      </c>
      <c r="AD916">
        <v>2</v>
      </c>
      <c r="AE916">
        <v>3</v>
      </c>
      <c r="AF916">
        <v>5</v>
      </c>
      <c r="AG916">
        <v>19</v>
      </c>
      <c r="AH916">
        <v>1</v>
      </c>
      <c r="AI916">
        <v>1</v>
      </c>
      <c r="AJ916">
        <v>3</v>
      </c>
      <c r="AK916">
        <v>4</v>
      </c>
      <c r="AL916">
        <v>4</v>
      </c>
      <c r="AM916">
        <v>5</v>
      </c>
      <c r="AN916">
        <v>8</v>
      </c>
      <c r="AO916">
        <v>35</v>
      </c>
      <c r="AP916">
        <v>5</v>
      </c>
      <c r="AQ916">
        <v>19</v>
      </c>
      <c r="AR916">
        <v>0.2461538461538462</v>
      </c>
      <c r="AS916">
        <v>0</v>
      </c>
      <c r="AT916">
        <v>4.6153846153846163E-2</v>
      </c>
      <c r="AU916">
        <v>0.29230769230769232</v>
      </c>
      <c r="AV916">
        <v>1.5384615384615391E-2</v>
      </c>
      <c r="AW916">
        <v>7.6923076923076927E-2</v>
      </c>
      <c r="AX916">
        <v>0.53846153846153844</v>
      </c>
      <c r="AY916">
        <v>0.29230769230769232</v>
      </c>
      <c r="AZ916">
        <v>0.46153846153846151</v>
      </c>
      <c r="BA916">
        <v>0.5</v>
      </c>
      <c r="BB916">
        <v>0.7045454545454547</v>
      </c>
      <c r="BC916">
        <v>0.33333333333333331</v>
      </c>
      <c r="BD916">
        <v>0.91346153846153832</v>
      </c>
      <c r="BE916">
        <v>4</v>
      </c>
      <c r="BF916">
        <v>0.6128350815850816</v>
      </c>
      <c r="BG916">
        <v>0.63</v>
      </c>
      <c r="BH916" t="s">
        <v>86</v>
      </c>
      <c r="BI916">
        <v>0.61</v>
      </c>
      <c r="BJ916" t="s">
        <v>86</v>
      </c>
      <c r="BK916" s="2">
        <f t="shared" si="29"/>
        <v>2.0000000000000018E-2</v>
      </c>
      <c r="BL916" t="b">
        <f t="shared" si="30"/>
        <v>1</v>
      </c>
    </row>
    <row r="917" spans="1:64" x14ac:dyDescent="0.35">
      <c r="A917" t="s">
        <v>2448</v>
      </c>
      <c r="B917" t="s">
        <v>2444</v>
      </c>
      <c r="C917">
        <v>2016</v>
      </c>
      <c r="D917" t="s">
        <v>2445</v>
      </c>
      <c r="E917" t="s">
        <v>2446</v>
      </c>
      <c r="F917" t="s">
        <v>66</v>
      </c>
      <c r="G917" t="s">
        <v>67</v>
      </c>
      <c r="H917" t="s">
        <v>84</v>
      </c>
      <c r="I917" t="s">
        <v>1001</v>
      </c>
      <c r="J917" t="s">
        <v>70</v>
      </c>
      <c r="L917">
        <v>3</v>
      </c>
      <c r="M917" t="b">
        <v>0</v>
      </c>
      <c r="N917">
        <v>1</v>
      </c>
      <c r="O917">
        <v>1</v>
      </c>
      <c r="P917">
        <v>7</v>
      </c>
      <c r="Q917">
        <v>2</v>
      </c>
      <c r="R917">
        <v>5</v>
      </c>
      <c r="S917">
        <v>5</v>
      </c>
      <c r="T917">
        <v>25</v>
      </c>
      <c r="U917">
        <v>164</v>
      </c>
      <c r="V917">
        <v>110</v>
      </c>
      <c r="W917">
        <v>20</v>
      </c>
      <c r="X917">
        <v>5.5</v>
      </c>
      <c r="Y917">
        <v>4</v>
      </c>
      <c r="Z917">
        <v>4</v>
      </c>
      <c r="AA917">
        <v>1</v>
      </c>
      <c r="AB917">
        <v>1</v>
      </c>
      <c r="AC917">
        <v>2</v>
      </c>
      <c r="AD917">
        <v>2</v>
      </c>
      <c r="AE917">
        <v>41</v>
      </c>
      <c r="AF917">
        <v>1</v>
      </c>
      <c r="AG917">
        <v>8</v>
      </c>
      <c r="AH917">
        <v>0</v>
      </c>
      <c r="AI917">
        <v>0</v>
      </c>
      <c r="AJ917">
        <v>2</v>
      </c>
      <c r="AK917">
        <v>2</v>
      </c>
      <c r="AL917">
        <v>2</v>
      </c>
      <c r="AM917">
        <v>2</v>
      </c>
      <c r="AN917">
        <v>6</v>
      </c>
      <c r="AO917">
        <v>13</v>
      </c>
      <c r="AP917">
        <v>7</v>
      </c>
      <c r="AQ917">
        <v>46</v>
      </c>
      <c r="AR917">
        <v>2.4390243902439029E-2</v>
      </c>
      <c r="AS917">
        <v>6.0975609756097563E-3</v>
      </c>
      <c r="AT917">
        <v>0.25</v>
      </c>
      <c r="AU917">
        <v>4.878048780487805E-2</v>
      </c>
      <c r="AV917">
        <v>0</v>
      </c>
      <c r="AW917">
        <v>1.2195121951219509E-2</v>
      </c>
      <c r="AX917">
        <v>7.926829268292683E-2</v>
      </c>
      <c r="AY917">
        <v>0.28048780487804881</v>
      </c>
      <c r="AZ917">
        <v>6.7073170731707321E-2</v>
      </c>
      <c r="BA917">
        <v>0.66666666666666663</v>
      </c>
      <c r="BB917">
        <v>0.75</v>
      </c>
      <c r="BC917">
        <v>0.46666666666666667</v>
      </c>
      <c r="BD917">
        <v>0.66692073170731703</v>
      </c>
      <c r="BE917">
        <v>4</v>
      </c>
      <c r="BF917">
        <v>0.63756351626016261</v>
      </c>
      <c r="BG917">
        <v>0.64</v>
      </c>
      <c r="BH917" t="s">
        <v>86</v>
      </c>
      <c r="BI917">
        <v>0.64</v>
      </c>
      <c r="BJ917" t="s">
        <v>86</v>
      </c>
      <c r="BK917" s="2">
        <f t="shared" si="29"/>
        <v>0</v>
      </c>
      <c r="BL917" t="b">
        <f t="shared" si="30"/>
        <v>1</v>
      </c>
    </row>
    <row r="918" spans="1:64" x14ac:dyDescent="0.35">
      <c r="A918" t="s">
        <v>2449</v>
      </c>
      <c r="B918" t="s">
        <v>2444</v>
      </c>
      <c r="C918">
        <v>2017</v>
      </c>
      <c r="D918" t="s">
        <v>2445</v>
      </c>
      <c r="E918" t="s">
        <v>2446</v>
      </c>
      <c r="F918" t="s">
        <v>66</v>
      </c>
      <c r="G918" t="s">
        <v>67</v>
      </c>
      <c r="H918" t="s">
        <v>84</v>
      </c>
      <c r="I918" t="s">
        <v>1001</v>
      </c>
      <c r="J918" t="s">
        <v>70</v>
      </c>
      <c r="L918">
        <v>3</v>
      </c>
      <c r="M918" t="b">
        <v>0</v>
      </c>
      <c r="N918">
        <v>2</v>
      </c>
      <c r="O918">
        <v>2</v>
      </c>
      <c r="P918">
        <v>6</v>
      </c>
      <c r="Q918">
        <v>0</v>
      </c>
      <c r="R918">
        <v>6</v>
      </c>
      <c r="S918">
        <v>5</v>
      </c>
      <c r="T918">
        <v>20</v>
      </c>
      <c r="U918">
        <v>168</v>
      </c>
      <c r="V918">
        <v>80</v>
      </c>
      <c r="W918">
        <v>14</v>
      </c>
      <c r="X918">
        <v>5.7142857142857144</v>
      </c>
      <c r="Y918">
        <v>2</v>
      </c>
      <c r="Z918">
        <v>21</v>
      </c>
      <c r="AA918">
        <v>0</v>
      </c>
      <c r="AB918">
        <v>0</v>
      </c>
      <c r="AC918">
        <v>2</v>
      </c>
      <c r="AD918">
        <v>2</v>
      </c>
      <c r="AE918">
        <v>12</v>
      </c>
      <c r="AF918">
        <v>2</v>
      </c>
      <c r="AG918">
        <v>9</v>
      </c>
      <c r="AH918">
        <v>1</v>
      </c>
      <c r="AI918">
        <v>10</v>
      </c>
      <c r="AJ918">
        <v>0</v>
      </c>
      <c r="AK918">
        <v>0</v>
      </c>
      <c r="AL918">
        <v>1</v>
      </c>
      <c r="AM918">
        <v>10</v>
      </c>
      <c r="AN918">
        <v>4</v>
      </c>
      <c r="AO918">
        <v>30</v>
      </c>
      <c r="AP918">
        <v>4</v>
      </c>
      <c r="AQ918">
        <v>33</v>
      </c>
      <c r="AR918">
        <v>0.125</v>
      </c>
      <c r="AS918">
        <v>0</v>
      </c>
      <c r="AT918">
        <v>7.1428571428571425E-2</v>
      </c>
      <c r="AU918">
        <v>5.3571428571428568E-2</v>
      </c>
      <c r="AV918">
        <v>5.9523809523809521E-2</v>
      </c>
      <c r="AW918">
        <v>5.9523809523809521E-2</v>
      </c>
      <c r="AX918">
        <v>0.1785714285714286</v>
      </c>
      <c r="AY918">
        <v>0.1964285714285714</v>
      </c>
      <c r="AZ918">
        <v>0.1190476190476191</v>
      </c>
      <c r="BA918">
        <v>0.66666666666666663</v>
      </c>
      <c r="BB918">
        <v>0.7857142857142857</v>
      </c>
      <c r="BC918">
        <v>0.26666666666666672</v>
      </c>
      <c r="BD918">
        <v>0.69940476190476186</v>
      </c>
      <c r="BE918">
        <v>4</v>
      </c>
      <c r="BF918">
        <v>0.60461309523809526</v>
      </c>
      <c r="BG918">
        <v>0.63</v>
      </c>
      <c r="BH918" t="s">
        <v>86</v>
      </c>
      <c r="BI918">
        <v>0.6</v>
      </c>
      <c r="BJ918" t="s">
        <v>86</v>
      </c>
      <c r="BK918" s="2">
        <f t="shared" si="29"/>
        <v>3.0000000000000027E-2</v>
      </c>
      <c r="BL918" t="b">
        <f t="shared" si="30"/>
        <v>1</v>
      </c>
    </row>
    <row r="919" spans="1:64" x14ac:dyDescent="0.35">
      <c r="A919" t="s">
        <v>2450</v>
      </c>
      <c r="B919" t="s">
        <v>2444</v>
      </c>
      <c r="C919">
        <v>2020</v>
      </c>
      <c r="D919" t="s">
        <v>2445</v>
      </c>
      <c r="E919" t="s">
        <v>2446</v>
      </c>
      <c r="F919" t="s">
        <v>66</v>
      </c>
      <c r="G919" t="s">
        <v>67</v>
      </c>
      <c r="H919" t="s">
        <v>84</v>
      </c>
      <c r="I919" t="s">
        <v>1001</v>
      </c>
      <c r="J919" t="s">
        <v>70</v>
      </c>
      <c r="L919">
        <v>3</v>
      </c>
      <c r="M919" t="b">
        <v>0</v>
      </c>
      <c r="N919">
        <v>1</v>
      </c>
      <c r="O919">
        <v>1</v>
      </c>
      <c r="P919">
        <v>8</v>
      </c>
      <c r="Q919">
        <v>4</v>
      </c>
      <c r="R919">
        <v>4</v>
      </c>
      <c r="S919">
        <v>5</v>
      </c>
      <c r="T919">
        <v>29</v>
      </c>
      <c r="U919">
        <v>675</v>
      </c>
      <c r="V919">
        <v>105</v>
      </c>
      <c r="W919">
        <v>21</v>
      </c>
      <c r="X919">
        <v>5</v>
      </c>
      <c r="Y919">
        <v>2</v>
      </c>
      <c r="Z919">
        <v>61</v>
      </c>
      <c r="AA919">
        <v>0</v>
      </c>
      <c r="AB919">
        <v>0</v>
      </c>
      <c r="AC919">
        <v>4</v>
      </c>
      <c r="AD919">
        <v>4</v>
      </c>
      <c r="AE919">
        <v>192</v>
      </c>
      <c r="AF919">
        <v>1</v>
      </c>
      <c r="AG919">
        <v>1</v>
      </c>
      <c r="AH919">
        <v>2</v>
      </c>
      <c r="AI919">
        <v>155</v>
      </c>
      <c r="AJ919">
        <v>1</v>
      </c>
      <c r="AK919">
        <v>18</v>
      </c>
      <c r="AL919">
        <v>3</v>
      </c>
      <c r="AM919">
        <v>173</v>
      </c>
      <c r="AN919">
        <v>3</v>
      </c>
      <c r="AO919">
        <v>62</v>
      </c>
      <c r="AP919">
        <v>6</v>
      </c>
      <c r="AQ919">
        <v>253</v>
      </c>
      <c r="AR919">
        <v>9.0370370370370365E-2</v>
      </c>
      <c r="AS919">
        <v>0</v>
      </c>
      <c r="AT919">
        <v>0.28444444444444439</v>
      </c>
      <c r="AU919">
        <v>1.481481481481481E-3</v>
      </c>
      <c r="AV919">
        <v>0.2296296296296296</v>
      </c>
      <c r="AW919">
        <v>0.2562962962962963</v>
      </c>
      <c r="AX919">
        <v>9.1851851851851851E-2</v>
      </c>
      <c r="AY919">
        <v>0.37481481481481482</v>
      </c>
      <c r="AZ919">
        <v>-0.16444444444444439</v>
      </c>
      <c r="BA919">
        <v>0.66666666666666663</v>
      </c>
      <c r="BB919">
        <v>0.66666666666666663</v>
      </c>
      <c r="BC919">
        <v>0.4</v>
      </c>
      <c r="BD919">
        <v>0.52222222222222225</v>
      </c>
      <c r="BE919">
        <v>4</v>
      </c>
      <c r="BF919">
        <v>0.56388888888888888</v>
      </c>
      <c r="BG919">
        <v>0.6</v>
      </c>
      <c r="BH919" t="s">
        <v>86</v>
      </c>
      <c r="BI919">
        <v>0.56000000000000005</v>
      </c>
      <c r="BJ919" t="s">
        <v>71</v>
      </c>
      <c r="BK919" s="2">
        <f t="shared" si="29"/>
        <v>3.9999999999999925E-2</v>
      </c>
      <c r="BL919" t="b">
        <f t="shared" si="30"/>
        <v>0</v>
      </c>
    </row>
    <row r="920" spans="1:64" x14ac:dyDescent="0.35">
      <c r="A920" t="s">
        <v>2451</v>
      </c>
      <c r="B920" t="s">
        <v>2452</v>
      </c>
      <c r="C920">
        <v>2016</v>
      </c>
      <c r="D920" t="s">
        <v>2453</v>
      </c>
      <c r="E920" t="s">
        <v>2454</v>
      </c>
      <c r="F920" t="s">
        <v>66</v>
      </c>
      <c r="G920" t="s">
        <v>101</v>
      </c>
      <c r="H920" t="s">
        <v>129</v>
      </c>
      <c r="I920" t="s">
        <v>1497</v>
      </c>
      <c r="J920" t="s">
        <v>70</v>
      </c>
      <c r="L920">
        <v>1</v>
      </c>
      <c r="M920" t="b">
        <v>0</v>
      </c>
      <c r="N920">
        <v>1</v>
      </c>
      <c r="O920">
        <v>2</v>
      </c>
      <c r="P920">
        <v>10</v>
      </c>
      <c r="Q920">
        <v>0</v>
      </c>
      <c r="R920">
        <v>10</v>
      </c>
      <c r="S920">
        <v>7</v>
      </c>
      <c r="T920">
        <v>24</v>
      </c>
      <c r="U920">
        <v>328</v>
      </c>
      <c r="V920">
        <v>125</v>
      </c>
      <c r="W920">
        <v>21</v>
      </c>
      <c r="X920">
        <v>5.9523809523809534</v>
      </c>
      <c r="Y920">
        <v>4</v>
      </c>
      <c r="Z920">
        <v>71</v>
      </c>
      <c r="AA920">
        <v>2</v>
      </c>
      <c r="AB920">
        <v>44</v>
      </c>
      <c r="AC920">
        <v>5</v>
      </c>
      <c r="AD920">
        <v>5</v>
      </c>
      <c r="AE920">
        <v>90</v>
      </c>
      <c r="AF920">
        <v>0</v>
      </c>
      <c r="AG920">
        <v>0</v>
      </c>
      <c r="AH920">
        <v>1</v>
      </c>
      <c r="AI920">
        <v>32</v>
      </c>
      <c r="AJ920">
        <v>1</v>
      </c>
      <c r="AK920">
        <v>2</v>
      </c>
      <c r="AL920">
        <v>2</v>
      </c>
      <c r="AM920">
        <v>34</v>
      </c>
      <c r="AN920">
        <v>6</v>
      </c>
      <c r="AO920">
        <v>115</v>
      </c>
      <c r="AP920">
        <v>11</v>
      </c>
      <c r="AQ920">
        <v>205</v>
      </c>
      <c r="AR920">
        <v>0.21646341463414631</v>
      </c>
      <c r="AS920">
        <v>0.13414634146341459</v>
      </c>
      <c r="AT920">
        <v>0.27439024390243899</v>
      </c>
      <c r="AU920">
        <v>0</v>
      </c>
      <c r="AV920">
        <v>9.7560975609756101E-2</v>
      </c>
      <c r="AW920">
        <v>0.10365853658536579</v>
      </c>
      <c r="AX920">
        <v>0.35060975609756101</v>
      </c>
      <c r="AY920">
        <v>0.625</v>
      </c>
      <c r="AZ920">
        <v>0.24695121951219509</v>
      </c>
      <c r="BA920">
        <v>1</v>
      </c>
      <c r="BB920">
        <v>0.82539682539682557</v>
      </c>
      <c r="BC920">
        <v>0.73333333333333328</v>
      </c>
      <c r="BD920">
        <v>0.7793445121951218</v>
      </c>
      <c r="BE920">
        <v>4</v>
      </c>
      <c r="BF920">
        <v>0.83451866773132011</v>
      </c>
      <c r="BG920">
        <v>0.8</v>
      </c>
      <c r="BH920" t="s">
        <v>164</v>
      </c>
      <c r="BI920">
        <v>0.83</v>
      </c>
      <c r="BJ920" t="s">
        <v>164</v>
      </c>
      <c r="BK920" s="2">
        <f t="shared" si="29"/>
        <v>-2.9999999999999916E-2</v>
      </c>
      <c r="BL920" t="b">
        <f t="shared" si="30"/>
        <v>1</v>
      </c>
    </row>
    <row r="921" spans="1:64" x14ac:dyDescent="0.35">
      <c r="A921" t="s">
        <v>2455</v>
      </c>
      <c r="B921" t="s">
        <v>2452</v>
      </c>
      <c r="C921">
        <v>2017</v>
      </c>
      <c r="D921" t="s">
        <v>2453</v>
      </c>
      <c r="E921" t="s">
        <v>2454</v>
      </c>
      <c r="F921" t="s">
        <v>66</v>
      </c>
      <c r="G921" t="s">
        <v>101</v>
      </c>
      <c r="H921" t="s">
        <v>129</v>
      </c>
      <c r="I921" t="s">
        <v>1497</v>
      </c>
      <c r="J921" t="s">
        <v>70</v>
      </c>
      <c r="L921">
        <v>1</v>
      </c>
      <c r="M921" t="b">
        <v>0</v>
      </c>
      <c r="N921">
        <v>1</v>
      </c>
      <c r="O921">
        <v>2</v>
      </c>
      <c r="P921">
        <v>12</v>
      </c>
      <c r="Q921">
        <v>2</v>
      </c>
      <c r="R921">
        <v>10</v>
      </c>
      <c r="S921">
        <v>7</v>
      </c>
      <c r="T921">
        <v>32</v>
      </c>
      <c r="U921">
        <v>234</v>
      </c>
      <c r="V921">
        <v>154</v>
      </c>
      <c r="W921">
        <v>25</v>
      </c>
      <c r="X921">
        <v>6.16</v>
      </c>
      <c r="Y921">
        <v>5</v>
      </c>
      <c r="Z921">
        <v>41</v>
      </c>
      <c r="AA921">
        <v>1</v>
      </c>
      <c r="AB921">
        <v>4</v>
      </c>
      <c r="AC921">
        <v>4</v>
      </c>
      <c r="AD921">
        <v>4</v>
      </c>
      <c r="AE921">
        <v>38</v>
      </c>
      <c r="AF921">
        <v>0</v>
      </c>
      <c r="AG921">
        <v>0</v>
      </c>
      <c r="AH921">
        <v>2</v>
      </c>
      <c r="AI921">
        <v>34</v>
      </c>
      <c r="AJ921">
        <v>0</v>
      </c>
      <c r="AK921">
        <v>0</v>
      </c>
      <c r="AL921">
        <v>2</v>
      </c>
      <c r="AM921">
        <v>34</v>
      </c>
      <c r="AN921">
        <v>6</v>
      </c>
      <c r="AO921">
        <v>45</v>
      </c>
      <c r="AP921">
        <v>10</v>
      </c>
      <c r="AQ921">
        <v>83</v>
      </c>
      <c r="AR921">
        <v>0.1752136752136752</v>
      </c>
      <c r="AS921">
        <v>1.7094017094017099E-2</v>
      </c>
      <c r="AT921">
        <v>0.1623931623931624</v>
      </c>
      <c r="AU921">
        <v>0</v>
      </c>
      <c r="AV921">
        <v>0.14529914529914531</v>
      </c>
      <c r="AW921">
        <v>0.14529914529914531</v>
      </c>
      <c r="AX921">
        <v>0.19230769230769229</v>
      </c>
      <c r="AY921">
        <v>0.35470085470085472</v>
      </c>
      <c r="AZ921">
        <v>4.7008547008547008E-2</v>
      </c>
      <c r="BA921">
        <v>1</v>
      </c>
      <c r="BB921">
        <v>0.86</v>
      </c>
      <c r="BC921">
        <v>0.66666666666666663</v>
      </c>
      <c r="BD921">
        <v>0.65438034188034189</v>
      </c>
      <c r="BE921">
        <v>4</v>
      </c>
      <c r="BF921">
        <v>0.7952617521367521</v>
      </c>
      <c r="BG921">
        <v>0.82</v>
      </c>
      <c r="BH921" t="s">
        <v>164</v>
      </c>
      <c r="BI921">
        <v>0.8</v>
      </c>
      <c r="BJ921" t="s">
        <v>164</v>
      </c>
      <c r="BK921" s="2">
        <f t="shared" si="29"/>
        <v>1.9999999999999907E-2</v>
      </c>
      <c r="BL921" t="b">
        <f t="shared" si="30"/>
        <v>1</v>
      </c>
    </row>
    <row r="922" spans="1:64" x14ac:dyDescent="0.35">
      <c r="A922" t="s">
        <v>2456</v>
      </c>
      <c r="B922" t="s">
        <v>2452</v>
      </c>
      <c r="C922">
        <v>2022</v>
      </c>
      <c r="D922" t="s">
        <v>2453</v>
      </c>
      <c r="E922" t="s">
        <v>2454</v>
      </c>
      <c r="F922" t="s">
        <v>66</v>
      </c>
      <c r="G922" t="s">
        <v>101</v>
      </c>
      <c r="H922" t="s">
        <v>129</v>
      </c>
      <c r="I922" t="s">
        <v>1497</v>
      </c>
      <c r="J922" t="s">
        <v>70</v>
      </c>
      <c r="L922">
        <v>1</v>
      </c>
      <c r="M922" t="b">
        <v>0</v>
      </c>
      <c r="N922">
        <v>1</v>
      </c>
      <c r="O922">
        <v>1</v>
      </c>
      <c r="P922">
        <v>3</v>
      </c>
      <c r="Q922">
        <v>1</v>
      </c>
      <c r="R922">
        <v>2</v>
      </c>
      <c r="S922">
        <v>4</v>
      </c>
      <c r="T922">
        <v>11</v>
      </c>
      <c r="U922">
        <v>124</v>
      </c>
      <c r="V922">
        <v>53</v>
      </c>
      <c r="W922">
        <v>10</v>
      </c>
      <c r="X922">
        <v>5.3</v>
      </c>
      <c r="Y922">
        <v>1</v>
      </c>
      <c r="Z922">
        <v>8</v>
      </c>
      <c r="AA922">
        <v>0</v>
      </c>
      <c r="AB922">
        <v>0</v>
      </c>
      <c r="AC922">
        <v>1</v>
      </c>
      <c r="AD922">
        <v>1</v>
      </c>
      <c r="AE922">
        <v>36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9</v>
      </c>
      <c r="AL922">
        <v>1</v>
      </c>
      <c r="AM922">
        <v>9</v>
      </c>
      <c r="AN922">
        <v>1</v>
      </c>
      <c r="AO922">
        <v>8</v>
      </c>
      <c r="AP922">
        <v>2</v>
      </c>
      <c r="AQ922">
        <v>44</v>
      </c>
      <c r="AR922">
        <v>6.4516129032258063E-2</v>
      </c>
      <c r="AS922">
        <v>0</v>
      </c>
      <c r="AT922">
        <v>0.29032258064516131</v>
      </c>
      <c r="AU922">
        <v>0</v>
      </c>
      <c r="AV922">
        <v>0</v>
      </c>
      <c r="AW922">
        <v>7.2580645161290328E-2</v>
      </c>
      <c r="AX922">
        <v>6.4516129032258063E-2</v>
      </c>
      <c r="AY922">
        <v>0.35483870967741937</v>
      </c>
      <c r="AZ922">
        <v>-8.0645161290322648E-3</v>
      </c>
      <c r="BA922">
        <v>0.5</v>
      </c>
      <c r="BB922">
        <v>0.71666666666666667</v>
      </c>
      <c r="BC922">
        <v>0.1333333333333333</v>
      </c>
      <c r="BD922">
        <v>0.61995967741935476</v>
      </c>
      <c r="BE922">
        <v>4</v>
      </c>
      <c r="BF922">
        <v>0.49248991935483871</v>
      </c>
      <c r="BG922">
        <v>0.49</v>
      </c>
      <c r="BH922" t="s">
        <v>71</v>
      </c>
      <c r="BI922">
        <v>0.49</v>
      </c>
      <c r="BJ922" t="s">
        <v>71</v>
      </c>
      <c r="BK922" s="2">
        <f t="shared" si="29"/>
        <v>0</v>
      </c>
      <c r="BL922" t="b">
        <f t="shared" si="30"/>
        <v>1</v>
      </c>
    </row>
    <row r="923" spans="1:64" x14ac:dyDescent="0.35">
      <c r="A923" t="s">
        <v>2457</v>
      </c>
      <c r="B923" t="s">
        <v>2458</v>
      </c>
      <c r="C923">
        <v>2014</v>
      </c>
      <c r="D923" t="s">
        <v>2459</v>
      </c>
      <c r="E923" t="s">
        <v>2460</v>
      </c>
      <c r="F923" t="s">
        <v>66</v>
      </c>
      <c r="G923" t="s">
        <v>67</v>
      </c>
      <c r="H923" t="s">
        <v>84</v>
      </c>
      <c r="I923" t="s">
        <v>795</v>
      </c>
      <c r="J923" t="s">
        <v>70</v>
      </c>
      <c r="L923">
        <v>2</v>
      </c>
      <c r="M923" t="b">
        <v>0</v>
      </c>
      <c r="N923">
        <v>1</v>
      </c>
      <c r="O923">
        <v>1</v>
      </c>
      <c r="P923">
        <v>8</v>
      </c>
      <c r="Q923">
        <v>5</v>
      </c>
      <c r="R923">
        <v>3</v>
      </c>
      <c r="S923">
        <v>4</v>
      </c>
      <c r="T923">
        <v>30</v>
      </c>
      <c r="U923">
        <v>479</v>
      </c>
      <c r="V923">
        <v>129</v>
      </c>
      <c r="W923">
        <v>23</v>
      </c>
      <c r="X923">
        <v>5.6086956521739131</v>
      </c>
      <c r="Y923">
        <v>4</v>
      </c>
      <c r="Z923">
        <v>135</v>
      </c>
      <c r="AA923">
        <v>0</v>
      </c>
      <c r="AB923">
        <v>0</v>
      </c>
      <c r="AC923">
        <v>2</v>
      </c>
      <c r="AD923">
        <v>2</v>
      </c>
      <c r="AE923">
        <v>162</v>
      </c>
      <c r="AF923">
        <v>1</v>
      </c>
      <c r="AG923">
        <v>1</v>
      </c>
      <c r="AH923">
        <v>2</v>
      </c>
      <c r="AI923">
        <v>21</v>
      </c>
      <c r="AJ923">
        <v>2</v>
      </c>
      <c r="AK923">
        <v>36</v>
      </c>
      <c r="AL923">
        <v>4</v>
      </c>
      <c r="AM923">
        <v>57</v>
      </c>
      <c r="AN923">
        <v>5</v>
      </c>
      <c r="AO923">
        <v>136</v>
      </c>
      <c r="AP923">
        <v>6</v>
      </c>
      <c r="AQ923">
        <v>297</v>
      </c>
      <c r="AR923">
        <v>0.28183716075156579</v>
      </c>
      <c r="AS923">
        <v>0</v>
      </c>
      <c r="AT923">
        <v>0.33820459290187888</v>
      </c>
      <c r="AU923">
        <v>2.0876826722338198E-3</v>
      </c>
      <c r="AV923">
        <v>4.3841336116910233E-2</v>
      </c>
      <c r="AW923">
        <v>0.1189979123173278</v>
      </c>
      <c r="AX923">
        <v>0.28392484342379959</v>
      </c>
      <c r="AY923">
        <v>0.62004175365344472</v>
      </c>
      <c r="AZ923">
        <v>0.1649269311064718</v>
      </c>
      <c r="BA923">
        <v>0.5</v>
      </c>
      <c r="BB923">
        <v>0.76811594202898548</v>
      </c>
      <c r="BC923">
        <v>0.4</v>
      </c>
      <c r="BD923">
        <v>0.72807933194154484</v>
      </c>
      <c r="BE923">
        <v>4</v>
      </c>
      <c r="BF923">
        <v>0.59904881849263258</v>
      </c>
      <c r="BG923">
        <v>0.62</v>
      </c>
      <c r="BH923" t="s">
        <v>86</v>
      </c>
      <c r="BI923">
        <v>0.6</v>
      </c>
      <c r="BJ923" t="s">
        <v>86</v>
      </c>
      <c r="BK923" s="2">
        <f t="shared" si="29"/>
        <v>2.0000000000000018E-2</v>
      </c>
      <c r="BL923" t="b">
        <f t="shared" si="30"/>
        <v>1</v>
      </c>
    </row>
    <row r="924" spans="1:64" x14ac:dyDescent="0.35">
      <c r="A924" t="s">
        <v>2461</v>
      </c>
      <c r="B924" t="s">
        <v>2458</v>
      </c>
      <c r="C924">
        <v>2015</v>
      </c>
      <c r="D924" t="s">
        <v>2459</v>
      </c>
      <c r="E924" t="s">
        <v>2460</v>
      </c>
      <c r="F924" t="s">
        <v>66</v>
      </c>
      <c r="G924" t="s">
        <v>67</v>
      </c>
      <c r="H924" t="s">
        <v>84</v>
      </c>
      <c r="I924" t="s">
        <v>795</v>
      </c>
      <c r="J924" t="s">
        <v>70</v>
      </c>
      <c r="L924">
        <v>2</v>
      </c>
      <c r="M924" t="b">
        <v>0</v>
      </c>
      <c r="N924">
        <v>1</v>
      </c>
      <c r="O924">
        <v>1</v>
      </c>
      <c r="P924">
        <v>10</v>
      </c>
      <c r="Q924">
        <v>5</v>
      </c>
      <c r="R924">
        <v>5</v>
      </c>
      <c r="S924">
        <v>5</v>
      </c>
      <c r="T924">
        <v>43</v>
      </c>
      <c r="U924">
        <v>434</v>
      </c>
      <c r="V924">
        <v>176</v>
      </c>
      <c r="W924">
        <v>31</v>
      </c>
      <c r="X924">
        <v>5.67741935483871</v>
      </c>
      <c r="Y924">
        <v>4</v>
      </c>
      <c r="Z924">
        <v>110</v>
      </c>
      <c r="AA924">
        <v>0</v>
      </c>
      <c r="AB924">
        <v>0</v>
      </c>
      <c r="AC924">
        <v>4</v>
      </c>
      <c r="AD924">
        <v>4</v>
      </c>
      <c r="AE924">
        <v>56</v>
      </c>
      <c r="AF924">
        <v>3</v>
      </c>
      <c r="AG924">
        <v>6</v>
      </c>
      <c r="AH924">
        <v>2</v>
      </c>
      <c r="AI924">
        <v>57</v>
      </c>
      <c r="AJ924">
        <v>4</v>
      </c>
      <c r="AK924">
        <v>12</v>
      </c>
      <c r="AL924">
        <v>6</v>
      </c>
      <c r="AM924">
        <v>69</v>
      </c>
      <c r="AN924">
        <v>7</v>
      </c>
      <c r="AO924">
        <v>116</v>
      </c>
      <c r="AP924">
        <v>8</v>
      </c>
      <c r="AQ924">
        <v>166</v>
      </c>
      <c r="AR924">
        <v>0.25345622119815669</v>
      </c>
      <c r="AS924">
        <v>0</v>
      </c>
      <c r="AT924">
        <v>0.1290322580645161</v>
      </c>
      <c r="AU924">
        <v>1.3824884792626731E-2</v>
      </c>
      <c r="AV924">
        <v>0.1313364055299539</v>
      </c>
      <c r="AW924">
        <v>0.15898617511520741</v>
      </c>
      <c r="AX924">
        <v>0.26728110599078342</v>
      </c>
      <c r="AY924">
        <v>0.38248847926267282</v>
      </c>
      <c r="AZ924">
        <v>0.108294930875576</v>
      </c>
      <c r="BA924">
        <v>0.66666666666666663</v>
      </c>
      <c r="BB924">
        <v>0.77956989247311836</v>
      </c>
      <c r="BC924">
        <v>0.53333333333333333</v>
      </c>
      <c r="BD924">
        <v>0.69268433179723499</v>
      </c>
      <c r="BE924">
        <v>4</v>
      </c>
      <c r="BF924">
        <v>0.66806355606758827</v>
      </c>
      <c r="BG924">
        <v>0.69</v>
      </c>
      <c r="BH924" t="s">
        <v>86</v>
      </c>
      <c r="BI924">
        <v>0.67</v>
      </c>
      <c r="BJ924" t="s">
        <v>86</v>
      </c>
      <c r="BK924" s="2">
        <f t="shared" si="29"/>
        <v>1.9999999999999907E-2</v>
      </c>
      <c r="BL924" t="b">
        <f t="shared" si="30"/>
        <v>1</v>
      </c>
    </row>
    <row r="925" spans="1:64" x14ac:dyDescent="0.35">
      <c r="A925" t="s">
        <v>2462</v>
      </c>
      <c r="B925" t="s">
        <v>2463</v>
      </c>
      <c r="C925">
        <v>2017</v>
      </c>
      <c r="D925" t="s">
        <v>2464</v>
      </c>
      <c r="E925" t="s">
        <v>2465</v>
      </c>
      <c r="F925" t="s">
        <v>66</v>
      </c>
      <c r="G925" t="s">
        <v>101</v>
      </c>
      <c r="H925" t="s">
        <v>162</v>
      </c>
      <c r="I925" t="s">
        <v>2466</v>
      </c>
      <c r="J925" t="s">
        <v>70</v>
      </c>
      <c r="L925">
        <v>1</v>
      </c>
      <c r="M925" t="b">
        <v>0</v>
      </c>
      <c r="N925">
        <v>1</v>
      </c>
      <c r="O925">
        <v>1</v>
      </c>
      <c r="P925">
        <v>5</v>
      </c>
      <c r="Q925">
        <v>6</v>
      </c>
      <c r="R925">
        <v>-1</v>
      </c>
      <c r="S925">
        <v>4</v>
      </c>
      <c r="T925">
        <v>21</v>
      </c>
      <c r="U925">
        <v>4447</v>
      </c>
      <c r="V925">
        <v>93</v>
      </c>
      <c r="W925">
        <v>19</v>
      </c>
      <c r="X925">
        <v>4.8947368421052628</v>
      </c>
      <c r="Y925">
        <v>3</v>
      </c>
      <c r="Z925">
        <v>54</v>
      </c>
      <c r="AA925">
        <v>0</v>
      </c>
      <c r="AB925">
        <v>0</v>
      </c>
      <c r="AC925">
        <v>2</v>
      </c>
      <c r="AD925">
        <v>2</v>
      </c>
      <c r="AE925">
        <v>1828</v>
      </c>
      <c r="AF925">
        <v>0</v>
      </c>
      <c r="AG925">
        <v>0</v>
      </c>
      <c r="AH925">
        <v>2</v>
      </c>
      <c r="AI925">
        <v>41</v>
      </c>
      <c r="AJ925">
        <v>1</v>
      </c>
      <c r="AK925">
        <v>8</v>
      </c>
      <c r="AL925">
        <v>3</v>
      </c>
      <c r="AM925">
        <v>49</v>
      </c>
      <c r="AN925">
        <v>3</v>
      </c>
      <c r="AO925">
        <v>54</v>
      </c>
      <c r="AP925">
        <v>5</v>
      </c>
      <c r="AQ925">
        <v>1882</v>
      </c>
      <c r="AR925">
        <v>1.214301776478525E-2</v>
      </c>
      <c r="AS925">
        <v>0</v>
      </c>
      <c r="AT925">
        <v>0.41106363840791538</v>
      </c>
      <c r="AU925">
        <v>0</v>
      </c>
      <c r="AV925">
        <v>9.2196986732628744E-3</v>
      </c>
      <c r="AW925">
        <v>1.1018664268045869E-2</v>
      </c>
      <c r="AX925">
        <v>1.214301776478525E-2</v>
      </c>
      <c r="AY925">
        <v>0.4232066561727007</v>
      </c>
      <c r="AZ925">
        <v>1.1243534967393749E-3</v>
      </c>
      <c r="BA925">
        <v>0.5</v>
      </c>
      <c r="BB925">
        <v>0.64912280701754377</v>
      </c>
      <c r="BC925">
        <v>0.33333333333333331</v>
      </c>
      <c r="BD925">
        <v>0.62570272093546209</v>
      </c>
      <c r="BE925">
        <v>4</v>
      </c>
      <c r="BF925">
        <v>0.52703971532158478</v>
      </c>
      <c r="BG925">
        <v>0.53</v>
      </c>
      <c r="BH925" t="s">
        <v>71</v>
      </c>
      <c r="BI925">
        <v>0.53</v>
      </c>
      <c r="BJ925" t="s">
        <v>71</v>
      </c>
      <c r="BK925" s="2">
        <f t="shared" si="29"/>
        <v>0</v>
      </c>
      <c r="BL925" t="b">
        <f t="shared" si="30"/>
        <v>1</v>
      </c>
    </row>
    <row r="926" spans="1:64" x14ac:dyDescent="0.35">
      <c r="A926" t="s">
        <v>2467</v>
      </c>
      <c r="B926" t="s">
        <v>2463</v>
      </c>
      <c r="C926">
        <v>2022</v>
      </c>
      <c r="D926" t="s">
        <v>2464</v>
      </c>
      <c r="E926" t="s">
        <v>2465</v>
      </c>
      <c r="F926" t="s">
        <v>66</v>
      </c>
      <c r="G926" t="s">
        <v>101</v>
      </c>
      <c r="H926" t="s">
        <v>162</v>
      </c>
      <c r="I926" t="s">
        <v>2466</v>
      </c>
      <c r="J926" t="s">
        <v>70</v>
      </c>
      <c r="L926">
        <v>1</v>
      </c>
      <c r="M926" t="b">
        <v>0</v>
      </c>
      <c r="N926">
        <v>1</v>
      </c>
      <c r="O926">
        <v>1</v>
      </c>
      <c r="P926">
        <v>8</v>
      </c>
      <c r="Q926">
        <v>3</v>
      </c>
      <c r="R926">
        <v>5</v>
      </c>
      <c r="S926">
        <v>5</v>
      </c>
      <c r="T926">
        <v>24</v>
      </c>
      <c r="U926">
        <v>393</v>
      </c>
      <c r="V926">
        <v>116</v>
      </c>
      <c r="W926">
        <v>21</v>
      </c>
      <c r="X926">
        <v>5.5238095238095237</v>
      </c>
      <c r="Y926">
        <v>4</v>
      </c>
      <c r="Z926">
        <v>56</v>
      </c>
      <c r="AA926">
        <v>0</v>
      </c>
      <c r="AB926">
        <v>0</v>
      </c>
      <c r="AC926">
        <v>1</v>
      </c>
      <c r="AD926">
        <v>1</v>
      </c>
      <c r="AE926">
        <v>158</v>
      </c>
      <c r="AF926">
        <v>2</v>
      </c>
      <c r="AG926">
        <v>22</v>
      </c>
      <c r="AH926">
        <v>2</v>
      </c>
      <c r="AI926">
        <v>34</v>
      </c>
      <c r="AJ926">
        <v>1</v>
      </c>
      <c r="AK926">
        <v>4</v>
      </c>
      <c r="AL926">
        <v>3</v>
      </c>
      <c r="AM926">
        <v>38</v>
      </c>
      <c r="AN926">
        <v>6</v>
      </c>
      <c r="AO926">
        <v>78</v>
      </c>
      <c r="AP926">
        <v>5</v>
      </c>
      <c r="AQ926">
        <v>214</v>
      </c>
      <c r="AR926">
        <v>0.14249363867684481</v>
      </c>
      <c r="AS926">
        <v>0</v>
      </c>
      <c r="AT926">
        <v>0.4020356234096692</v>
      </c>
      <c r="AU926">
        <v>5.5979643765903309E-2</v>
      </c>
      <c r="AV926">
        <v>8.6513994910941472E-2</v>
      </c>
      <c r="AW926">
        <v>9.6692111959287536E-2</v>
      </c>
      <c r="AX926">
        <v>0.19847328244274809</v>
      </c>
      <c r="AY926">
        <v>0.54452926208651398</v>
      </c>
      <c r="AZ926">
        <v>0.1017811704834606</v>
      </c>
      <c r="BA926">
        <v>0.66666666666666663</v>
      </c>
      <c r="BB926">
        <v>0.75396825396825395</v>
      </c>
      <c r="BC926">
        <v>0.33333333333333331</v>
      </c>
      <c r="BD926">
        <v>0.68861323155216281</v>
      </c>
      <c r="BE926">
        <v>4</v>
      </c>
      <c r="BF926">
        <v>0.61064537138010422</v>
      </c>
      <c r="BG926">
        <v>0.62</v>
      </c>
      <c r="BH926" t="s">
        <v>86</v>
      </c>
      <c r="BI926">
        <v>0.61</v>
      </c>
      <c r="BJ926" t="s">
        <v>86</v>
      </c>
      <c r="BK926" s="2">
        <f t="shared" si="29"/>
        <v>1.0000000000000009E-2</v>
      </c>
      <c r="BL926" t="b">
        <f t="shared" si="30"/>
        <v>1</v>
      </c>
    </row>
    <row r="927" spans="1:64" x14ac:dyDescent="0.35">
      <c r="A927" t="s">
        <v>2468</v>
      </c>
      <c r="B927" t="s">
        <v>2469</v>
      </c>
      <c r="C927">
        <v>2016</v>
      </c>
      <c r="D927" t="s">
        <v>2470</v>
      </c>
      <c r="E927" t="s">
        <v>2471</v>
      </c>
      <c r="F927" t="s">
        <v>66</v>
      </c>
      <c r="G927" t="s">
        <v>144</v>
      </c>
      <c r="H927" t="s">
        <v>898</v>
      </c>
      <c r="I927" t="s">
        <v>898</v>
      </c>
      <c r="J927" t="s">
        <v>70</v>
      </c>
      <c r="L927">
        <v>1</v>
      </c>
      <c r="M927" t="b">
        <v>0</v>
      </c>
      <c r="N927">
        <v>1</v>
      </c>
      <c r="O927">
        <v>3</v>
      </c>
      <c r="P927">
        <v>11</v>
      </c>
      <c r="Q927">
        <v>3</v>
      </c>
      <c r="R927">
        <v>8</v>
      </c>
      <c r="S927">
        <v>6</v>
      </c>
      <c r="T927">
        <v>31</v>
      </c>
      <c r="U927">
        <v>1551</v>
      </c>
      <c r="V927">
        <v>164</v>
      </c>
      <c r="W927">
        <v>27</v>
      </c>
      <c r="X927">
        <v>6.0740740740740744</v>
      </c>
      <c r="Y927">
        <v>3</v>
      </c>
      <c r="Z927">
        <v>77</v>
      </c>
      <c r="AA927">
        <v>2</v>
      </c>
      <c r="AB927">
        <v>38</v>
      </c>
      <c r="AC927">
        <v>3</v>
      </c>
      <c r="AD927">
        <v>3</v>
      </c>
      <c r="AE927">
        <v>928</v>
      </c>
      <c r="AF927">
        <v>1</v>
      </c>
      <c r="AG927">
        <v>21</v>
      </c>
      <c r="AH927">
        <v>2</v>
      </c>
      <c r="AI927">
        <v>63</v>
      </c>
      <c r="AJ927">
        <v>1</v>
      </c>
      <c r="AK927">
        <v>4</v>
      </c>
      <c r="AL927">
        <v>3</v>
      </c>
      <c r="AM927">
        <v>67</v>
      </c>
      <c r="AN927">
        <v>6</v>
      </c>
      <c r="AO927">
        <v>136</v>
      </c>
      <c r="AP927">
        <v>8</v>
      </c>
      <c r="AQ927">
        <v>1043</v>
      </c>
      <c r="AR927">
        <v>4.9645390070921988E-2</v>
      </c>
      <c r="AS927">
        <v>2.4500322372662801E-2</v>
      </c>
      <c r="AT927">
        <v>0.59832366215344934</v>
      </c>
      <c r="AU927">
        <v>1.353965183752418E-2</v>
      </c>
      <c r="AV927">
        <v>4.0618955512572531E-2</v>
      </c>
      <c r="AW927">
        <v>4.3197936814958093E-2</v>
      </c>
      <c r="AX927">
        <v>8.7685364281108957E-2</v>
      </c>
      <c r="AY927">
        <v>0.67246937459703415</v>
      </c>
      <c r="AZ927">
        <v>4.4487427466150857E-2</v>
      </c>
      <c r="BA927">
        <v>0.83333333333333337</v>
      </c>
      <c r="BB927">
        <v>0.8456790123456791</v>
      </c>
      <c r="BC927">
        <v>0.53333333333333333</v>
      </c>
      <c r="BD927">
        <v>0.65280464216634426</v>
      </c>
      <c r="BE927">
        <v>4</v>
      </c>
      <c r="BF927">
        <v>0.71628758029467254</v>
      </c>
      <c r="BG927">
        <v>0.72</v>
      </c>
      <c r="BH927" t="s">
        <v>86</v>
      </c>
      <c r="BI927">
        <v>0.72</v>
      </c>
      <c r="BJ927" t="s">
        <v>86</v>
      </c>
      <c r="BK927" s="2">
        <f t="shared" si="29"/>
        <v>0</v>
      </c>
      <c r="BL927" t="b">
        <f t="shared" si="30"/>
        <v>1</v>
      </c>
    </row>
    <row r="928" spans="1:64" x14ac:dyDescent="0.35">
      <c r="A928" t="s">
        <v>2472</v>
      </c>
      <c r="B928" t="s">
        <v>2469</v>
      </c>
      <c r="C928">
        <v>2019</v>
      </c>
      <c r="D928" t="s">
        <v>2470</v>
      </c>
      <c r="E928" t="s">
        <v>2471</v>
      </c>
      <c r="F928" t="s">
        <v>66</v>
      </c>
      <c r="G928" t="s">
        <v>144</v>
      </c>
      <c r="H928" t="s">
        <v>898</v>
      </c>
      <c r="I928" t="s">
        <v>898</v>
      </c>
      <c r="J928" t="s">
        <v>70</v>
      </c>
      <c r="L928">
        <v>1</v>
      </c>
      <c r="M928" t="b">
        <v>0</v>
      </c>
      <c r="N928">
        <v>3</v>
      </c>
      <c r="O928">
        <v>2</v>
      </c>
      <c r="P928">
        <v>4</v>
      </c>
      <c r="Q928">
        <v>5</v>
      </c>
      <c r="R928">
        <v>-1</v>
      </c>
      <c r="S928">
        <v>4</v>
      </c>
      <c r="T928">
        <v>21</v>
      </c>
      <c r="U928">
        <v>2926</v>
      </c>
      <c r="V928">
        <v>76</v>
      </c>
      <c r="W928">
        <v>17</v>
      </c>
      <c r="X928">
        <v>4.4705882352941178</v>
      </c>
      <c r="Y928">
        <v>2</v>
      </c>
      <c r="Z928">
        <v>128</v>
      </c>
      <c r="AA928">
        <v>0</v>
      </c>
      <c r="AB928">
        <v>0</v>
      </c>
      <c r="AC928">
        <v>2</v>
      </c>
      <c r="AD928">
        <v>2</v>
      </c>
      <c r="AE928">
        <v>2568</v>
      </c>
      <c r="AF928">
        <v>0</v>
      </c>
      <c r="AG928">
        <v>0</v>
      </c>
      <c r="AH928">
        <v>1</v>
      </c>
      <c r="AI928">
        <v>65</v>
      </c>
      <c r="AJ928">
        <v>3</v>
      </c>
      <c r="AK928">
        <v>15</v>
      </c>
      <c r="AL928">
        <v>4</v>
      </c>
      <c r="AM928">
        <v>80</v>
      </c>
      <c r="AN928">
        <v>2</v>
      </c>
      <c r="AO928">
        <v>128</v>
      </c>
      <c r="AP928">
        <v>4</v>
      </c>
      <c r="AQ928">
        <v>2696</v>
      </c>
      <c r="AR928">
        <v>4.3745727956254282E-2</v>
      </c>
      <c r="AS928">
        <v>0</v>
      </c>
      <c r="AT928">
        <v>0.87764866712235134</v>
      </c>
      <c r="AU928">
        <v>0</v>
      </c>
      <c r="AV928">
        <v>2.2214627477785371E-2</v>
      </c>
      <c r="AW928">
        <v>2.7341079972658919E-2</v>
      </c>
      <c r="AX928">
        <v>4.3745727956254282E-2</v>
      </c>
      <c r="AY928">
        <v>0.92139439507860565</v>
      </c>
      <c r="AZ928">
        <v>1.6404647983595359E-2</v>
      </c>
      <c r="BA928">
        <v>0.5</v>
      </c>
      <c r="BB928">
        <v>0.57843137254901966</v>
      </c>
      <c r="BC928">
        <v>0.26666666666666672</v>
      </c>
      <c r="BD928">
        <v>0.63525290498974707</v>
      </c>
      <c r="BE928">
        <v>4</v>
      </c>
      <c r="BF928">
        <v>0.49508773605135842</v>
      </c>
      <c r="BG928">
        <v>0.5</v>
      </c>
      <c r="BH928" t="s">
        <v>71</v>
      </c>
      <c r="BI928">
        <v>0.5</v>
      </c>
      <c r="BJ928" t="s">
        <v>71</v>
      </c>
      <c r="BK928" s="2">
        <f t="shared" si="29"/>
        <v>0</v>
      </c>
      <c r="BL928" t="b">
        <f t="shared" si="30"/>
        <v>1</v>
      </c>
    </row>
    <row r="929" spans="1:64" x14ac:dyDescent="0.35">
      <c r="A929" t="s">
        <v>2473</v>
      </c>
      <c r="B929" t="s">
        <v>2474</v>
      </c>
      <c r="C929">
        <v>2014</v>
      </c>
      <c r="D929" t="s">
        <v>2475</v>
      </c>
      <c r="E929" t="s">
        <v>2476</v>
      </c>
      <c r="F929" t="s">
        <v>66</v>
      </c>
      <c r="G929" t="s">
        <v>67</v>
      </c>
      <c r="H929" t="s">
        <v>84</v>
      </c>
      <c r="I929" t="s">
        <v>675</v>
      </c>
      <c r="J929" t="s">
        <v>70</v>
      </c>
      <c r="L929">
        <v>3</v>
      </c>
      <c r="M929" t="b">
        <v>0</v>
      </c>
      <c r="N929">
        <v>1</v>
      </c>
      <c r="O929">
        <v>1</v>
      </c>
      <c r="P929">
        <v>8</v>
      </c>
      <c r="Q929">
        <v>1</v>
      </c>
      <c r="R929">
        <v>7</v>
      </c>
      <c r="S929">
        <v>5</v>
      </c>
      <c r="T929">
        <v>22</v>
      </c>
      <c r="U929">
        <v>449</v>
      </c>
      <c r="V929">
        <v>127</v>
      </c>
      <c r="W929">
        <v>19</v>
      </c>
      <c r="X929">
        <v>6.6842105263157894</v>
      </c>
      <c r="Y929">
        <v>3</v>
      </c>
      <c r="Z929">
        <v>83</v>
      </c>
      <c r="AA929">
        <v>0</v>
      </c>
      <c r="AB929">
        <v>0</v>
      </c>
      <c r="AC929">
        <v>2</v>
      </c>
      <c r="AD929">
        <v>2</v>
      </c>
      <c r="AE929">
        <v>55</v>
      </c>
      <c r="AF929">
        <v>2</v>
      </c>
      <c r="AG929">
        <v>53</v>
      </c>
      <c r="AH929">
        <v>2</v>
      </c>
      <c r="AI929">
        <v>45</v>
      </c>
      <c r="AJ929">
        <v>1</v>
      </c>
      <c r="AK929">
        <v>13</v>
      </c>
      <c r="AL929">
        <v>3</v>
      </c>
      <c r="AM929">
        <v>58</v>
      </c>
      <c r="AN929">
        <v>5</v>
      </c>
      <c r="AO929">
        <v>136</v>
      </c>
      <c r="AP929">
        <v>5</v>
      </c>
      <c r="AQ929">
        <v>138</v>
      </c>
      <c r="AR929">
        <v>0.1848552338530067</v>
      </c>
      <c r="AS929">
        <v>0</v>
      </c>
      <c r="AT929">
        <v>0.1224944320712695</v>
      </c>
      <c r="AU929">
        <v>0.1180400890868597</v>
      </c>
      <c r="AV929">
        <v>0.1002227171492205</v>
      </c>
      <c r="AW929">
        <v>0.1291759465478842</v>
      </c>
      <c r="AX929">
        <v>0.30289532293986637</v>
      </c>
      <c r="AY929">
        <v>0.30734966592427609</v>
      </c>
      <c r="AZ929">
        <v>0.17371937639198221</v>
      </c>
      <c r="BA929">
        <v>0.66666666666666663</v>
      </c>
      <c r="BB929">
        <v>0.94736842105263153</v>
      </c>
      <c r="BC929">
        <v>0.33333333333333331</v>
      </c>
      <c r="BD929">
        <v>0.73357461024498882</v>
      </c>
      <c r="BE929">
        <v>4</v>
      </c>
      <c r="BF929">
        <v>0.67023575782440503</v>
      </c>
      <c r="BG929">
        <v>0.69</v>
      </c>
      <c r="BH929" t="s">
        <v>86</v>
      </c>
      <c r="BI929">
        <v>0.67</v>
      </c>
      <c r="BJ929" t="s">
        <v>86</v>
      </c>
      <c r="BK929" s="2">
        <f t="shared" si="29"/>
        <v>1.9999999999999907E-2</v>
      </c>
      <c r="BL929" t="b">
        <f t="shared" si="30"/>
        <v>1</v>
      </c>
    </row>
    <row r="930" spans="1:64" x14ac:dyDescent="0.35">
      <c r="A930" t="s">
        <v>2477</v>
      </c>
      <c r="B930" t="s">
        <v>2474</v>
      </c>
      <c r="C930">
        <v>2015</v>
      </c>
      <c r="D930" t="s">
        <v>2475</v>
      </c>
      <c r="E930" t="s">
        <v>2476</v>
      </c>
      <c r="F930" t="s">
        <v>66</v>
      </c>
      <c r="G930" t="s">
        <v>67</v>
      </c>
      <c r="H930" t="s">
        <v>84</v>
      </c>
      <c r="I930" t="s">
        <v>675</v>
      </c>
      <c r="J930" t="s">
        <v>70</v>
      </c>
      <c r="L930">
        <v>3</v>
      </c>
      <c r="M930" t="b">
        <v>0</v>
      </c>
      <c r="N930">
        <v>1</v>
      </c>
      <c r="O930">
        <v>1</v>
      </c>
      <c r="P930">
        <v>7</v>
      </c>
      <c r="Q930">
        <v>4</v>
      </c>
      <c r="R930">
        <v>3</v>
      </c>
      <c r="S930">
        <v>4</v>
      </c>
      <c r="T930">
        <v>20</v>
      </c>
      <c r="U930">
        <v>106</v>
      </c>
      <c r="V930">
        <v>102</v>
      </c>
      <c r="W930">
        <v>19</v>
      </c>
      <c r="X930">
        <v>5.3684210526315788</v>
      </c>
      <c r="Y930">
        <v>4</v>
      </c>
      <c r="Z930">
        <v>16</v>
      </c>
      <c r="AA930">
        <v>0</v>
      </c>
      <c r="AB930">
        <v>0</v>
      </c>
      <c r="AC930">
        <v>3</v>
      </c>
      <c r="AD930">
        <v>3</v>
      </c>
      <c r="AE930">
        <v>55</v>
      </c>
      <c r="AF930">
        <v>0</v>
      </c>
      <c r="AG930">
        <v>0</v>
      </c>
      <c r="AH930">
        <v>1</v>
      </c>
      <c r="AI930">
        <v>5</v>
      </c>
      <c r="AJ930">
        <v>2</v>
      </c>
      <c r="AK930">
        <v>2</v>
      </c>
      <c r="AL930">
        <v>3</v>
      </c>
      <c r="AM930">
        <v>7</v>
      </c>
      <c r="AN930">
        <v>4</v>
      </c>
      <c r="AO930">
        <v>16</v>
      </c>
      <c r="AP930">
        <v>7</v>
      </c>
      <c r="AQ930">
        <v>71</v>
      </c>
      <c r="AR930">
        <v>0.15094339622641509</v>
      </c>
      <c r="AS930">
        <v>0</v>
      </c>
      <c r="AT930">
        <v>0.51886792452830188</v>
      </c>
      <c r="AU930">
        <v>0</v>
      </c>
      <c r="AV930">
        <v>4.716981132075472E-2</v>
      </c>
      <c r="AW930">
        <v>6.6037735849056603E-2</v>
      </c>
      <c r="AX930">
        <v>0.15094339622641509</v>
      </c>
      <c r="AY930">
        <v>0.66981132075471694</v>
      </c>
      <c r="AZ930">
        <v>8.4905660377358486E-2</v>
      </c>
      <c r="BA930">
        <v>0.5</v>
      </c>
      <c r="BB930">
        <v>0.72807017543859642</v>
      </c>
      <c r="BC930">
        <v>0.46666666666666667</v>
      </c>
      <c r="BD930">
        <v>0.67806603773584906</v>
      </c>
      <c r="BE930">
        <v>4</v>
      </c>
      <c r="BF930">
        <v>0.59320071996027801</v>
      </c>
      <c r="BG930">
        <v>0.62</v>
      </c>
      <c r="BH930" t="s">
        <v>86</v>
      </c>
      <c r="BI930">
        <v>0.59</v>
      </c>
      <c r="BJ930" t="s">
        <v>71</v>
      </c>
      <c r="BK930" s="2">
        <f t="shared" si="29"/>
        <v>3.0000000000000027E-2</v>
      </c>
      <c r="BL930" t="b">
        <f t="shared" si="30"/>
        <v>0</v>
      </c>
    </row>
    <row r="931" spans="1:64" x14ac:dyDescent="0.35">
      <c r="A931" t="s">
        <v>2478</v>
      </c>
      <c r="B931" t="s">
        <v>2474</v>
      </c>
      <c r="C931">
        <v>2017</v>
      </c>
      <c r="D931" t="s">
        <v>2475</v>
      </c>
      <c r="E931" t="s">
        <v>2476</v>
      </c>
      <c r="F931" t="s">
        <v>66</v>
      </c>
      <c r="G931" t="s">
        <v>67</v>
      </c>
      <c r="H931" t="s">
        <v>84</v>
      </c>
      <c r="I931" t="s">
        <v>675</v>
      </c>
      <c r="J931" t="s">
        <v>70</v>
      </c>
      <c r="L931">
        <v>3</v>
      </c>
      <c r="M931" t="b">
        <v>0</v>
      </c>
      <c r="N931">
        <v>1</v>
      </c>
      <c r="O931">
        <v>1</v>
      </c>
      <c r="P931">
        <v>8</v>
      </c>
      <c r="Q931">
        <v>5</v>
      </c>
      <c r="R931">
        <v>3</v>
      </c>
      <c r="S931">
        <v>4</v>
      </c>
      <c r="T931">
        <v>25</v>
      </c>
      <c r="U931">
        <v>579</v>
      </c>
      <c r="V931">
        <v>126</v>
      </c>
      <c r="W931">
        <v>22</v>
      </c>
      <c r="X931">
        <v>5.7272727272727284</v>
      </c>
      <c r="Y931">
        <v>3</v>
      </c>
      <c r="Z931">
        <v>63</v>
      </c>
      <c r="AA931">
        <v>1</v>
      </c>
      <c r="AB931">
        <v>196</v>
      </c>
      <c r="AC931">
        <v>4</v>
      </c>
      <c r="AD931">
        <v>4</v>
      </c>
      <c r="AE931">
        <v>66</v>
      </c>
      <c r="AF931">
        <v>2</v>
      </c>
      <c r="AG931">
        <v>11</v>
      </c>
      <c r="AH931">
        <v>2</v>
      </c>
      <c r="AI931">
        <v>111</v>
      </c>
      <c r="AJ931">
        <v>3</v>
      </c>
      <c r="AK931">
        <v>7</v>
      </c>
      <c r="AL931">
        <v>5</v>
      </c>
      <c r="AM931">
        <v>118</v>
      </c>
      <c r="AN931">
        <v>6</v>
      </c>
      <c r="AO931">
        <v>270</v>
      </c>
      <c r="AP931">
        <v>8</v>
      </c>
      <c r="AQ931">
        <v>325</v>
      </c>
      <c r="AR931">
        <v>0.1088082901554404</v>
      </c>
      <c r="AS931">
        <v>0.3385146804835924</v>
      </c>
      <c r="AT931">
        <v>0.1139896373056995</v>
      </c>
      <c r="AU931">
        <v>1.8998272884283251E-2</v>
      </c>
      <c r="AV931">
        <v>0.19170984455958551</v>
      </c>
      <c r="AW931">
        <v>0.20379965457685659</v>
      </c>
      <c r="AX931">
        <v>0.46632124352331611</v>
      </c>
      <c r="AY931">
        <v>0.56131260794473226</v>
      </c>
      <c r="AZ931">
        <v>0.26252158894645938</v>
      </c>
      <c r="BA931">
        <v>0.5</v>
      </c>
      <c r="BB931">
        <v>0.78787878787878807</v>
      </c>
      <c r="BC931">
        <v>0.53333333333333333</v>
      </c>
      <c r="BD931">
        <v>0.78907599309153709</v>
      </c>
      <c r="BE931">
        <v>4</v>
      </c>
      <c r="BF931">
        <v>0.65257202857591468</v>
      </c>
      <c r="BG931">
        <v>0.68</v>
      </c>
      <c r="BH931" t="s">
        <v>86</v>
      </c>
      <c r="BI931">
        <v>0.65</v>
      </c>
      <c r="BJ931" t="s">
        <v>86</v>
      </c>
      <c r="BK931" s="2">
        <f t="shared" si="29"/>
        <v>3.0000000000000027E-2</v>
      </c>
      <c r="BL931" t="b">
        <f t="shared" si="30"/>
        <v>1</v>
      </c>
    </row>
    <row r="932" spans="1:64" x14ac:dyDescent="0.35">
      <c r="A932" t="s">
        <v>2479</v>
      </c>
      <c r="B932" t="s">
        <v>2474</v>
      </c>
      <c r="C932">
        <v>2019</v>
      </c>
      <c r="D932" t="s">
        <v>2475</v>
      </c>
      <c r="E932" t="s">
        <v>2476</v>
      </c>
      <c r="F932" t="s">
        <v>66</v>
      </c>
      <c r="G932" t="s">
        <v>67</v>
      </c>
      <c r="H932" t="s">
        <v>84</v>
      </c>
      <c r="I932" t="s">
        <v>675</v>
      </c>
      <c r="J932" t="s">
        <v>70</v>
      </c>
      <c r="L932">
        <v>3</v>
      </c>
      <c r="M932" t="b">
        <v>0</v>
      </c>
      <c r="N932">
        <v>1</v>
      </c>
      <c r="O932">
        <v>1</v>
      </c>
      <c r="P932">
        <v>5</v>
      </c>
      <c r="Q932">
        <v>3</v>
      </c>
      <c r="R932">
        <v>2</v>
      </c>
      <c r="S932">
        <v>4</v>
      </c>
      <c r="T932">
        <v>22</v>
      </c>
      <c r="U932">
        <v>85</v>
      </c>
      <c r="V932">
        <v>103</v>
      </c>
      <c r="W932">
        <v>22</v>
      </c>
      <c r="X932">
        <v>4.6818181818181817</v>
      </c>
      <c r="Y932">
        <v>3</v>
      </c>
      <c r="Z932">
        <v>6</v>
      </c>
      <c r="AA932">
        <v>0</v>
      </c>
      <c r="AB932">
        <v>0</v>
      </c>
      <c r="AC932">
        <v>2</v>
      </c>
      <c r="AD932">
        <v>2</v>
      </c>
      <c r="AE932">
        <v>3</v>
      </c>
      <c r="AF932">
        <v>1</v>
      </c>
      <c r="AG932">
        <v>1</v>
      </c>
      <c r="AH932">
        <v>2</v>
      </c>
      <c r="AI932">
        <v>22</v>
      </c>
      <c r="AJ932">
        <v>2</v>
      </c>
      <c r="AK932">
        <v>2</v>
      </c>
      <c r="AL932">
        <v>4</v>
      </c>
      <c r="AM932">
        <v>24</v>
      </c>
      <c r="AN932">
        <v>4</v>
      </c>
      <c r="AO932">
        <v>7</v>
      </c>
      <c r="AP932">
        <v>5</v>
      </c>
      <c r="AQ932">
        <v>9</v>
      </c>
      <c r="AR932">
        <v>7.0588235294117646E-2</v>
      </c>
      <c r="AS932">
        <v>0</v>
      </c>
      <c r="AT932">
        <v>3.5294117647058823E-2</v>
      </c>
      <c r="AU932">
        <v>1.1764705882352939E-2</v>
      </c>
      <c r="AV932">
        <v>0.25882352941176467</v>
      </c>
      <c r="AW932">
        <v>0.28235294117647058</v>
      </c>
      <c r="AX932">
        <v>8.2352941176470587E-2</v>
      </c>
      <c r="AY932">
        <v>0.1058823529411765</v>
      </c>
      <c r="AZ932">
        <v>-0.2</v>
      </c>
      <c r="BA932">
        <v>0.5</v>
      </c>
      <c r="BB932">
        <v>0.61363636363636365</v>
      </c>
      <c r="BC932">
        <v>0.33333333333333331</v>
      </c>
      <c r="BD932">
        <v>0.5</v>
      </c>
      <c r="BE932">
        <v>4</v>
      </c>
      <c r="BF932">
        <v>0.48674242424242431</v>
      </c>
      <c r="BG932">
        <v>0.53</v>
      </c>
      <c r="BH932" t="s">
        <v>71</v>
      </c>
      <c r="BI932">
        <v>0.49</v>
      </c>
      <c r="BJ932" t="s">
        <v>71</v>
      </c>
      <c r="BK932" s="2">
        <f t="shared" si="29"/>
        <v>4.0000000000000036E-2</v>
      </c>
      <c r="BL932" t="b">
        <f t="shared" si="30"/>
        <v>1</v>
      </c>
    </row>
  </sheetData>
  <autoFilter ref="A1:BP9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data_all_sites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Baker</cp:lastModifiedBy>
  <cp:revision/>
  <dcterms:created xsi:type="dcterms:W3CDTF">2026-05-20T14:25:54Z</dcterms:created>
  <dcterms:modified xsi:type="dcterms:W3CDTF">2026-07-20T08:49:09Z</dcterms:modified>
  <cp:category/>
  <cp:contentStatus/>
</cp:coreProperties>
</file>